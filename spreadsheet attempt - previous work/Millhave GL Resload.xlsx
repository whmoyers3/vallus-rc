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will/Desktop/"/>
    </mc:Choice>
  </mc:AlternateContent>
  <xr:revisionPtr revIDLastSave="0" documentId="8_{BB792082-D088-174A-89CD-82809FC0586B}" xr6:coauthVersionLast="47" xr6:coauthVersionMax="47" xr10:uidLastSave="{00000000-0000-0000-0000-000000000000}"/>
  <bookViews>
    <workbookView xWindow="30260" yWindow="680" windowWidth="51040" windowHeight="27980" xr2:uid="{20D6DCDC-6620-4DBA-A4BA-C81BC905C6EE}"/>
  </bookViews>
  <sheets>
    <sheet name="Summary" sheetId="2" r:id="rId1"/>
    <sheet name="Rooms Walls and Glass" sheetId="4" r:id="rId2"/>
    <sheet name="Unit 1 a" sheetId="1" r:id="rId3"/>
    <sheet name="Unit 1 b" sheetId="5" r:id="rId4"/>
    <sheet name="Unit 2 a" sheetId="6" r:id="rId5"/>
    <sheet name="Unit 2 b" sheetId="7" r:id="rId6"/>
    <sheet name="Unit 3 a" sheetId="8" r:id="rId7"/>
    <sheet name="Glass CLF Calculation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4" l="1"/>
  <c r="AK66" i="1"/>
  <c r="AL66" i="1" s="1"/>
  <c r="AK62" i="1"/>
  <c r="AL62" i="1" s="1"/>
  <c r="AK61" i="1"/>
  <c r="AL61" i="1" s="1"/>
  <c r="AL55" i="1"/>
  <c r="AL54" i="1"/>
  <c r="AL53" i="1"/>
  <c r="J45" i="2"/>
  <c r="I45" i="2"/>
  <c r="J79" i="8"/>
  <c r="E74" i="8"/>
  <c r="G74" i="8" s="1"/>
  <c r="F73" i="8"/>
  <c r="G73" i="8" s="1"/>
  <c r="F72" i="8"/>
  <c r="E72" i="8"/>
  <c r="F71" i="8"/>
  <c r="E71" i="8"/>
  <c r="F70" i="8"/>
  <c r="E70" i="8"/>
  <c r="F69" i="8"/>
  <c r="G69" i="8" s="1"/>
  <c r="F68" i="8"/>
  <c r="G68" i="8" s="1"/>
  <c r="F67" i="8"/>
  <c r="G67" i="8" s="1"/>
  <c r="E67" i="8"/>
  <c r="AM66" i="8"/>
  <c r="AN66" i="8" s="1"/>
  <c r="AK66" i="8"/>
  <c r="AL66" i="8" s="1"/>
  <c r="AI66" i="8"/>
  <c r="AJ66" i="8" s="1"/>
  <c r="AG66" i="8"/>
  <c r="AH66" i="8" s="1"/>
  <c r="AE66" i="8"/>
  <c r="AF66" i="8" s="1"/>
  <c r="AC66" i="8"/>
  <c r="AD66" i="8" s="1"/>
  <c r="AA66" i="8"/>
  <c r="AB66" i="8" s="1"/>
  <c r="Y66" i="8"/>
  <c r="Z66" i="8" s="1"/>
  <c r="W66" i="8"/>
  <c r="X66" i="8" s="1"/>
  <c r="U66" i="8"/>
  <c r="V66" i="8" s="1"/>
  <c r="S66" i="8"/>
  <c r="T66" i="8" s="1"/>
  <c r="Q66" i="8"/>
  <c r="R66" i="8" s="1"/>
  <c r="O66" i="8"/>
  <c r="P66" i="8" s="1"/>
  <c r="M66" i="8"/>
  <c r="N66" i="8" s="1"/>
  <c r="K66" i="8"/>
  <c r="L66" i="8" s="1"/>
  <c r="F66" i="8"/>
  <c r="E66" i="8"/>
  <c r="F65" i="8"/>
  <c r="E65" i="8"/>
  <c r="F64" i="8"/>
  <c r="E64" i="8"/>
  <c r="F63" i="8"/>
  <c r="E63" i="8"/>
  <c r="AM62" i="8"/>
  <c r="AN62" i="8" s="1"/>
  <c r="AK62" i="8"/>
  <c r="AL62" i="8" s="1"/>
  <c r="AI62" i="8"/>
  <c r="AJ62" i="8" s="1"/>
  <c r="AG62" i="8"/>
  <c r="AH62" i="8" s="1"/>
  <c r="AE62" i="8"/>
  <c r="AF62" i="8" s="1"/>
  <c r="AC62" i="8"/>
  <c r="AD62" i="8" s="1"/>
  <c r="AA62" i="8"/>
  <c r="AB62" i="8" s="1"/>
  <c r="Y62" i="8"/>
  <c r="Z62" i="8" s="1"/>
  <c r="W62" i="8"/>
  <c r="X62" i="8" s="1"/>
  <c r="U62" i="8"/>
  <c r="V62" i="8" s="1"/>
  <c r="S62" i="8"/>
  <c r="T62" i="8" s="1"/>
  <c r="Q62" i="8"/>
  <c r="R62" i="8" s="1"/>
  <c r="O62" i="8"/>
  <c r="P62" i="8" s="1"/>
  <c r="N62" i="8"/>
  <c r="K62" i="8"/>
  <c r="L62" i="8" s="1"/>
  <c r="I62" i="8"/>
  <c r="E62" i="8"/>
  <c r="G62" i="8" s="1"/>
  <c r="AM61" i="8"/>
  <c r="AN61" i="8" s="1"/>
  <c r="AK61" i="8"/>
  <c r="AL61" i="8" s="1"/>
  <c r="AI61" i="8"/>
  <c r="AJ61" i="8" s="1"/>
  <c r="AG61" i="8"/>
  <c r="AH61" i="8" s="1"/>
  <c r="AE61" i="8"/>
  <c r="AF61" i="8" s="1"/>
  <c r="AC61" i="8"/>
  <c r="AD61" i="8" s="1"/>
  <c r="AA61" i="8"/>
  <c r="AB61" i="8" s="1"/>
  <c r="Y61" i="8"/>
  <c r="Z61" i="8" s="1"/>
  <c r="W61" i="8"/>
  <c r="X61" i="8" s="1"/>
  <c r="U61" i="8"/>
  <c r="V61" i="8" s="1"/>
  <c r="S61" i="8"/>
  <c r="T61" i="8" s="1"/>
  <c r="Q61" i="8"/>
  <c r="R61" i="8" s="1"/>
  <c r="O61" i="8"/>
  <c r="P61" i="8" s="1"/>
  <c r="N61" i="8"/>
  <c r="K61" i="8"/>
  <c r="L61" i="8" s="1"/>
  <c r="I61" i="8"/>
  <c r="E61" i="8"/>
  <c r="G61" i="8" s="1"/>
  <c r="N60" i="8"/>
  <c r="F60" i="8"/>
  <c r="E60" i="8"/>
  <c r="J56" i="8"/>
  <c r="AN55" i="8"/>
  <c r="AL55" i="8"/>
  <c r="AJ55" i="8"/>
  <c r="AH55" i="8"/>
  <c r="AF55" i="8"/>
  <c r="AD55" i="8"/>
  <c r="AB55" i="8"/>
  <c r="Z55" i="8"/>
  <c r="X55" i="8"/>
  <c r="V55" i="8"/>
  <c r="T55" i="8"/>
  <c r="R55" i="8"/>
  <c r="P55" i="8"/>
  <c r="N55" i="8"/>
  <c r="L55" i="8"/>
  <c r="AN54" i="8"/>
  <c r="AL54" i="8"/>
  <c r="AJ54" i="8"/>
  <c r="AH54" i="8"/>
  <c r="AF54" i="8"/>
  <c r="AD54" i="8"/>
  <c r="AB54" i="8"/>
  <c r="Z54" i="8"/>
  <c r="X54" i="8"/>
  <c r="V54" i="8"/>
  <c r="T54" i="8"/>
  <c r="R54" i="8"/>
  <c r="P54" i="8"/>
  <c r="N54" i="8"/>
  <c r="L54" i="8"/>
  <c r="AN53" i="8"/>
  <c r="AL53" i="8"/>
  <c r="AJ53" i="8"/>
  <c r="AH53" i="8"/>
  <c r="AF53" i="8"/>
  <c r="AD53" i="8"/>
  <c r="AB53" i="8"/>
  <c r="Z53" i="8"/>
  <c r="X53" i="8"/>
  <c r="V53" i="8"/>
  <c r="T53" i="8"/>
  <c r="R53" i="8"/>
  <c r="P53" i="8"/>
  <c r="N53" i="8"/>
  <c r="L53" i="8"/>
  <c r="E51" i="8"/>
  <c r="G51" i="8" s="1"/>
  <c r="F46" i="8"/>
  <c r="G46" i="8" s="1"/>
  <c r="F45" i="8"/>
  <c r="G45" i="8" s="1"/>
  <c r="F44" i="8"/>
  <c r="G44" i="8" s="1"/>
  <c r="F43" i="8"/>
  <c r="G43" i="8" s="1"/>
  <c r="F42" i="8"/>
  <c r="G42" i="8" s="1"/>
  <c r="F41" i="8"/>
  <c r="E41" i="8"/>
  <c r="F40" i="8"/>
  <c r="E40" i="8"/>
  <c r="F39" i="8"/>
  <c r="G39" i="8" s="1"/>
  <c r="F38" i="8"/>
  <c r="G38" i="8" s="1"/>
  <c r="F37" i="8"/>
  <c r="G37" i="8" s="1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E20" i="8"/>
  <c r="F19" i="8"/>
  <c r="E19" i="8"/>
  <c r="D18" i="8"/>
  <c r="D17" i="8"/>
  <c r="E3" i="8"/>
  <c r="E2" i="8"/>
  <c r="W1" i="8"/>
  <c r="AE6" i="8" s="1"/>
  <c r="E1" i="8"/>
  <c r="J79" i="7"/>
  <c r="E74" i="7"/>
  <c r="G74" i="7" s="1"/>
  <c r="F73" i="7"/>
  <c r="G73" i="7" s="1"/>
  <c r="F72" i="7"/>
  <c r="E72" i="7"/>
  <c r="F71" i="7"/>
  <c r="E71" i="7"/>
  <c r="F70" i="7"/>
  <c r="E70" i="7"/>
  <c r="F69" i="7"/>
  <c r="G69" i="7" s="1"/>
  <c r="F68" i="7"/>
  <c r="G68" i="7" s="1"/>
  <c r="F67" i="7"/>
  <c r="E67" i="7"/>
  <c r="AM66" i="7"/>
  <c r="AN66" i="7" s="1"/>
  <c r="AK66" i="7"/>
  <c r="AL66" i="7" s="1"/>
  <c r="AI66" i="7"/>
  <c r="AJ66" i="7" s="1"/>
  <c r="AG66" i="7"/>
  <c r="AH66" i="7" s="1"/>
  <c r="AE66" i="7"/>
  <c r="AF66" i="7" s="1"/>
  <c r="AC66" i="7"/>
  <c r="AD66" i="7" s="1"/>
  <c r="AA66" i="7"/>
  <c r="AB66" i="7" s="1"/>
  <c r="Y66" i="7"/>
  <c r="Z66" i="7" s="1"/>
  <c r="W66" i="7"/>
  <c r="X66" i="7" s="1"/>
  <c r="U66" i="7"/>
  <c r="V66" i="7" s="1"/>
  <c r="S66" i="7"/>
  <c r="T66" i="7" s="1"/>
  <c r="Q66" i="7"/>
  <c r="R66" i="7" s="1"/>
  <c r="O66" i="7"/>
  <c r="P66" i="7" s="1"/>
  <c r="M66" i="7"/>
  <c r="N66" i="7" s="1"/>
  <c r="K66" i="7"/>
  <c r="L66" i="7" s="1"/>
  <c r="F66" i="7"/>
  <c r="E66" i="7"/>
  <c r="F65" i="7"/>
  <c r="E65" i="7"/>
  <c r="F64" i="7"/>
  <c r="E64" i="7"/>
  <c r="F63" i="7"/>
  <c r="E63" i="7"/>
  <c r="AM62" i="7"/>
  <c r="AN62" i="7" s="1"/>
  <c r="AK62" i="7"/>
  <c r="AL62" i="7" s="1"/>
  <c r="AI62" i="7"/>
  <c r="AJ62" i="7" s="1"/>
  <c r="AG62" i="7"/>
  <c r="AH62" i="7" s="1"/>
  <c r="AE62" i="7"/>
  <c r="AF62" i="7" s="1"/>
  <c r="AC62" i="7"/>
  <c r="AD62" i="7" s="1"/>
  <c r="AA62" i="7"/>
  <c r="AB62" i="7" s="1"/>
  <c r="Y62" i="7"/>
  <c r="Z62" i="7" s="1"/>
  <c r="W62" i="7"/>
  <c r="X62" i="7" s="1"/>
  <c r="U62" i="7"/>
  <c r="V62" i="7" s="1"/>
  <c r="S62" i="7"/>
  <c r="T62" i="7" s="1"/>
  <c r="Q62" i="7"/>
  <c r="R62" i="7" s="1"/>
  <c r="O62" i="7"/>
  <c r="P62" i="7" s="1"/>
  <c r="N62" i="7"/>
  <c r="K62" i="7"/>
  <c r="L62" i="7" s="1"/>
  <c r="I62" i="7"/>
  <c r="E62" i="7"/>
  <c r="G62" i="7" s="1"/>
  <c r="AM61" i="7"/>
  <c r="AN61" i="7" s="1"/>
  <c r="AK61" i="7"/>
  <c r="AL61" i="7" s="1"/>
  <c r="AI61" i="7"/>
  <c r="AJ61" i="7" s="1"/>
  <c r="AG61" i="7"/>
  <c r="AH61" i="7" s="1"/>
  <c r="AE61" i="7"/>
  <c r="AF61" i="7" s="1"/>
  <c r="AC61" i="7"/>
  <c r="AD61" i="7" s="1"/>
  <c r="AA61" i="7"/>
  <c r="AB61" i="7" s="1"/>
  <c r="Y61" i="7"/>
  <c r="Z61" i="7" s="1"/>
  <c r="W61" i="7"/>
  <c r="X61" i="7" s="1"/>
  <c r="U61" i="7"/>
  <c r="V61" i="7" s="1"/>
  <c r="S61" i="7"/>
  <c r="T61" i="7" s="1"/>
  <c r="Q61" i="7"/>
  <c r="R61" i="7" s="1"/>
  <c r="O61" i="7"/>
  <c r="P61" i="7" s="1"/>
  <c r="N61" i="7"/>
  <c r="K61" i="7"/>
  <c r="L61" i="7" s="1"/>
  <c r="I61" i="7"/>
  <c r="E61" i="7"/>
  <c r="G61" i="7" s="1"/>
  <c r="N60" i="7"/>
  <c r="F60" i="7"/>
  <c r="E60" i="7"/>
  <c r="J56" i="7"/>
  <c r="AN55" i="7"/>
  <c r="AL55" i="7"/>
  <c r="AJ55" i="7"/>
  <c r="AH55" i="7"/>
  <c r="AF55" i="7"/>
  <c r="AD55" i="7"/>
  <c r="AB55" i="7"/>
  <c r="Z55" i="7"/>
  <c r="X55" i="7"/>
  <c r="V55" i="7"/>
  <c r="T55" i="7"/>
  <c r="R55" i="7"/>
  <c r="P55" i="7"/>
  <c r="N55" i="7"/>
  <c r="L55" i="7"/>
  <c r="AN54" i="7"/>
  <c r="AL54" i="7"/>
  <c r="AJ54" i="7"/>
  <c r="AH54" i="7"/>
  <c r="AF54" i="7"/>
  <c r="AD54" i="7"/>
  <c r="AB54" i="7"/>
  <c r="Z54" i="7"/>
  <c r="X54" i="7"/>
  <c r="V54" i="7"/>
  <c r="T54" i="7"/>
  <c r="R54" i="7"/>
  <c r="P54" i="7"/>
  <c r="N54" i="7"/>
  <c r="L54" i="7"/>
  <c r="AN53" i="7"/>
  <c r="AL53" i="7"/>
  <c r="AJ53" i="7"/>
  <c r="AH53" i="7"/>
  <c r="AF53" i="7"/>
  <c r="AD53" i="7"/>
  <c r="AB53" i="7"/>
  <c r="Z53" i="7"/>
  <c r="X53" i="7"/>
  <c r="V53" i="7"/>
  <c r="T53" i="7"/>
  <c r="R53" i="7"/>
  <c r="P53" i="7"/>
  <c r="N53" i="7"/>
  <c r="L53" i="7"/>
  <c r="E51" i="7"/>
  <c r="G51" i="7" s="1"/>
  <c r="F46" i="7"/>
  <c r="G46" i="7" s="1"/>
  <c r="F45" i="7"/>
  <c r="G45" i="7" s="1"/>
  <c r="F44" i="7"/>
  <c r="G44" i="7" s="1"/>
  <c r="F43" i="7"/>
  <c r="G43" i="7" s="1"/>
  <c r="F42" i="7"/>
  <c r="G42" i="7" s="1"/>
  <c r="F41" i="7"/>
  <c r="E41" i="7"/>
  <c r="F40" i="7"/>
  <c r="E40" i="7"/>
  <c r="F39" i="7"/>
  <c r="G39" i="7" s="1"/>
  <c r="F38" i="7"/>
  <c r="G38" i="7" s="1"/>
  <c r="F37" i="7"/>
  <c r="G37" i="7" s="1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E20" i="7"/>
  <c r="F19" i="7"/>
  <c r="E19" i="7"/>
  <c r="D18" i="7"/>
  <c r="D17" i="7"/>
  <c r="E3" i="7"/>
  <c r="E2" i="7"/>
  <c r="W1" i="7"/>
  <c r="AI6" i="7" s="1"/>
  <c r="E1" i="7"/>
  <c r="J79" i="6"/>
  <c r="E74" i="6"/>
  <c r="G74" i="6" s="1"/>
  <c r="F73" i="6"/>
  <c r="G73" i="6" s="1"/>
  <c r="F72" i="6"/>
  <c r="E72" i="6"/>
  <c r="F71" i="6"/>
  <c r="E71" i="6"/>
  <c r="F70" i="6"/>
  <c r="E70" i="6"/>
  <c r="F69" i="6"/>
  <c r="G69" i="6" s="1"/>
  <c r="F68" i="6"/>
  <c r="G68" i="6" s="1"/>
  <c r="F67" i="6"/>
  <c r="E67" i="6"/>
  <c r="AM66" i="6"/>
  <c r="AN66" i="6" s="1"/>
  <c r="AK66" i="6"/>
  <c r="AL66" i="6" s="1"/>
  <c r="AI66" i="6"/>
  <c r="AJ66" i="6" s="1"/>
  <c r="AG66" i="6"/>
  <c r="AH66" i="6" s="1"/>
  <c r="AE66" i="6"/>
  <c r="AF66" i="6" s="1"/>
  <c r="AC66" i="6"/>
  <c r="AD66" i="6" s="1"/>
  <c r="AA66" i="6"/>
  <c r="AB66" i="6" s="1"/>
  <c r="Y66" i="6"/>
  <c r="Z66" i="6" s="1"/>
  <c r="W66" i="6"/>
  <c r="X66" i="6" s="1"/>
  <c r="U66" i="6"/>
  <c r="V66" i="6" s="1"/>
  <c r="S66" i="6"/>
  <c r="T66" i="6" s="1"/>
  <c r="Q66" i="6"/>
  <c r="R66" i="6" s="1"/>
  <c r="O66" i="6"/>
  <c r="P66" i="6" s="1"/>
  <c r="M66" i="6"/>
  <c r="N66" i="6" s="1"/>
  <c r="K66" i="6"/>
  <c r="L66" i="6" s="1"/>
  <c r="F66" i="6"/>
  <c r="E66" i="6"/>
  <c r="F65" i="6"/>
  <c r="E65" i="6"/>
  <c r="F64" i="6"/>
  <c r="E64" i="6"/>
  <c r="F63" i="6"/>
  <c r="E63" i="6"/>
  <c r="AM62" i="6"/>
  <c r="AN62" i="6" s="1"/>
  <c r="AK62" i="6"/>
  <c r="AL62" i="6" s="1"/>
  <c r="AI62" i="6"/>
  <c r="AJ62" i="6" s="1"/>
  <c r="AG62" i="6"/>
  <c r="AH62" i="6" s="1"/>
  <c r="AE62" i="6"/>
  <c r="AF62" i="6" s="1"/>
  <c r="AC62" i="6"/>
  <c r="AD62" i="6" s="1"/>
  <c r="AA62" i="6"/>
  <c r="AB62" i="6" s="1"/>
  <c r="Y62" i="6"/>
  <c r="Z62" i="6" s="1"/>
  <c r="W62" i="6"/>
  <c r="X62" i="6" s="1"/>
  <c r="U62" i="6"/>
  <c r="V62" i="6" s="1"/>
  <c r="S62" i="6"/>
  <c r="T62" i="6" s="1"/>
  <c r="Q62" i="6"/>
  <c r="R62" i="6" s="1"/>
  <c r="O62" i="6"/>
  <c r="P62" i="6" s="1"/>
  <c r="N62" i="6"/>
  <c r="K62" i="6"/>
  <c r="L62" i="6" s="1"/>
  <c r="I62" i="6"/>
  <c r="E62" i="6"/>
  <c r="G62" i="6" s="1"/>
  <c r="AM61" i="6"/>
  <c r="AN61" i="6" s="1"/>
  <c r="AK61" i="6"/>
  <c r="AL61" i="6" s="1"/>
  <c r="AI61" i="6"/>
  <c r="AJ61" i="6" s="1"/>
  <c r="AG61" i="6"/>
  <c r="AH61" i="6" s="1"/>
  <c r="AE61" i="6"/>
  <c r="AF61" i="6" s="1"/>
  <c r="AC61" i="6"/>
  <c r="AD61" i="6" s="1"/>
  <c r="AA61" i="6"/>
  <c r="AB61" i="6" s="1"/>
  <c r="Y61" i="6"/>
  <c r="Z61" i="6" s="1"/>
  <c r="W61" i="6"/>
  <c r="X61" i="6" s="1"/>
  <c r="U61" i="6"/>
  <c r="V61" i="6" s="1"/>
  <c r="S61" i="6"/>
  <c r="T61" i="6" s="1"/>
  <c r="Q61" i="6"/>
  <c r="R61" i="6" s="1"/>
  <c r="O61" i="6"/>
  <c r="P61" i="6" s="1"/>
  <c r="N61" i="6"/>
  <c r="K61" i="6"/>
  <c r="L61" i="6" s="1"/>
  <c r="I61" i="6"/>
  <c r="E61" i="6"/>
  <c r="G61" i="6" s="1"/>
  <c r="N60" i="6"/>
  <c r="F60" i="6"/>
  <c r="E60" i="6"/>
  <c r="J56" i="6"/>
  <c r="AN55" i="6"/>
  <c r="AL55" i="6"/>
  <c r="AJ55" i="6"/>
  <c r="AH55" i="6"/>
  <c r="AF55" i="6"/>
  <c r="AD55" i="6"/>
  <c r="AB55" i="6"/>
  <c r="Z55" i="6"/>
  <c r="X55" i="6"/>
  <c r="V55" i="6"/>
  <c r="T55" i="6"/>
  <c r="R55" i="6"/>
  <c r="P55" i="6"/>
  <c r="N55" i="6"/>
  <c r="L55" i="6"/>
  <c r="AN54" i="6"/>
  <c r="AL54" i="6"/>
  <c r="AJ54" i="6"/>
  <c r="AH54" i="6"/>
  <c r="AF54" i="6"/>
  <c r="AD54" i="6"/>
  <c r="AB54" i="6"/>
  <c r="Z54" i="6"/>
  <c r="X54" i="6"/>
  <c r="V54" i="6"/>
  <c r="T54" i="6"/>
  <c r="R54" i="6"/>
  <c r="P54" i="6"/>
  <c r="N54" i="6"/>
  <c r="L54" i="6"/>
  <c r="AN53" i="6"/>
  <c r="AL53" i="6"/>
  <c r="AJ53" i="6"/>
  <c r="AH53" i="6"/>
  <c r="AF53" i="6"/>
  <c r="AD53" i="6"/>
  <c r="AB53" i="6"/>
  <c r="Z53" i="6"/>
  <c r="X53" i="6"/>
  <c r="V53" i="6"/>
  <c r="T53" i="6"/>
  <c r="R53" i="6"/>
  <c r="P53" i="6"/>
  <c r="N53" i="6"/>
  <c r="L53" i="6"/>
  <c r="E51" i="6"/>
  <c r="G51" i="6" s="1"/>
  <c r="F46" i="6"/>
  <c r="G46" i="6" s="1"/>
  <c r="F45" i="6"/>
  <c r="G45" i="6" s="1"/>
  <c r="F44" i="6"/>
  <c r="G44" i="6" s="1"/>
  <c r="F43" i="6"/>
  <c r="G43" i="6" s="1"/>
  <c r="F42" i="6"/>
  <c r="G42" i="6" s="1"/>
  <c r="F41" i="6"/>
  <c r="E41" i="6"/>
  <c r="F40" i="6"/>
  <c r="E40" i="6"/>
  <c r="F39" i="6"/>
  <c r="G39" i="6" s="1"/>
  <c r="F38" i="6"/>
  <c r="G38" i="6" s="1"/>
  <c r="F37" i="6"/>
  <c r="G37" i="6" s="1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E20" i="6"/>
  <c r="F19" i="6"/>
  <c r="E19" i="6"/>
  <c r="D18" i="6"/>
  <c r="D17" i="6"/>
  <c r="E3" i="6"/>
  <c r="E2" i="6"/>
  <c r="W1" i="6"/>
  <c r="S6" i="6" s="1"/>
  <c r="E1" i="6"/>
  <c r="J79" i="5"/>
  <c r="E74" i="5"/>
  <c r="G74" i="5" s="1"/>
  <c r="F73" i="5"/>
  <c r="G73" i="5" s="1"/>
  <c r="F72" i="5"/>
  <c r="E72" i="5"/>
  <c r="F71" i="5"/>
  <c r="E71" i="5"/>
  <c r="F70" i="5"/>
  <c r="E70" i="5"/>
  <c r="F69" i="5"/>
  <c r="G69" i="5" s="1"/>
  <c r="F68" i="5"/>
  <c r="G68" i="5" s="1"/>
  <c r="F67" i="5"/>
  <c r="E67" i="5"/>
  <c r="AM66" i="5"/>
  <c r="AN66" i="5" s="1"/>
  <c r="AK66" i="5"/>
  <c r="AL66" i="5" s="1"/>
  <c r="AI66" i="5"/>
  <c r="AJ66" i="5" s="1"/>
  <c r="AG66" i="5"/>
  <c r="AH66" i="5" s="1"/>
  <c r="AE66" i="5"/>
  <c r="AF66" i="5" s="1"/>
  <c r="AC66" i="5"/>
  <c r="AD66" i="5" s="1"/>
  <c r="AA66" i="5"/>
  <c r="AB66" i="5" s="1"/>
  <c r="Y66" i="5"/>
  <c r="Z66" i="5" s="1"/>
  <c r="W66" i="5"/>
  <c r="X66" i="5" s="1"/>
  <c r="U66" i="5"/>
  <c r="V66" i="5" s="1"/>
  <c r="S66" i="5"/>
  <c r="T66" i="5" s="1"/>
  <c r="Q66" i="5"/>
  <c r="R66" i="5" s="1"/>
  <c r="O66" i="5"/>
  <c r="P66" i="5" s="1"/>
  <c r="M66" i="5"/>
  <c r="N66" i="5" s="1"/>
  <c r="K66" i="5"/>
  <c r="L66" i="5" s="1"/>
  <c r="F66" i="5"/>
  <c r="E66" i="5"/>
  <c r="F65" i="5"/>
  <c r="E65" i="5"/>
  <c r="F64" i="5"/>
  <c r="E64" i="5"/>
  <c r="F63" i="5"/>
  <c r="E63" i="5"/>
  <c r="AM62" i="5"/>
  <c r="AN62" i="5" s="1"/>
  <c r="AK62" i="5"/>
  <c r="AL62" i="5" s="1"/>
  <c r="AI62" i="5"/>
  <c r="AJ62" i="5" s="1"/>
  <c r="AG62" i="5"/>
  <c r="AH62" i="5" s="1"/>
  <c r="AE62" i="5"/>
  <c r="AF62" i="5" s="1"/>
  <c r="AC62" i="5"/>
  <c r="AD62" i="5" s="1"/>
  <c r="AA62" i="5"/>
  <c r="AB62" i="5" s="1"/>
  <c r="Y62" i="5"/>
  <c r="Z62" i="5" s="1"/>
  <c r="W62" i="5"/>
  <c r="X62" i="5" s="1"/>
  <c r="U62" i="5"/>
  <c r="V62" i="5" s="1"/>
  <c r="S62" i="5"/>
  <c r="T62" i="5" s="1"/>
  <c r="Q62" i="5"/>
  <c r="R62" i="5" s="1"/>
  <c r="O62" i="5"/>
  <c r="P62" i="5" s="1"/>
  <c r="N62" i="5"/>
  <c r="K62" i="5"/>
  <c r="L62" i="5" s="1"/>
  <c r="I62" i="5"/>
  <c r="E62" i="5"/>
  <c r="G62" i="5" s="1"/>
  <c r="AM61" i="5"/>
  <c r="AN61" i="5" s="1"/>
  <c r="AK61" i="5"/>
  <c r="AL61" i="5" s="1"/>
  <c r="AI61" i="5"/>
  <c r="AJ61" i="5" s="1"/>
  <c r="AG61" i="5"/>
  <c r="AH61" i="5" s="1"/>
  <c r="AE61" i="5"/>
  <c r="AF61" i="5" s="1"/>
  <c r="AC61" i="5"/>
  <c r="AD61" i="5" s="1"/>
  <c r="AA61" i="5"/>
  <c r="AB61" i="5" s="1"/>
  <c r="Y61" i="5"/>
  <c r="Z61" i="5" s="1"/>
  <c r="W61" i="5"/>
  <c r="X61" i="5" s="1"/>
  <c r="U61" i="5"/>
  <c r="V61" i="5" s="1"/>
  <c r="S61" i="5"/>
  <c r="T61" i="5" s="1"/>
  <c r="Q61" i="5"/>
  <c r="R61" i="5" s="1"/>
  <c r="O61" i="5"/>
  <c r="P61" i="5" s="1"/>
  <c r="N61" i="5"/>
  <c r="K61" i="5"/>
  <c r="L61" i="5" s="1"/>
  <c r="I61" i="5"/>
  <c r="E61" i="5"/>
  <c r="G61" i="5" s="1"/>
  <c r="N60" i="5"/>
  <c r="F60" i="5"/>
  <c r="E60" i="5"/>
  <c r="J56" i="5"/>
  <c r="AN55" i="5"/>
  <c r="AL55" i="5"/>
  <c r="AJ55" i="5"/>
  <c r="AH55" i="5"/>
  <c r="AF55" i="5"/>
  <c r="AD55" i="5"/>
  <c r="AB55" i="5"/>
  <c r="Z55" i="5"/>
  <c r="X55" i="5"/>
  <c r="V55" i="5"/>
  <c r="T55" i="5"/>
  <c r="R55" i="5"/>
  <c r="P55" i="5"/>
  <c r="N55" i="5"/>
  <c r="L55" i="5"/>
  <c r="AN54" i="5"/>
  <c r="AL54" i="5"/>
  <c r="AJ54" i="5"/>
  <c r="AH54" i="5"/>
  <c r="AF54" i="5"/>
  <c r="AD54" i="5"/>
  <c r="AB54" i="5"/>
  <c r="Z54" i="5"/>
  <c r="X54" i="5"/>
  <c r="V54" i="5"/>
  <c r="T54" i="5"/>
  <c r="R54" i="5"/>
  <c r="P54" i="5"/>
  <c r="N54" i="5"/>
  <c r="L54" i="5"/>
  <c r="AN53" i="5"/>
  <c r="AL53" i="5"/>
  <c r="AJ53" i="5"/>
  <c r="AH53" i="5"/>
  <c r="AF53" i="5"/>
  <c r="AD53" i="5"/>
  <c r="AB53" i="5"/>
  <c r="Z53" i="5"/>
  <c r="X53" i="5"/>
  <c r="V53" i="5"/>
  <c r="T53" i="5"/>
  <c r="R53" i="5"/>
  <c r="P53" i="5"/>
  <c r="N53" i="5"/>
  <c r="L53" i="5"/>
  <c r="E51" i="5"/>
  <c r="G51" i="5" s="1"/>
  <c r="F46" i="5"/>
  <c r="G46" i="5" s="1"/>
  <c r="F45" i="5"/>
  <c r="G45" i="5" s="1"/>
  <c r="F44" i="5"/>
  <c r="G44" i="5" s="1"/>
  <c r="F43" i="5"/>
  <c r="G43" i="5" s="1"/>
  <c r="F42" i="5"/>
  <c r="G42" i="5" s="1"/>
  <c r="F41" i="5"/>
  <c r="E41" i="5"/>
  <c r="F40" i="5"/>
  <c r="E40" i="5"/>
  <c r="F39" i="5"/>
  <c r="G39" i="5" s="1"/>
  <c r="F38" i="5"/>
  <c r="G38" i="5" s="1"/>
  <c r="F37" i="5"/>
  <c r="G37" i="5" s="1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E20" i="5"/>
  <c r="F19" i="5"/>
  <c r="E19" i="5"/>
  <c r="D18" i="5"/>
  <c r="D17" i="5"/>
  <c r="E3" i="5"/>
  <c r="E2" i="5"/>
  <c r="W1" i="5"/>
  <c r="W6" i="5" s="1"/>
  <c r="E1" i="5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O62" i="1"/>
  <c r="AP62" i="1" s="1"/>
  <c r="AO61" i="1"/>
  <c r="AP61" i="1" s="1"/>
  <c r="AM62" i="1"/>
  <c r="AN62" i="1" s="1"/>
  <c r="AM61" i="1"/>
  <c r="AN61" i="1" s="1"/>
  <c r="AI62" i="1"/>
  <c r="AJ62" i="1" s="1"/>
  <c r="AI61" i="1"/>
  <c r="AJ61" i="1" s="1"/>
  <c r="AG62" i="1"/>
  <c r="AH62" i="1" s="1"/>
  <c r="AG61" i="1"/>
  <c r="AH61" i="1" s="1"/>
  <c r="AE62" i="1"/>
  <c r="AF62" i="1" s="1"/>
  <c r="AE61" i="1"/>
  <c r="AF61" i="1" s="1"/>
  <c r="AC62" i="1"/>
  <c r="AD62" i="1" s="1"/>
  <c r="AC61" i="1"/>
  <c r="AD61" i="1" s="1"/>
  <c r="AA62" i="1"/>
  <c r="AB62" i="1" s="1"/>
  <c r="AA61" i="1"/>
  <c r="AB61" i="1" s="1"/>
  <c r="Y62" i="1"/>
  <c r="Z62" i="1" s="1"/>
  <c r="Y61" i="1"/>
  <c r="Z61" i="1" s="1"/>
  <c r="W62" i="1"/>
  <c r="X62" i="1" s="1"/>
  <c r="W61" i="1"/>
  <c r="X61" i="1" s="1"/>
  <c r="U62" i="1"/>
  <c r="V62" i="1" s="1"/>
  <c r="U61" i="1"/>
  <c r="V61" i="1" s="1"/>
  <c r="S62" i="1"/>
  <c r="T62" i="1" s="1"/>
  <c r="S61" i="1"/>
  <c r="T61" i="1" s="1"/>
  <c r="Q62" i="1"/>
  <c r="R62" i="1" s="1"/>
  <c r="Q61" i="1"/>
  <c r="R61" i="1" s="1"/>
  <c r="O61" i="1"/>
  <c r="P61" i="1" s="1"/>
  <c r="O62" i="1"/>
  <c r="P62" i="1" s="1"/>
  <c r="K62" i="1"/>
  <c r="L62" i="1" s="1"/>
  <c r="K61" i="1"/>
  <c r="L61" i="1" s="1"/>
  <c r="N62" i="1"/>
  <c r="N61" i="1"/>
  <c r="N60" i="1"/>
  <c r="AO66" i="1"/>
  <c r="AP66" i="1" s="1"/>
  <c r="AM66" i="1"/>
  <c r="AN66" i="1" s="1"/>
  <c r="AI66" i="1"/>
  <c r="AJ66" i="1" s="1"/>
  <c r="AG66" i="1"/>
  <c r="AH66" i="1" s="1"/>
  <c r="AE66" i="1"/>
  <c r="AF66" i="1" s="1"/>
  <c r="AC66" i="1"/>
  <c r="AD66" i="1" s="1"/>
  <c r="AA66" i="1"/>
  <c r="AB66" i="1" s="1"/>
  <c r="Y66" i="1"/>
  <c r="Z66" i="1" s="1"/>
  <c r="W66" i="1"/>
  <c r="X66" i="1" s="1"/>
  <c r="U66" i="1"/>
  <c r="V66" i="1" s="1"/>
  <c r="S66" i="1"/>
  <c r="T66" i="1" s="1"/>
  <c r="Q66" i="1"/>
  <c r="R66" i="1" s="1"/>
  <c r="O66" i="1"/>
  <c r="P66" i="1" s="1"/>
  <c r="M66" i="1"/>
  <c r="N66" i="1" s="1"/>
  <c r="K66" i="1"/>
  <c r="L66" i="1" s="1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D31" i="4"/>
  <c r="D17" i="1"/>
  <c r="D18" i="1"/>
  <c r="A37" i="4"/>
  <c r="A38" i="4" s="1"/>
  <c r="A39" i="4" s="1"/>
  <c r="A40" i="4" s="1"/>
  <c r="A41" i="4" s="1"/>
  <c r="A42" i="4" s="1"/>
  <c r="A35" i="4" s="1"/>
  <c r="A36" i="4" s="1"/>
  <c r="D30" i="1" s="1"/>
  <c r="E30" i="1" s="1"/>
  <c r="A25" i="4"/>
  <c r="A26" i="4" s="1"/>
  <c r="A27" i="4" s="1"/>
  <c r="A28" i="4" s="1"/>
  <c r="A29" i="4" s="1"/>
  <c r="A30" i="4" s="1"/>
  <c r="A23" i="4" s="1"/>
  <c r="A24" i="4" s="1"/>
  <c r="D22" i="1" s="1"/>
  <c r="E22" i="1" s="1"/>
  <c r="A10" i="4"/>
  <c r="A11" i="4" s="1"/>
  <c r="A12" i="4" s="1"/>
  <c r="A13" i="4" s="1"/>
  <c r="A14" i="4" s="1"/>
  <c r="A15" i="4" s="1"/>
  <c r="A8" i="4" s="1"/>
  <c r="A9" i="4" s="1"/>
  <c r="D10" i="1" s="1"/>
  <c r="E40" i="1"/>
  <c r="E41" i="1"/>
  <c r="E20" i="1"/>
  <c r="E19" i="1"/>
  <c r="E51" i="1"/>
  <c r="G51" i="1" s="1"/>
  <c r="E74" i="1"/>
  <c r="G74" i="1" s="1"/>
  <c r="F60" i="1"/>
  <c r="AN53" i="1"/>
  <c r="AP53" i="1"/>
  <c r="AN54" i="1"/>
  <c r="AP54" i="1"/>
  <c r="AN55" i="1"/>
  <c r="AP55" i="1"/>
  <c r="G13" i="3"/>
  <c r="F4" i="3" s="1"/>
  <c r="G12" i="3"/>
  <c r="Q32" i="3" s="1"/>
  <c r="C9" i="3"/>
  <c r="C10" i="3"/>
  <c r="D11" i="3"/>
  <c r="D5" i="3"/>
  <c r="D6" i="3"/>
  <c r="D7" i="3"/>
  <c r="D8" i="3"/>
  <c r="D9" i="3"/>
  <c r="D10" i="3"/>
  <c r="D4" i="3"/>
  <c r="U32" i="3"/>
  <c r="R32" i="3" s="1"/>
  <c r="E72" i="1"/>
  <c r="E71" i="1"/>
  <c r="E70" i="1"/>
  <c r="E61" i="1"/>
  <c r="G61" i="1" s="1"/>
  <c r="E62" i="1"/>
  <c r="G62" i="1" s="1"/>
  <c r="E63" i="1"/>
  <c r="E64" i="1"/>
  <c r="E65" i="1"/>
  <c r="E66" i="1"/>
  <c r="E67" i="1"/>
  <c r="E60" i="1"/>
  <c r="F70" i="1"/>
  <c r="F71" i="1"/>
  <c r="F72" i="1"/>
  <c r="F73" i="1"/>
  <c r="G73" i="1" s="1"/>
  <c r="F68" i="1"/>
  <c r="G68" i="1" s="1"/>
  <c r="F69" i="1"/>
  <c r="G69" i="1" s="1"/>
  <c r="F64" i="1"/>
  <c r="F65" i="1"/>
  <c r="F66" i="1"/>
  <c r="F67" i="1"/>
  <c r="F63" i="1"/>
  <c r="F29" i="1"/>
  <c r="F30" i="1"/>
  <c r="F31" i="1"/>
  <c r="F32" i="1"/>
  <c r="F33" i="1"/>
  <c r="F34" i="1"/>
  <c r="F35" i="1"/>
  <c r="F36" i="1"/>
  <c r="F37" i="1"/>
  <c r="G37" i="1" s="1"/>
  <c r="F38" i="1"/>
  <c r="G38" i="1" s="1"/>
  <c r="F39" i="1"/>
  <c r="G39" i="1" s="1"/>
  <c r="F40" i="1"/>
  <c r="F41" i="1"/>
  <c r="F42" i="1"/>
  <c r="G42" i="1" s="1"/>
  <c r="F43" i="1"/>
  <c r="G43" i="1" s="1"/>
  <c r="F44" i="1"/>
  <c r="G44" i="1" s="1"/>
  <c r="F45" i="1"/>
  <c r="G45" i="1" s="1"/>
  <c r="F46" i="1"/>
  <c r="G46" i="1" s="1"/>
  <c r="F22" i="1"/>
  <c r="F23" i="1"/>
  <c r="F24" i="1"/>
  <c r="F25" i="1"/>
  <c r="F26" i="1"/>
  <c r="F27" i="1"/>
  <c r="F28" i="1"/>
  <c r="F20" i="1"/>
  <c r="F21" i="1"/>
  <c r="F19" i="1"/>
  <c r="W1" i="1"/>
  <c r="Y6" i="1" s="1"/>
  <c r="E3" i="1"/>
  <c r="E2" i="1"/>
  <c r="E1" i="1"/>
  <c r="J79" i="1"/>
  <c r="I61" i="1"/>
  <c r="I62" i="1"/>
  <c r="J56" i="1"/>
  <c r="L53" i="1"/>
  <c r="N53" i="1"/>
  <c r="P53" i="1"/>
  <c r="R53" i="1"/>
  <c r="T53" i="1"/>
  <c r="V53" i="1"/>
  <c r="X53" i="1"/>
  <c r="Z53" i="1"/>
  <c r="AB53" i="1"/>
  <c r="AD53" i="1"/>
  <c r="AF53" i="1"/>
  <c r="AH53" i="1"/>
  <c r="AJ53" i="1"/>
  <c r="L54" i="1"/>
  <c r="N54" i="1"/>
  <c r="P54" i="1"/>
  <c r="R54" i="1"/>
  <c r="T54" i="1"/>
  <c r="V54" i="1"/>
  <c r="X54" i="1"/>
  <c r="Z54" i="1"/>
  <c r="AB54" i="1"/>
  <c r="AD54" i="1"/>
  <c r="AF54" i="1"/>
  <c r="AH54" i="1"/>
  <c r="AJ54" i="1"/>
  <c r="L55" i="1"/>
  <c r="N55" i="1"/>
  <c r="P55" i="1"/>
  <c r="R55" i="1"/>
  <c r="T55" i="1"/>
  <c r="V55" i="1"/>
  <c r="X55" i="1"/>
  <c r="Z55" i="1"/>
  <c r="AB55" i="1"/>
  <c r="AD55" i="1"/>
  <c r="AF55" i="1"/>
  <c r="AH55" i="1"/>
  <c r="AJ55" i="1"/>
  <c r="D23" i="6" l="1"/>
  <c r="E23" i="6" s="1"/>
  <c r="D29" i="7"/>
  <c r="E29" i="7" s="1"/>
  <c r="D35" i="7"/>
  <c r="E35" i="7" s="1"/>
  <c r="G35" i="7" s="1"/>
  <c r="D31" i="6"/>
  <c r="E31" i="6" s="1"/>
  <c r="G31" i="6" s="1"/>
  <c r="D32" i="8"/>
  <c r="E32" i="8" s="1"/>
  <c r="G32" i="8" s="1"/>
  <c r="D30" i="7"/>
  <c r="E30" i="7" s="1"/>
  <c r="G30" i="7" s="1"/>
  <c r="D26" i="8"/>
  <c r="E26" i="8" s="1"/>
  <c r="G26" i="8" s="1"/>
  <c r="D24" i="7"/>
  <c r="E24" i="7" s="1"/>
  <c r="G24" i="7" s="1"/>
  <c r="D33" i="8"/>
  <c r="E33" i="8" s="1"/>
  <c r="G33" i="8" s="1"/>
  <c r="D26" i="6"/>
  <c r="E26" i="6" s="1"/>
  <c r="G26" i="6" s="1"/>
  <c r="D27" i="8"/>
  <c r="E27" i="8" s="1"/>
  <c r="G27" i="8" s="1"/>
  <c r="D25" i="7"/>
  <c r="E25" i="7" s="1"/>
  <c r="D21" i="6"/>
  <c r="E21" i="6" s="1"/>
  <c r="G21" i="6" s="1"/>
  <c r="D27" i="6"/>
  <c r="E27" i="6" s="1"/>
  <c r="D33" i="7"/>
  <c r="E33" i="7" s="1"/>
  <c r="G33" i="7" s="1"/>
  <c r="D28" i="8"/>
  <c r="E28" i="8" s="1"/>
  <c r="G28" i="8" s="1"/>
  <c r="D14" i="6"/>
  <c r="D21" i="8"/>
  <c r="E21" i="8" s="1"/>
  <c r="G21" i="8" s="1"/>
  <c r="D34" i="8"/>
  <c r="E34" i="8" s="1"/>
  <c r="G34" i="8" s="1"/>
  <c r="D22" i="8"/>
  <c r="E22" i="8" s="1"/>
  <c r="G22" i="8" s="1"/>
  <c r="D35" i="5"/>
  <c r="E35" i="5" s="1"/>
  <c r="G35" i="5" s="1"/>
  <c r="D12" i="6"/>
  <c r="D22" i="6"/>
  <c r="E22" i="6" s="1"/>
  <c r="G22" i="6" s="1"/>
  <c r="D34" i="7"/>
  <c r="E34" i="7" s="1"/>
  <c r="G34" i="7" s="1"/>
  <c r="K7" i="7" a="1"/>
  <c r="K7" i="7" s="1"/>
  <c r="K36" i="7" s="1"/>
  <c r="L36" i="7" s="1"/>
  <c r="D9" i="8"/>
  <c r="D13" i="6"/>
  <c r="D32" i="6"/>
  <c r="E32" i="6" s="1"/>
  <c r="G32" i="6" s="1"/>
  <c r="D10" i="8"/>
  <c r="D11" i="8"/>
  <c r="D25" i="5"/>
  <c r="E25" i="5" s="1"/>
  <c r="G25" i="5" s="1"/>
  <c r="D15" i="6"/>
  <c r="D33" i="6"/>
  <c r="E33" i="6" s="1"/>
  <c r="G33" i="6" s="1"/>
  <c r="D12" i="8"/>
  <c r="D16" i="6"/>
  <c r="D28" i="6"/>
  <c r="E28" i="6" s="1"/>
  <c r="G28" i="6" s="1"/>
  <c r="D34" i="6"/>
  <c r="E34" i="6" s="1"/>
  <c r="G34" i="6" s="1"/>
  <c r="D10" i="7"/>
  <c r="D14" i="8"/>
  <c r="D11" i="7"/>
  <c r="D21" i="7"/>
  <c r="E21" i="7" s="1"/>
  <c r="G21" i="7" s="1"/>
  <c r="D36" i="7"/>
  <c r="E36" i="7" s="1"/>
  <c r="G36" i="7" s="1"/>
  <c r="D15" i="8"/>
  <c r="D23" i="8"/>
  <c r="E23" i="8" s="1"/>
  <c r="G23" i="8" s="1"/>
  <c r="D29" i="8"/>
  <c r="E29" i="8" s="1"/>
  <c r="G29" i="8" s="1"/>
  <c r="D35" i="8"/>
  <c r="E35" i="8" s="1"/>
  <c r="G35" i="8" s="1"/>
  <c r="D13" i="8"/>
  <c r="D24" i="6"/>
  <c r="E24" i="6" s="1"/>
  <c r="G24" i="6" s="1"/>
  <c r="D29" i="6"/>
  <c r="E29" i="6" s="1"/>
  <c r="G29" i="6" s="1"/>
  <c r="D35" i="6"/>
  <c r="E35" i="6" s="1"/>
  <c r="G35" i="6" s="1"/>
  <c r="D12" i="7"/>
  <c r="D26" i="7"/>
  <c r="E26" i="7" s="1"/>
  <c r="G26" i="7" s="1"/>
  <c r="D31" i="7"/>
  <c r="E31" i="7" s="1"/>
  <c r="G31" i="7" s="1"/>
  <c r="D16" i="8"/>
  <c r="D13" i="7"/>
  <c r="D24" i="8"/>
  <c r="E24" i="8" s="1"/>
  <c r="G24" i="8" s="1"/>
  <c r="D30" i="8"/>
  <c r="E30" i="8" s="1"/>
  <c r="G30" i="8" s="1"/>
  <c r="D36" i="8"/>
  <c r="E36" i="8" s="1"/>
  <c r="G36" i="8" s="1"/>
  <c r="D9" i="6"/>
  <c r="D25" i="6"/>
  <c r="E25" i="6" s="1"/>
  <c r="G25" i="6" s="1"/>
  <c r="D30" i="6"/>
  <c r="E30" i="6" s="1"/>
  <c r="G30" i="6" s="1"/>
  <c r="D14" i="7"/>
  <c r="D22" i="7"/>
  <c r="E22" i="7" s="1"/>
  <c r="G22" i="7" s="1"/>
  <c r="D27" i="7"/>
  <c r="E27" i="7" s="1"/>
  <c r="G27" i="7" s="1"/>
  <c r="D32" i="7"/>
  <c r="E32" i="7" s="1"/>
  <c r="G32" i="7" s="1"/>
  <c r="D9" i="7"/>
  <c r="D21" i="5"/>
  <c r="E21" i="5" s="1"/>
  <c r="G21" i="5" s="1"/>
  <c r="D10" i="6"/>
  <c r="D36" i="6"/>
  <c r="E36" i="6" s="1"/>
  <c r="G36" i="6" s="1"/>
  <c r="D15" i="7"/>
  <c r="D25" i="8"/>
  <c r="E25" i="8" s="1"/>
  <c r="G25" i="8" s="1"/>
  <c r="D31" i="8"/>
  <c r="E31" i="8" s="1"/>
  <c r="G31" i="8" s="1"/>
  <c r="D11" i="6"/>
  <c r="D16" i="7"/>
  <c r="D23" i="7"/>
  <c r="E23" i="7" s="1"/>
  <c r="G23" i="7" s="1"/>
  <c r="D28" i="7"/>
  <c r="E28" i="7" s="1"/>
  <c r="G28" i="7" s="1"/>
  <c r="K7" i="6" a="1"/>
  <c r="K7" i="6" s="1"/>
  <c r="K49" i="6" s="1"/>
  <c r="K7" i="8" a="1"/>
  <c r="K7" i="8" s="1"/>
  <c r="K42" i="8" s="1"/>
  <c r="G63" i="7"/>
  <c r="G66" i="8"/>
  <c r="J62" i="8"/>
  <c r="G65" i="7"/>
  <c r="G71" i="7"/>
  <c r="G64" i="6"/>
  <c r="G70" i="8"/>
  <c r="G40" i="7"/>
  <c r="Q6" i="7"/>
  <c r="U6" i="7"/>
  <c r="Y6" i="6"/>
  <c r="AC6" i="6"/>
  <c r="AE6" i="6"/>
  <c r="AG6" i="7"/>
  <c r="G19" i="7"/>
  <c r="G29" i="7"/>
  <c r="G19" i="6"/>
  <c r="G41" i="8"/>
  <c r="G63" i="6"/>
  <c r="F11" i="3"/>
  <c r="G11" i="3" s="1"/>
  <c r="G71" i="5"/>
  <c r="G66" i="5"/>
  <c r="S6" i="7"/>
  <c r="G20" i="6"/>
  <c r="Y6" i="7"/>
  <c r="G64" i="7"/>
  <c r="AE6" i="7"/>
  <c r="G20" i="8"/>
  <c r="AA6" i="6"/>
  <c r="AM6" i="7"/>
  <c r="G41" i="7"/>
  <c r="M6" i="7"/>
  <c r="O6" i="7"/>
  <c r="G25" i="7"/>
  <c r="G64" i="5"/>
  <c r="G72" i="6"/>
  <c r="J62" i="7"/>
  <c r="G72" i="8"/>
  <c r="G60" i="6"/>
  <c r="AC6" i="7"/>
  <c r="G72" i="7"/>
  <c r="G60" i="8"/>
  <c r="M6" i="6"/>
  <c r="G67" i="6"/>
  <c r="G71" i="1"/>
  <c r="G40" i="5"/>
  <c r="J61" i="5"/>
  <c r="AG6" i="6"/>
  <c r="G40" i="6"/>
  <c r="G20" i="7"/>
  <c r="G70" i="7"/>
  <c r="AM6" i="8"/>
  <c r="G40" i="8"/>
  <c r="G71" i="8"/>
  <c r="AK6" i="6"/>
  <c r="K6" i="8"/>
  <c r="G70" i="5"/>
  <c r="M6" i="8"/>
  <c r="AI6" i="8"/>
  <c r="G71" i="6"/>
  <c r="G65" i="5"/>
  <c r="G41" i="6"/>
  <c r="O6" i="8"/>
  <c r="G63" i="8"/>
  <c r="G66" i="6"/>
  <c r="M6" i="5"/>
  <c r="Q6" i="8"/>
  <c r="J62" i="6"/>
  <c r="Q6" i="5"/>
  <c r="J61" i="6"/>
  <c r="S6" i="8"/>
  <c r="AK6" i="8"/>
  <c r="AK6" i="5"/>
  <c r="J62" i="5"/>
  <c r="G72" i="5"/>
  <c r="Q6" i="6"/>
  <c r="AK6" i="7"/>
  <c r="G67" i="7"/>
  <c r="U6" i="8"/>
  <c r="G64" i="8"/>
  <c r="U6" i="6"/>
  <c r="Y6" i="8"/>
  <c r="G65" i="8"/>
  <c r="AC6" i="8"/>
  <c r="G65" i="6"/>
  <c r="G70" i="6"/>
  <c r="AG6" i="8"/>
  <c r="W6" i="8"/>
  <c r="G19" i="8"/>
  <c r="AA6" i="8"/>
  <c r="J61" i="8"/>
  <c r="J61" i="7"/>
  <c r="W6" i="7"/>
  <c r="AA6" i="7"/>
  <c r="K6" i="7"/>
  <c r="G66" i="7"/>
  <c r="G60" i="7"/>
  <c r="W6" i="6"/>
  <c r="K6" i="6"/>
  <c r="AI6" i="6"/>
  <c r="O6" i="6"/>
  <c r="AM6" i="6"/>
  <c r="G23" i="6"/>
  <c r="G27" i="6"/>
  <c r="G19" i="5"/>
  <c r="G20" i="5"/>
  <c r="K7" i="5" a="1"/>
  <c r="K7" i="5" s="1"/>
  <c r="G41" i="5"/>
  <c r="F10" i="3"/>
  <c r="G10" i="3" s="1"/>
  <c r="G60" i="5"/>
  <c r="G63" i="5"/>
  <c r="D10" i="5"/>
  <c r="D28" i="5"/>
  <c r="E28" i="5" s="1"/>
  <c r="G28" i="5" s="1"/>
  <c r="D11" i="5"/>
  <c r="D24" i="5"/>
  <c r="E24" i="5" s="1"/>
  <c r="G24" i="5" s="1"/>
  <c r="D33" i="5"/>
  <c r="E33" i="5" s="1"/>
  <c r="G33" i="5" s="1"/>
  <c r="D12" i="5"/>
  <c r="D29" i="5"/>
  <c r="E29" i="5" s="1"/>
  <c r="G29" i="5" s="1"/>
  <c r="D13" i="5"/>
  <c r="D14" i="5"/>
  <c r="D30" i="5"/>
  <c r="E30" i="5" s="1"/>
  <c r="G30" i="5" s="1"/>
  <c r="D34" i="5"/>
  <c r="E34" i="5" s="1"/>
  <c r="G34" i="5" s="1"/>
  <c r="D16" i="5"/>
  <c r="D22" i="5"/>
  <c r="E22" i="5" s="1"/>
  <c r="G22" i="5" s="1"/>
  <c r="D31" i="5"/>
  <c r="E31" i="5" s="1"/>
  <c r="G31" i="5" s="1"/>
  <c r="D27" i="5"/>
  <c r="E27" i="5" s="1"/>
  <c r="G27" i="5" s="1"/>
  <c r="D36" i="5"/>
  <c r="E36" i="5" s="1"/>
  <c r="G36" i="5" s="1"/>
  <c r="D15" i="5"/>
  <c r="D26" i="5"/>
  <c r="E26" i="5" s="1"/>
  <c r="G26" i="5" s="1"/>
  <c r="D9" i="5"/>
  <c r="D23" i="5"/>
  <c r="E23" i="5" s="1"/>
  <c r="G23" i="5" s="1"/>
  <c r="D32" i="5"/>
  <c r="E32" i="5" s="1"/>
  <c r="G32" i="5" s="1"/>
  <c r="S6" i="5"/>
  <c r="U6" i="5"/>
  <c r="Y6" i="5"/>
  <c r="AC6" i="5"/>
  <c r="AG6" i="5"/>
  <c r="AA6" i="5"/>
  <c r="AE6" i="5"/>
  <c r="K6" i="5"/>
  <c r="AI6" i="5"/>
  <c r="O6" i="5"/>
  <c r="AM6" i="5"/>
  <c r="G67" i="5"/>
  <c r="K7" i="1" a="1"/>
  <c r="K7" i="1" s="1"/>
  <c r="G40" i="1"/>
  <c r="G41" i="1"/>
  <c r="AA6" i="1"/>
  <c r="AG6" i="1"/>
  <c r="G60" i="1"/>
  <c r="D9" i="1"/>
  <c r="D27" i="1"/>
  <c r="E27" i="1" s="1"/>
  <c r="G27" i="1" s="1"/>
  <c r="D31" i="1"/>
  <c r="E31" i="1" s="1"/>
  <c r="G31" i="1" s="1"/>
  <c r="D26" i="1"/>
  <c r="E26" i="1" s="1"/>
  <c r="G26" i="1" s="1"/>
  <c r="D25" i="1"/>
  <c r="E25" i="1" s="1"/>
  <c r="G25" i="1" s="1"/>
  <c r="D16" i="1"/>
  <c r="D24" i="1"/>
  <c r="E24" i="1" s="1"/>
  <c r="G24" i="1" s="1"/>
  <c r="D15" i="1"/>
  <c r="D23" i="1"/>
  <c r="E23" i="1" s="1"/>
  <c r="G23" i="1" s="1"/>
  <c r="D14" i="1"/>
  <c r="D13" i="1"/>
  <c r="D29" i="1"/>
  <c r="E29" i="1" s="1"/>
  <c r="G29" i="1" s="1"/>
  <c r="D12" i="1"/>
  <c r="D36" i="1"/>
  <c r="E36" i="1" s="1"/>
  <c r="G36" i="1" s="1"/>
  <c r="D11" i="1"/>
  <c r="D35" i="1"/>
  <c r="E35" i="1" s="1"/>
  <c r="G35" i="1" s="1"/>
  <c r="D34" i="1"/>
  <c r="E34" i="1" s="1"/>
  <c r="G34" i="1" s="1"/>
  <c r="D21" i="1"/>
  <c r="E21" i="1" s="1"/>
  <c r="G21" i="1" s="1"/>
  <c r="D33" i="1"/>
  <c r="E33" i="1" s="1"/>
  <c r="G33" i="1" s="1"/>
  <c r="D28" i="1"/>
  <c r="E28" i="1" s="1"/>
  <c r="G28" i="1" s="1"/>
  <c r="D32" i="1"/>
  <c r="E32" i="1" s="1"/>
  <c r="G32" i="1" s="1"/>
  <c r="G30" i="1"/>
  <c r="G22" i="1"/>
  <c r="U6" i="1"/>
  <c r="S6" i="1"/>
  <c r="Q6" i="1"/>
  <c r="O6" i="1"/>
  <c r="K6" i="1"/>
  <c r="M6" i="1"/>
  <c r="G19" i="1"/>
  <c r="G72" i="1"/>
  <c r="AI6" i="1"/>
  <c r="G20" i="1"/>
  <c r="AC6" i="1"/>
  <c r="F9" i="3"/>
  <c r="G9" i="3" s="1"/>
  <c r="F8" i="3"/>
  <c r="G8" i="3" s="1"/>
  <c r="F7" i="3"/>
  <c r="G7" i="3" s="1"/>
  <c r="F6" i="3"/>
  <c r="G6" i="3" s="1"/>
  <c r="F5" i="3"/>
  <c r="G5" i="3" s="1"/>
  <c r="G4" i="3"/>
  <c r="M35" i="3"/>
  <c r="N35" i="3" s="1"/>
  <c r="G70" i="1"/>
  <c r="G63" i="1"/>
  <c r="G66" i="1"/>
  <c r="G67" i="1"/>
  <c r="G64" i="1"/>
  <c r="G65" i="1"/>
  <c r="J61" i="1"/>
  <c r="J62" i="1"/>
  <c r="G12" i="7" l="1"/>
  <c r="G15" i="6"/>
  <c r="G10" i="7"/>
  <c r="K11" i="5"/>
  <c r="L11" i="5" s="1"/>
  <c r="G14" i="8"/>
  <c r="G9" i="8"/>
  <c r="K18" i="1"/>
  <c r="K32" i="7"/>
  <c r="L32" i="7" s="1"/>
  <c r="K14" i="7"/>
  <c r="L14" i="7" s="1"/>
  <c r="K35" i="7"/>
  <c r="L35" i="7" s="1"/>
  <c r="K21" i="7"/>
  <c r="L21" i="7" s="1"/>
  <c r="K28" i="7"/>
  <c r="L28" i="7" s="1"/>
  <c r="K49" i="7"/>
  <c r="L49" i="7" s="1"/>
  <c r="K16" i="7"/>
  <c r="L16" i="7" s="1"/>
  <c r="K38" i="7"/>
  <c r="L38" i="7" s="1"/>
  <c r="K30" i="7"/>
  <c r="L30" i="7" s="1"/>
  <c r="K24" i="7"/>
  <c r="L24" i="7" s="1"/>
  <c r="K39" i="7"/>
  <c r="L39" i="7" s="1"/>
  <c r="K25" i="7"/>
  <c r="L25" i="7" s="1"/>
  <c r="K17" i="7"/>
  <c r="L17" i="7" s="1"/>
  <c r="K27" i="7"/>
  <c r="L27" i="7" s="1"/>
  <c r="K22" i="7"/>
  <c r="L22" i="7" s="1"/>
  <c r="K37" i="7"/>
  <c r="L37" i="7" s="1"/>
  <c r="K15" i="7"/>
  <c r="L15" i="7" s="1"/>
  <c r="K58" i="7"/>
  <c r="K11" i="7"/>
  <c r="L11" i="7" s="1"/>
  <c r="K31" i="7"/>
  <c r="L31" i="7" s="1"/>
  <c r="K26" i="7"/>
  <c r="L26" i="7" s="1"/>
  <c r="K46" i="7"/>
  <c r="K73" i="7" s="1"/>
  <c r="L73" i="7" s="1"/>
  <c r="K20" i="7"/>
  <c r="K64" i="7" s="1"/>
  <c r="L64" i="7" s="1"/>
  <c r="K34" i="7"/>
  <c r="L34" i="7" s="1"/>
  <c r="K23" i="7"/>
  <c r="L23" i="7" s="1"/>
  <c r="K40" i="7"/>
  <c r="L40" i="7" s="1"/>
  <c r="K43" i="7"/>
  <c r="L43" i="7" s="1"/>
  <c r="M7" i="7" a="1"/>
  <c r="M7" i="7" s="1"/>
  <c r="O7" i="7" s="1" a="1"/>
  <c r="O7" i="7" s="1"/>
  <c r="O33" i="7" s="1"/>
  <c r="P33" i="7" s="1"/>
  <c r="K29" i="7"/>
  <c r="L29" i="7" s="1"/>
  <c r="K42" i="7"/>
  <c r="L42" i="7" s="1"/>
  <c r="K18" i="7"/>
  <c r="K41" i="7"/>
  <c r="L41" i="7" s="1"/>
  <c r="K13" i="7"/>
  <c r="L13" i="7" s="1"/>
  <c r="K33" i="7"/>
  <c r="L33" i="7" s="1"/>
  <c r="K45" i="7"/>
  <c r="K9" i="7"/>
  <c r="K44" i="7"/>
  <c r="L44" i="7" s="1"/>
  <c r="K12" i="7"/>
  <c r="L12" i="7" s="1"/>
  <c r="K19" i="7"/>
  <c r="K63" i="7" s="1"/>
  <c r="L63" i="7" s="1"/>
  <c r="K10" i="7"/>
  <c r="L10" i="7" s="1"/>
  <c r="K47" i="7"/>
  <c r="L47" i="7" s="1"/>
  <c r="G16" i="6"/>
  <c r="G11" i="6"/>
  <c r="K12" i="6"/>
  <c r="L12" i="6" s="1"/>
  <c r="K30" i="6"/>
  <c r="L30" i="6" s="1"/>
  <c r="K32" i="6"/>
  <c r="L32" i="6" s="1"/>
  <c r="K19" i="8"/>
  <c r="L19" i="8" s="1"/>
  <c r="K10" i="8"/>
  <c r="L10" i="8" s="1"/>
  <c r="K58" i="6"/>
  <c r="K39" i="8"/>
  <c r="L39" i="8" s="1"/>
  <c r="K34" i="6"/>
  <c r="L34" i="6" s="1"/>
  <c r="M7" i="6" a="1"/>
  <c r="M7" i="6" s="1"/>
  <c r="M22" i="6" s="1"/>
  <c r="N22" i="6" s="1"/>
  <c r="K43" i="8"/>
  <c r="K71" i="8" s="1"/>
  <c r="L71" i="8" s="1"/>
  <c r="K41" i="6"/>
  <c r="L41" i="6" s="1"/>
  <c r="K47" i="8"/>
  <c r="L47" i="8" s="1"/>
  <c r="K23" i="6"/>
  <c r="L23" i="6" s="1"/>
  <c r="K36" i="6"/>
  <c r="L36" i="6" s="1"/>
  <c r="K43" i="6"/>
  <c r="L43" i="6" s="1"/>
  <c r="K9" i="6"/>
  <c r="L9" i="6" s="1"/>
  <c r="K16" i="6"/>
  <c r="L16" i="6" s="1"/>
  <c r="K25" i="6"/>
  <c r="L25" i="6" s="1"/>
  <c r="K29" i="6"/>
  <c r="L29" i="6" s="1"/>
  <c r="K10" i="6"/>
  <c r="L10" i="6" s="1"/>
  <c r="K33" i="6"/>
  <c r="L33" i="6" s="1"/>
  <c r="K18" i="8"/>
  <c r="L18" i="8" s="1"/>
  <c r="K11" i="6"/>
  <c r="L11" i="6" s="1"/>
  <c r="K44" i="6"/>
  <c r="K13" i="8"/>
  <c r="L13" i="8" s="1"/>
  <c r="K21" i="6"/>
  <c r="L21" i="6" s="1"/>
  <c r="K45" i="6"/>
  <c r="L45" i="6" s="1"/>
  <c r="K31" i="6"/>
  <c r="L31" i="6" s="1"/>
  <c r="K37" i="8"/>
  <c r="K69" i="8" s="1"/>
  <c r="L69" i="8" s="1"/>
  <c r="K58" i="8"/>
  <c r="K21" i="8"/>
  <c r="L21" i="8" s="1"/>
  <c r="K13" i="6"/>
  <c r="L13" i="6" s="1"/>
  <c r="K27" i="6"/>
  <c r="L27" i="6" s="1"/>
  <c r="K39" i="6"/>
  <c r="K22" i="8"/>
  <c r="L22" i="8" s="1"/>
  <c r="K19" i="6"/>
  <c r="K63" i="6" s="1"/>
  <c r="L63" i="6" s="1"/>
  <c r="K17" i="6"/>
  <c r="L17" i="6" s="1"/>
  <c r="K47" i="6"/>
  <c r="L47" i="6" s="1"/>
  <c r="K25" i="8"/>
  <c r="L25" i="8" s="1"/>
  <c r="K38" i="6"/>
  <c r="L38" i="6" s="1"/>
  <c r="K35" i="6"/>
  <c r="L35" i="6" s="1"/>
  <c r="K40" i="6"/>
  <c r="L40" i="6" s="1"/>
  <c r="K27" i="8"/>
  <c r="L27" i="8" s="1"/>
  <c r="K14" i="6"/>
  <c r="L14" i="6" s="1"/>
  <c r="K20" i="6"/>
  <c r="K64" i="6" s="1"/>
  <c r="L64" i="6" s="1"/>
  <c r="K42" i="6"/>
  <c r="K70" i="6" s="1"/>
  <c r="L70" i="6" s="1"/>
  <c r="K37" i="6"/>
  <c r="K69" i="6" s="1"/>
  <c r="L69" i="6" s="1"/>
  <c r="K31" i="8"/>
  <c r="L31" i="8" s="1"/>
  <c r="K15" i="6"/>
  <c r="L15" i="6" s="1"/>
  <c r="K24" i="6"/>
  <c r="L24" i="6" s="1"/>
  <c r="K22" i="6"/>
  <c r="L22" i="6" s="1"/>
  <c r="K46" i="6"/>
  <c r="K73" i="6" s="1"/>
  <c r="L73" i="6" s="1"/>
  <c r="K33" i="8"/>
  <c r="L33" i="8" s="1"/>
  <c r="K18" i="6"/>
  <c r="L18" i="6" s="1"/>
  <c r="K28" i="6"/>
  <c r="L28" i="6" s="1"/>
  <c r="K26" i="6"/>
  <c r="L26" i="6" s="1"/>
  <c r="K14" i="8"/>
  <c r="L14" i="8" s="1"/>
  <c r="K34" i="8"/>
  <c r="L34" i="8" s="1"/>
  <c r="K49" i="8"/>
  <c r="L49" i="8" s="1"/>
  <c r="K12" i="8"/>
  <c r="L12" i="8" s="1"/>
  <c r="K23" i="8"/>
  <c r="L23" i="8" s="1"/>
  <c r="K35" i="8"/>
  <c r="L35" i="8" s="1"/>
  <c r="K41" i="8"/>
  <c r="L41" i="8" s="1"/>
  <c r="K17" i="8"/>
  <c r="L17" i="8" s="1"/>
  <c r="K24" i="8"/>
  <c r="L24" i="8" s="1"/>
  <c r="K36" i="8"/>
  <c r="L36" i="8" s="1"/>
  <c r="K11" i="8"/>
  <c r="L11" i="8" s="1"/>
  <c r="K26" i="8"/>
  <c r="L26" i="8" s="1"/>
  <c r="K46" i="8"/>
  <c r="K73" i="8" s="1"/>
  <c r="L73" i="8" s="1"/>
  <c r="K16" i="8"/>
  <c r="L16" i="8" s="1"/>
  <c r="K28" i="8"/>
  <c r="L28" i="8" s="1"/>
  <c r="K38" i="8"/>
  <c r="L38" i="8" s="1"/>
  <c r="K9" i="8"/>
  <c r="L9" i="8" s="1"/>
  <c r="K29" i="8"/>
  <c r="L29" i="8" s="1"/>
  <c r="K45" i="8"/>
  <c r="L45" i="8" s="1"/>
  <c r="M7" i="8" a="1"/>
  <c r="M7" i="8" s="1"/>
  <c r="O7" i="8" s="1" a="1"/>
  <c r="O7" i="8" s="1"/>
  <c r="O41" i="8" s="1"/>
  <c r="P41" i="8" s="1"/>
  <c r="K15" i="8"/>
  <c r="L15" i="8" s="1"/>
  <c r="K30" i="8"/>
  <c r="L30" i="8" s="1"/>
  <c r="K44" i="8"/>
  <c r="K40" i="8"/>
  <c r="K20" i="8"/>
  <c r="L20" i="8" s="1"/>
  <c r="K32" i="8"/>
  <c r="L32" i="8" s="1"/>
  <c r="G11" i="7"/>
  <c r="G15" i="8"/>
  <c r="G9" i="7"/>
  <c r="G9" i="5"/>
  <c r="G10" i="8"/>
  <c r="G12" i="6"/>
  <c r="G11" i="8"/>
  <c r="G13" i="6"/>
  <c r="G13" i="8"/>
  <c r="G14" i="7"/>
  <c r="G15" i="7"/>
  <c r="G9" i="6"/>
  <c r="G12" i="8"/>
  <c r="G12" i="5"/>
  <c r="G14" i="6"/>
  <c r="G10" i="6"/>
  <c r="G13" i="7"/>
  <c r="G16" i="7"/>
  <c r="G16" i="8"/>
  <c r="G18" i="5"/>
  <c r="G18" i="7"/>
  <c r="G18" i="8"/>
  <c r="G18" i="6"/>
  <c r="G10" i="5"/>
  <c r="K70" i="8"/>
  <c r="L70" i="8" s="1"/>
  <c r="L42" i="8"/>
  <c r="L49" i="6"/>
  <c r="K9" i="5"/>
  <c r="L9" i="5" s="1"/>
  <c r="K13" i="5"/>
  <c r="L13" i="5" s="1"/>
  <c r="K38" i="5"/>
  <c r="L38" i="5" s="1"/>
  <c r="K42" i="5"/>
  <c r="L42" i="5" s="1"/>
  <c r="K22" i="5"/>
  <c r="L22" i="5" s="1"/>
  <c r="K29" i="5"/>
  <c r="L29" i="5" s="1"/>
  <c r="K46" i="5"/>
  <c r="L46" i="5" s="1"/>
  <c r="K49" i="5"/>
  <c r="L49" i="5" s="1"/>
  <c r="K45" i="5"/>
  <c r="L45" i="5" s="1"/>
  <c r="K26" i="5"/>
  <c r="L26" i="5" s="1"/>
  <c r="K39" i="5"/>
  <c r="L39" i="5" s="1"/>
  <c r="K40" i="5"/>
  <c r="K14" i="5"/>
  <c r="L14" i="5" s="1"/>
  <c r="K25" i="5"/>
  <c r="L25" i="5" s="1"/>
  <c r="K30" i="5"/>
  <c r="L30" i="5" s="1"/>
  <c r="K19" i="5"/>
  <c r="L19" i="5" s="1"/>
  <c r="K44" i="5"/>
  <c r="L44" i="5" s="1"/>
  <c r="K35" i="5"/>
  <c r="L35" i="5" s="1"/>
  <c r="K21" i="5"/>
  <c r="L21" i="5" s="1"/>
  <c r="K36" i="5"/>
  <c r="L36" i="5" s="1"/>
  <c r="K37" i="5"/>
  <c r="K69" i="5" s="1"/>
  <c r="L69" i="5" s="1"/>
  <c r="K43" i="5"/>
  <c r="L43" i="5" s="1"/>
  <c r="K33" i="5"/>
  <c r="L33" i="5" s="1"/>
  <c r="K47" i="5"/>
  <c r="L47" i="5" s="1"/>
  <c r="K24" i="5"/>
  <c r="L24" i="5" s="1"/>
  <c r="K18" i="5"/>
  <c r="L18" i="5" s="1"/>
  <c r="K27" i="5"/>
  <c r="L27" i="5" s="1"/>
  <c r="K15" i="5"/>
  <c r="K16" i="5"/>
  <c r="L16" i="5" s="1"/>
  <c r="K12" i="5"/>
  <c r="L12" i="5" s="1"/>
  <c r="K58" i="5"/>
  <c r="M7" i="5" a="1"/>
  <c r="M7" i="5" s="1"/>
  <c r="M37" i="5" s="1"/>
  <c r="K10" i="5"/>
  <c r="L10" i="5" s="1"/>
  <c r="K32" i="5"/>
  <c r="L32" i="5" s="1"/>
  <c r="K20" i="5"/>
  <c r="K64" i="5" s="1"/>
  <c r="L64" i="5" s="1"/>
  <c r="K23" i="5"/>
  <c r="L23" i="5" s="1"/>
  <c r="K28" i="5"/>
  <c r="L28" i="5" s="1"/>
  <c r="K31" i="5"/>
  <c r="L31" i="5" s="1"/>
  <c r="K17" i="5"/>
  <c r="L17" i="5" s="1"/>
  <c r="K34" i="5"/>
  <c r="L34" i="5" s="1"/>
  <c r="K41" i="5"/>
  <c r="L41" i="5" s="1"/>
  <c r="K19" i="1"/>
  <c r="G13" i="5"/>
  <c r="G15" i="5"/>
  <c r="G11" i="5"/>
  <c r="G14" i="5"/>
  <c r="G16" i="5"/>
  <c r="K11" i="1"/>
  <c r="K10" i="1"/>
  <c r="K39" i="1"/>
  <c r="K12" i="1"/>
  <c r="K42" i="1"/>
  <c r="K38" i="1"/>
  <c r="K46" i="1"/>
  <c r="K44" i="1"/>
  <c r="K40" i="1"/>
  <c r="K20" i="1"/>
  <c r="K9" i="1"/>
  <c r="K22" i="1"/>
  <c r="K45" i="1"/>
  <c r="K15" i="1"/>
  <c r="K43" i="1"/>
  <c r="K47" i="1"/>
  <c r="M7" i="1" a="1"/>
  <c r="M7" i="1" s="1"/>
  <c r="M47" i="1" s="1"/>
  <c r="N47" i="1" s="1"/>
  <c r="K13" i="1"/>
  <c r="K30" i="1"/>
  <c r="K14" i="1"/>
  <c r="K17" i="1"/>
  <c r="K58" i="1"/>
  <c r="K16" i="1"/>
  <c r="K37" i="1"/>
  <c r="K49" i="1"/>
  <c r="K41" i="1"/>
  <c r="K36" i="1"/>
  <c r="K33" i="1"/>
  <c r="K27" i="1"/>
  <c r="K24" i="1"/>
  <c r="K35" i="1"/>
  <c r="K32" i="1"/>
  <c r="K21" i="1"/>
  <c r="K26" i="1"/>
  <c r="K23" i="1"/>
  <c r="K29" i="1"/>
  <c r="K34" i="1"/>
  <c r="K31" i="1"/>
  <c r="K28" i="1"/>
  <c r="K25" i="1"/>
  <c r="G13" i="1"/>
  <c r="G9" i="1"/>
  <c r="G11" i="1"/>
  <c r="G12" i="1"/>
  <c r="G16" i="1"/>
  <c r="G15" i="1"/>
  <c r="G14" i="1"/>
  <c r="G10" i="1"/>
  <c r="G18" i="1"/>
  <c r="L15" i="5" l="1"/>
  <c r="K69" i="7"/>
  <c r="L69" i="7" s="1"/>
  <c r="L23" i="1"/>
  <c r="L17" i="1"/>
  <c r="L32" i="1"/>
  <c r="L27" i="1"/>
  <c r="L16" i="1"/>
  <c r="L30" i="1"/>
  <c r="K63" i="1"/>
  <c r="L63" i="1" s="1"/>
  <c r="L47" i="1"/>
  <c r="L35" i="1"/>
  <c r="L13" i="1"/>
  <c r="L39" i="1"/>
  <c r="L31" i="1"/>
  <c r="L25" i="1"/>
  <c r="L41" i="1"/>
  <c r="L34" i="1"/>
  <c r="L49" i="1"/>
  <c r="L12" i="1"/>
  <c r="K69" i="1"/>
  <c r="L69" i="1" s="1"/>
  <c r="L22" i="1"/>
  <c r="L44" i="1"/>
  <c r="L46" i="1"/>
  <c r="L43" i="1"/>
  <c r="K70" i="1"/>
  <c r="L70" i="1" s="1"/>
  <c r="K50" i="1"/>
  <c r="L50" i="1" s="1"/>
  <c r="K51" i="1"/>
  <c r="L45" i="1"/>
  <c r="L18" i="7"/>
  <c r="K72" i="7"/>
  <c r="L72" i="7" s="1"/>
  <c r="K71" i="7"/>
  <c r="L71" i="7" s="1"/>
  <c r="K70" i="7"/>
  <c r="L70" i="7" s="1"/>
  <c r="M35" i="7"/>
  <c r="N35" i="7" s="1"/>
  <c r="M46" i="7"/>
  <c r="M73" i="7" s="1"/>
  <c r="N73" i="7" s="1"/>
  <c r="M47" i="7"/>
  <c r="N47" i="7" s="1"/>
  <c r="M9" i="7"/>
  <c r="N9" i="7" s="1"/>
  <c r="M10" i="7"/>
  <c r="N10" i="7" s="1"/>
  <c r="M21" i="7"/>
  <c r="N21" i="7" s="1"/>
  <c r="M31" i="7"/>
  <c r="N31" i="7" s="1"/>
  <c r="M28" i="7"/>
  <c r="N28" i="7" s="1"/>
  <c r="M32" i="7"/>
  <c r="N32" i="7" s="1"/>
  <c r="M18" i="7"/>
  <c r="N18" i="7" s="1"/>
  <c r="M19" i="7"/>
  <c r="M63" i="7" s="1"/>
  <c r="N63" i="7" s="1"/>
  <c r="M40" i="7"/>
  <c r="N40" i="7" s="1"/>
  <c r="M25" i="7"/>
  <c r="N25" i="7" s="1"/>
  <c r="M37" i="7"/>
  <c r="M69" i="7" s="1"/>
  <c r="N69" i="7" s="1"/>
  <c r="M45" i="7"/>
  <c r="N45" i="7" s="1"/>
  <c r="M14" i="7"/>
  <c r="N14" i="7" s="1"/>
  <c r="M22" i="7"/>
  <c r="N22" i="7" s="1"/>
  <c r="M44" i="7"/>
  <c r="N44" i="7" s="1"/>
  <c r="M20" i="7"/>
  <c r="M64" i="7" s="1"/>
  <c r="N64" i="7" s="1"/>
  <c r="M26" i="7"/>
  <c r="N26" i="7" s="1"/>
  <c r="M43" i="7"/>
  <c r="N43" i="7" s="1"/>
  <c r="M36" i="7"/>
  <c r="N36" i="7" s="1"/>
  <c r="M33" i="7"/>
  <c r="N33" i="7" s="1"/>
  <c r="M58" i="7"/>
  <c r="O30" i="7"/>
  <c r="P30" i="7" s="1"/>
  <c r="M27" i="7"/>
  <c r="N27" i="7" s="1"/>
  <c r="M34" i="7"/>
  <c r="N34" i="7" s="1"/>
  <c r="M42" i="7"/>
  <c r="M70" i="7" s="1"/>
  <c r="N70" i="7" s="1"/>
  <c r="O23" i="7"/>
  <c r="P23" i="7" s="1"/>
  <c r="O19" i="7"/>
  <c r="P19" i="7" s="1"/>
  <c r="M13" i="7"/>
  <c r="N13" i="7" s="1"/>
  <c r="M29" i="7"/>
  <c r="N29" i="7" s="1"/>
  <c r="O44" i="7"/>
  <c r="P44" i="7" s="1"/>
  <c r="M30" i="7"/>
  <c r="N30" i="7" s="1"/>
  <c r="M23" i="7"/>
  <c r="N23" i="7" s="1"/>
  <c r="M41" i="7"/>
  <c r="N41" i="7" s="1"/>
  <c r="M15" i="7"/>
  <c r="N15" i="7" s="1"/>
  <c r="M12" i="7"/>
  <c r="N12" i="7" s="1"/>
  <c r="M39" i="7"/>
  <c r="N39" i="7" s="1"/>
  <c r="K60" i="7"/>
  <c r="L60" i="7" s="1"/>
  <c r="O32" i="7"/>
  <c r="P32" i="7" s="1"/>
  <c r="O37" i="7"/>
  <c r="P37" i="7" s="1"/>
  <c r="O34" i="7"/>
  <c r="P34" i="7" s="1"/>
  <c r="O29" i="7"/>
  <c r="P29" i="7" s="1"/>
  <c r="O42" i="7"/>
  <c r="O70" i="7" s="1"/>
  <c r="P70" i="7" s="1"/>
  <c r="O21" i="7"/>
  <c r="P21" i="7" s="1"/>
  <c r="O47" i="7"/>
  <c r="P47" i="7" s="1"/>
  <c r="O18" i="7"/>
  <c r="P18" i="7" s="1"/>
  <c r="O39" i="7"/>
  <c r="P39" i="7" s="1"/>
  <c r="M16" i="6"/>
  <c r="N16" i="6" s="1"/>
  <c r="O15" i="7"/>
  <c r="P15" i="7" s="1"/>
  <c r="M30" i="6"/>
  <c r="N30" i="6" s="1"/>
  <c r="O14" i="7"/>
  <c r="P14" i="7" s="1"/>
  <c r="K67" i="7"/>
  <c r="L67" i="7" s="1"/>
  <c r="M17" i="7"/>
  <c r="N17" i="7" s="1"/>
  <c r="M11" i="7"/>
  <c r="N11" i="7" s="1"/>
  <c r="M38" i="7"/>
  <c r="N38" i="7" s="1"/>
  <c r="O13" i="7"/>
  <c r="P13" i="7" s="1"/>
  <c r="L45" i="7"/>
  <c r="K65" i="7"/>
  <c r="L65" i="7" s="1"/>
  <c r="L19" i="7"/>
  <c r="O9" i="7"/>
  <c r="P9" i="7" s="1"/>
  <c r="O28" i="7"/>
  <c r="P28" i="7" s="1"/>
  <c r="O41" i="7"/>
  <c r="P41" i="7" s="1"/>
  <c r="L9" i="7"/>
  <c r="K68" i="7"/>
  <c r="L68" i="7" s="1"/>
  <c r="Q7" i="7" a="1"/>
  <c r="Q7" i="7" s="1"/>
  <c r="S7" i="7" s="1" a="1"/>
  <c r="S7" i="7" s="1"/>
  <c r="S40" i="7" s="1"/>
  <c r="O20" i="7"/>
  <c r="P20" i="7" s="1"/>
  <c r="O35" i="7"/>
  <c r="P35" i="7" s="1"/>
  <c r="O46" i="7"/>
  <c r="P46" i="7" s="1"/>
  <c r="L46" i="7"/>
  <c r="L20" i="7"/>
  <c r="O11" i="7"/>
  <c r="P11" i="7" s="1"/>
  <c r="O24" i="7"/>
  <c r="P24" i="7" s="1"/>
  <c r="O40" i="7"/>
  <c r="O49" i="7"/>
  <c r="P49" i="7" s="1"/>
  <c r="K50" i="7"/>
  <c r="L74" i="7" s="1"/>
  <c r="K48" i="7"/>
  <c r="L48" i="7" s="1"/>
  <c r="O25" i="7"/>
  <c r="P25" i="7" s="1"/>
  <c r="O36" i="7"/>
  <c r="P36" i="7" s="1"/>
  <c r="O12" i="7"/>
  <c r="P12" i="7" s="1"/>
  <c r="O45" i="7"/>
  <c r="P45" i="7" s="1"/>
  <c r="K68" i="6"/>
  <c r="L68" i="6" s="1"/>
  <c r="K51" i="7"/>
  <c r="O38" i="7"/>
  <c r="O17" i="7"/>
  <c r="P17" i="7" s="1"/>
  <c r="O22" i="7"/>
  <c r="P22" i="7" s="1"/>
  <c r="O43" i="7"/>
  <c r="O71" i="7" s="1"/>
  <c r="P71" i="7" s="1"/>
  <c r="K67" i="8"/>
  <c r="L67" i="8" s="1"/>
  <c r="K71" i="6"/>
  <c r="L71" i="6" s="1"/>
  <c r="O10" i="7"/>
  <c r="P10" i="7" s="1"/>
  <c r="O27" i="7"/>
  <c r="P27" i="7" s="1"/>
  <c r="O26" i="7"/>
  <c r="P26" i="7" s="1"/>
  <c r="O58" i="7"/>
  <c r="M24" i="7"/>
  <c r="N24" i="7" s="1"/>
  <c r="M16" i="7"/>
  <c r="N16" i="7" s="1"/>
  <c r="M49" i="7"/>
  <c r="N49" i="7" s="1"/>
  <c r="O16" i="7"/>
  <c r="P16" i="7" s="1"/>
  <c r="O31" i="7"/>
  <c r="P31" i="7" s="1"/>
  <c r="K72" i="8"/>
  <c r="K74" i="8" s="1"/>
  <c r="K63" i="8"/>
  <c r="L63" i="8" s="1"/>
  <c r="K67" i="6"/>
  <c r="L67" i="6" s="1"/>
  <c r="L37" i="8"/>
  <c r="M19" i="6"/>
  <c r="M63" i="6" s="1"/>
  <c r="N63" i="6" s="1"/>
  <c r="M27" i="6"/>
  <c r="N27" i="6" s="1"/>
  <c r="M10" i="6"/>
  <c r="N10" i="6" s="1"/>
  <c r="L39" i="6"/>
  <c r="K51" i="6"/>
  <c r="M36" i="6"/>
  <c r="N36" i="6" s="1"/>
  <c r="O7" i="6" a="1"/>
  <c r="O7" i="6" s="1"/>
  <c r="Q7" i="6" s="1" a="1"/>
  <c r="Q7" i="6" s="1"/>
  <c r="Q44" i="6" s="1"/>
  <c r="M11" i="6"/>
  <c r="N11" i="6" s="1"/>
  <c r="M25" i="6"/>
  <c r="N25" i="6" s="1"/>
  <c r="M47" i="6"/>
  <c r="N47" i="6" s="1"/>
  <c r="M37" i="6"/>
  <c r="M69" i="6" s="1"/>
  <c r="N69" i="6" s="1"/>
  <c r="M23" i="6"/>
  <c r="N23" i="6" s="1"/>
  <c r="L43" i="8"/>
  <c r="M15" i="6"/>
  <c r="N15" i="6" s="1"/>
  <c r="M35" i="6"/>
  <c r="N35" i="6" s="1"/>
  <c r="L42" i="6"/>
  <c r="M38" i="6"/>
  <c r="M49" i="6"/>
  <c r="N49" i="6" s="1"/>
  <c r="M29" i="6"/>
  <c r="N29" i="6" s="1"/>
  <c r="M42" i="6"/>
  <c r="M70" i="6" s="1"/>
  <c r="N70" i="6" s="1"/>
  <c r="M33" i="6"/>
  <c r="N33" i="6" s="1"/>
  <c r="M46" i="6"/>
  <c r="M73" i="6" s="1"/>
  <c r="N73" i="6" s="1"/>
  <c r="M12" i="6"/>
  <c r="N12" i="6" s="1"/>
  <c r="M45" i="6"/>
  <c r="N45" i="6" s="1"/>
  <c r="M44" i="6"/>
  <c r="N44" i="6" s="1"/>
  <c r="M40" i="6"/>
  <c r="N40" i="6" s="1"/>
  <c r="M58" i="6"/>
  <c r="L20" i="6"/>
  <c r="M14" i="6"/>
  <c r="N14" i="6" s="1"/>
  <c r="M34" i="6"/>
  <c r="N34" i="6" s="1"/>
  <c r="M20" i="6"/>
  <c r="M64" i="6" s="1"/>
  <c r="N64" i="6" s="1"/>
  <c r="M41" i="6"/>
  <c r="N41" i="6" s="1"/>
  <c r="L44" i="6"/>
  <c r="L19" i="6"/>
  <c r="L40" i="8"/>
  <c r="M17" i="6"/>
  <c r="N17" i="6" s="1"/>
  <c r="M28" i="6"/>
  <c r="N28" i="6" s="1"/>
  <c r="M26" i="6"/>
  <c r="N26" i="6" s="1"/>
  <c r="K72" i="6"/>
  <c r="L72" i="6" s="1"/>
  <c r="K68" i="8"/>
  <c r="L68" i="8" s="1"/>
  <c r="M21" i="6"/>
  <c r="N21" i="6" s="1"/>
  <c r="M32" i="6"/>
  <c r="N32" i="6" s="1"/>
  <c r="M39" i="6"/>
  <c r="N39" i="6" s="1"/>
  <c r="M13" i="6"/>
  <c r="N13" i="6" s="1"/>
  <c r="M31" i="6"/>
  <c r="N31" i="6" s="1"/>
  <c r="M18" i="6"/>
  <c r="N18" i="6" s="1"/>
  <c r="M43" i="6"/>
  <c r="N43" i="6" s="1"/>
  <c r="K48" i="6"/>
  <c r="L48" i="6" s="1"/>
  <c r="L46" i="6"/>
  <c r="M9" i="6"/>
  <c r="N9" i="6" s="1"/>
  <c r="M24" i="6"/>
  <c r="N24" i="6" s="1"/>
  <c r="K65" i="6"/>
  <c r="L65" i="6" s="1"/>
  <c r="M27" i="8"/>
  <c r="N27" i="8" s="1"/>
  <c r="K50" i="6"/>
  <c r="L74" i="6" s="1"/>
  <c r="M29" i="8"/>
  <c r="N29" i="8" s="1"/>
  <c r="M47" i="8"/>
  <c r="N47" i="8" s="1"/>
  <c r="K64" i="8"/>
  <c r="L64" i="8" s="1"/>
  <c r="O21" i="8"/>
  <c r="P21" i="8" s="1"/>
  <c r="O17" i="8"/>
  <c r="P17" i="8" s="1"/>
  <c r="K50" i="8"/>
  <c r="L50" i="8" s="1"/>
  <c r="K60" i="6"/>
  <c r="L60" i="6" s="1"/>
  <c r="M36" i="8"/>
  <c r="N36" i="8" s="1"/>
  <c r="O34" i="8"/>
  <c r="P34" i="8" s="1"/>
  <c r="M17" i="8"/>
  <c r="N17" i="8" s="1"/>
  <c r="O23" i="8"/>
  <c r="P23" i="8" s="1"/>
  <c r="L37" i="6"/>
  <c r="M26" i="8"/>
  <c r="N26" i="8" s="1"/>
  <c r="O11" i="8"/>
  <c r="P11" i="8" s="1"/>
  <c r="M10" i="8"/>
  <c r="N10" i="8" s="1"/>
  <c r="O39" i="8"/>
  <c r="P39" i="8" s="1"/>
  <c r="M35" i="8"/>
  <c r="N35" i="8" s="1"/>
  <c r="O49" i="8"/>
  <c r="P49" i="8" s="1"/>
  <c r="K60" i="8"/>
  <c r="L60" i="8" s="1"/>
  <c r="M49" i="8"/>
  <c r="N49" i="8" s="1"/>
  <c r="O58" i="8"/>
  <c r="M58" i="8"/>
  <c r="O9" i="8"/>
  <c r="P9" i="8" s="1"/>
  <c r="M15" i="8"/>
  <c r="N15" i="8" s="1"/>
  <c r="O18" i="8"/>
  <c r="P18" i="8" s="1"/>
  <c r="Q7" i="8" a="1"/>
  <c r="Q7" i="8" s="1"/>
  <c r="Q39" i="8" s="1"/>
  <c r="R39" i="8" s="1"/>
  <c r="M18" i="8"/>
  <c r="N18" i="8" s="1"/>
  <c r="M31" i="8"/>
  <c r="N31" i="8" s="1"/>
  <c r="M16" i="8"/>
  <c r="N16" i="8" s="1"/>
  <c r="M42" i="8"/>
  <c r="M70" i="8" s="1"/>
  <c r="N70" i="8" s="1"/>
  <c r="O31" i="8"/>
  <c r="P31" i="8" s="1"/>
  <c r="O19" i="8"/>
  <c r="P19" i="8" s="1"/>
  <c r="O46" i="8"/>
  <c r="P46" i="8" s="1"/>
  <c r="M9" i="8"/>
  <c r="N9" i="8" s="1"/>
  <c r="M19" i="8"/>
  <c r="N19" i="8" s="1"/>
  <c r="M37" i="8"/>
  <c r="M69" i="8" s="1"/>
  <c r="N69" i="8" s="1"/>
  <c r="O16" i="8"/>
  <c r="P16" i="8" s="1"/>
  <c r="O28" i="8"/>
  <c r="P28" i="8" s="1"/>
  <c r="O24" i="8"/>
  <c r="P24" i="8" s="1"/>
  <c r="O38" i="8"/>
  <c r="P38" i="8" s="1"/>
  <c r="K65" i="8"/>
  <c r="L65" i="8" s="1"/>
  <c r="M14" i="8"/>
  <c r="N14" i="8" s="1"/>
  <c r="M23" i="8"/>
  <c r="N23" i="8" s="1"/>
  <c r="M41" i="8"/>
  <c r="N41" i="8" s="1"/>
  <c r="O10" i="8"/>
  <c r="P10" i="8" s="1"/>
  <c r="O36" i="8"/>
  <c r="P36" i="8" s="1"/>
  <c r="O25" i="8"/>
  <c r="P25" i="8" s="1"/>
  <c r="O45" i="8"/>
  <c r="P45" i="8" s="1"/>
  <c r="L46" i="8"/>
  <c r="M21" i="8"/>
  <c r="N21" i="8" s="1"/>
  <c r="M24" i="8"/>
  <c r="N24" i="8" s="1"/>
  <c r="M39" i="8"/>
  <c r="N39" i="8" s="1"/>
  <c r="O15" i="8"/>
  <c r="P15" i="8" s="1"/>
  <c r="O29" i="8"/>
  <c r="P29" i="8" s="1"/>
  <c r="O26" i="8"/>
  <c r="P26" i="8" s="1"/>
  <c r="O44" i="8"/>
  <c r="P44" i="8" s="1"/>
  <c r="M28" i="8"/>
  <c r="N28" i="8" s="1"/>
  <c r="M25" i="8"/>
  <c r="N25" i="8" s="1"/>
  <c r="M46" i="8"/>
  <c r="M73" i="8" s="1"/>
  <c r="N73" i="8" s="1"/>
  <c r="O35" i="8"/>
  <c r="P35" i="8" s="1"/>
  <c r="O13" i="8"/>
  <c r="P13" i="8" s="1"/>
  <c r="O32" i="8"/>
  <c r="P32" i="8" s="1"/>
  <c r="O43" i="8"/>
  <c r="O71" i="8" s="1"/>
  <c r="P71" i="8" s="1"/>
  <c r="M13" i="8"/>
  <c r="N13" i="8" s="1"/>
  <c r="M32" i="8"/>
  <c r="N32" i="8" s="1"/>
  <c r="M38" i="8"/>
  <c r="N38" i="8" s="1"/>
  <c r="O20" i="8"/>
  <c r="O64" i="8" s="1"/>
  <c r="P64" i="8" s="1"/>
  <c r="O12" i="8"/>
  <c r="P12" i="8" s="1"/>
  <c r="O30" i="8"/>
  <c r="P30" i="8" s="1"/>
  <c r="L44" i="8"/>
  <c r="M34" i="8"/>
  <c r="N34" i="8" s="1"/>
  <c r="M40" i="8"/>
  <c r="M45" i="8"/>
  <c r="N45" i="8" s="1"/>
  <c r="O40" i="8"/>
  <c r="P40" i="8" s="1"/>
  <c r="O22" i="8"/>
  <c r="P22" i="8" s="1"/>
  <c r="O42" i="8"/>
  <c r="P42" i="8" s="1"/>
  <c r="K48" i="8"/>
  <c r="L48" i="8" s="1"/>
  <c r="M20" i="8"/>
  <c r="N20" i="8" s="1"/>
  <c r="M12" i="8"/>
  <c r="N12" i="8" s="1"/>
  <c r="M11" i="8"/>
  <c r="N11" i="8" s="1"/>
  <c r="M44" i="8"/>
  <c r="N44" i="8" s="1"/>
  <c r="O33" i="8"/>
  <c r="P33" i="8" s="1"/>
  <c r="O27" i="8"/>
  <c r="P27" i="8" s="1"/>
  <c r="O47" i="8"/>
  <c r="P47" i="8" s="1"/>
  <c r="K51" i="8"/>
  <c r="M33" i="8"/>
  <c r="N33" i="8" s="1"/>
  <c r="M22" i="8"/>
  <c r="N22" i="8" s="1"/>
  <c r="M30" i="8"/>
  <c r="N30" i="8" s="1"/>
  <c r="M43" i="8"/>
  <c r="N43" i="8" s="1"/>
  <c r="O14" i="8"/>
  <c r="P14" i="8" s="1"/>
  <c r="O37" i="8"/>
  <c r="O69" i="8" s="1"/>
  <c r="P69" i="8" s="1"/>
  <c r="K67" i="5"/>
  <c r="L67" i="5" s="1"/>
  <c r="K50" i="5"/>
  <c r="L50" i="5" s="1"/>
  <c r="K72" i="5"/>
  <c r="L72" i="5" s="1"/>
  <c r="K70" i="5"/>
  <c r="L70" i="5" s="1"/>
  <c r="K63" i="5"/>
  <c r="L63" i="5" s="1"/>
  <c r="K71" i="5"/>
  <c r="L71" i="5" s="1"/>
  <c r="L19" i="1"/>
  <c r="K68" i="5"/>
  <c r="L68" i="5" s="1"/>
  <c r="L20" i="5"/>
  <c r="L40" i="5"/>
  <c r="K51" i="5"/>
  <c r="L37" i="5"/>
  <c r="K65" i="5"/>
  <c r="L65" i="5" s="1"/>
  <c r="K73" i="5"/>
  <c r="L73" i="5" s="1"/>
  <c r="M35" i="5"/>
  <c r="N35" i="5" s="1"/>
  <c r="K60" i="5"/>
  <c r="L60" i="5" s="1"/>
  <c r="M9" i="5"/>
  <c r="N9" i="5" s="1"/>
  <c r="M31" i="5"/>
  <c r="N31" i="5" s="1"/>
  <c r="M15" i="5"/>
  <c r="N15" i="5" s="1"/>
  <c r="M28" i="5"/>
  <c r="N28" i="5" s="1"/>
  <c r="M58" i="5"/>
  <c r="M38" i="5"/>
  <c r="M21" i="5"/>
  <c r="N21" i="5" s="1"/>
  <c r="M41" i="5"/>
  <c r="N41" i="5" s="1"/>
  <c r="M36" i="5"/>
  <c r="N36" i="5" s="1"/>
  <c r="M14" i="5"/>
  <c r="N14" i="5" s="1"/>
  <c r="M23" i="5"/>
  <c r="N23" i="5" s="1"/>
  <c r="M40" i="5"/>
  <c r="M17" i="5"/>
  <c r="N17" i="5" s="1"/>
  <c r="M24" i="5"/>
  <c r="N24" i="5" s="1"/>
  <c r="M25" i="5"/>
  <c r="N25" i="5" s="1"/>
  <c r="M46" i="5"/>
  <c r="M11" i="5"/>
  <c r="N11" i="5" s="1"/>
  <c r="M29" i="5"/>
  <c r="N29" i="5" s="1"/>
  <c r="M16" i="5"/>
  <c r="N16" i="5" s="1"/>
  <c r="M26" i="5"/>
  <c r="N26" i="5" s="1"/>
  <c r="M33" i="5"/>
  <c r="N33" i="5" s="1"/>
  <c r="M42" i="5"/>
  <c r="N42" i="5" s="1"/>
  <c r="M20" i="5"/>
  <c r="M64" i="5" s="1"/>
  <c r="N64" i="5" s="1"/>
  <c r="M27" i="5"/>
  <c r="N27" i="5" s="1"/>
  <c r="K48" i="5"/>
  <c r="L48" i="5" s="1"/>
  <c r="M18" i="5"/>
  <c r="N18" i="5" s="1"/>
  <c r="M10" i="5"/>
  <c r="N10" i="5" s="1"/>
  <c r="M34" i="5"/>
  <c r="N34" i="5" s="1"/>
  <c r="M47" i="5"/>
  <c r="N47" i="5" s="1"/>
  <c r="O7" i="5" a="1"/>
  <c r="O7" i="5" s="1"/>
  <c r="Q7" i="5" s="1" a="1"/>
  <c r="Q7" i="5" s="1"/>
  <c r="Q39" i="5" s="1"/>
  <c r="R39" i="5" s="1"/>
  <c r="M22" i="5"/>
  <c r="N22" i="5" s="1"/>
  <c r="M32" i="5"/>
  <c r="N32" i="5" s="1"/>
  <c r="M13" i="5"/>
  <c r="N13" i="5" s="1"/>
  <c r="M19" i="5"/>
  <c r="N19" i="5" s="1"/>
  <c r="M49" i="5"/>
  <c r="N49" i="5" s="1"/>
  <c r="M44" i="5"/>
  <c r="N44" i="5" s="1"/>
  <c r="M45" i="5"/>
  <c r="N45" i="5" s="1"/>
  <c r="M39" i="5"/>
  <c r="N39" i="5" s="1"/>
  <c r="M43" i="5"/>
  <c r="N43" i="5" s="1"/>
  <c r="M30" i="5"/>
  <c r="N30" i="5" s="1"/>
  <c r="M12" i="5"/>
  <c r="N12" i="5" s="1"/>
  <c r="L40" i="1"/>
  <c r="K67" i="1"/>
  <c r="L67" i="1" s="1"/>
  <c r="L20" i="1"/>
  <c r="K64" i="1"/>
  <c r="L64" i="1" s="1"/>
  <c r="M69" i="5"/>
  <c r="N69" i="5" s="1"/>
  <c r="N37" i="5"/>
  <c r="L38" i="1"/>
  <c r="K68" i="1"/>
  <c r="L68" i="1" s="1"/>
  <c r="L37" i="1"/>
  <c r="K72" i="1"/>
  <c r="L72" i="1" s="1"/>
  <c r="L10" i="1"/>
  <c r="L15" i="1"/>
  <c r="K73" i="1"/>
  <c r="L73" i="1" s="1"/>
  <c r="L11" i="1"/>
  <c r="K71" i="1"/>
  <c r="L71" i="1" s="1"/>
  <c r="L42" i="1"/>
  <c r="M39" i="1"/>
  <c r="N39" i="1" s="1"/>
  <c r="M23" i="1"/>
  <c r="N23" i="1" s="1"/>
  <c r="M26" i="1"/>
  <c r="N26" i="1" s="1"/>
  <c r="M49" i="1"/>
  <c r="N49" i="1" s="1"/>
  <c r="M13" i="1"/>
  <c r="N13" i="1" s="1"/>
  <c r="M31" i="1"/>
  <c r="N31" i="1" s="1"/>
  <c r="M34" i="1"/>
  <c r="N34" i="1" s="1"/>
  <c r="K48" i="1"/>
  <c r="O7" i="1" a="1"/>
  <c r="O7" i="1" s="1"/>
  <c r="O11" i="1" s="1"/>
  <c r="P11" i="1" s="1"/>
  <c r="M21" i="1"/>
  <c r="N21" i="1" s="1"/>
  <c r="M44" i="1"/>
  <c r="M27" i="1"/>
  <c r="N27" i="1" s="1"/>
  <c r="M35" i="1"/>
  <c r="N35" i="1" s="1"/>
  <c r="M40" i="1"/>
  <c r="M24" i="1"/>
  <c r="N24" i="1" s="1"/>
  <c r="M28" i="1"/>
  <c r="N28" i="1" s="1"/>
  <c r="M42" i="1"/>
  <c r="M32" i="1"/>
  <c r="N32" i="1" s="1"/>
  <c r="M36" i="1"/>
  <c r="N36" i="1" s="1"/>
  <c r="M14" i="1"/>
  <c r="N14" i="1" s="1"/>
  <c r="M45" i="1"/>
  <c r="N45" i="1" s="1"/>
  <c r="M9" i="1"/>
  <c r="N9" i="1" s="1"/>
  <c r="M22" i="1"/>
  <c r="N22" i="1" s="1"/>
  <c r="M17" i="1"/>
  <c r="N17" i="1" s="1"/>
  <c r="M10" i="1"/>
  <c r="N10" i="1" s="1"/>
  <c r="M19" i="1"/>
  <c r="L9" i="1"/>
  <c r="M29" i="1"/>
  <c r="N29" i="1" s="1"/>
  <c r="M16" i="1"/>
  <c r="N16" i="1" s="1"/>
  <c r="M30" i="1"/>
  <c r="N30" i="1" s="1"/>
  <c r="M25" i="1"/>
  <c r="N25" i="1" s="1"/>
  <c r="M37" i="1"/>
  <c r="N37" i="1" s="1"/>
  <c r="M20" i="1"/>
  <c r="M41" i="1"/>
  <c r="N41" i="1" s="1"/>
  <c r="M33" i="1"/>
  <c r="N33" i="1" s="1"/>
  <c r="M11" i="1"/>
  <c r="N11" i="1" s="1"/>
  <c r="M43" i="1"/>
  <c r="N43" i="1" s="1"/>
  <c r="M46" i="1"/>
  <c r="M73" i="1" s="1"/>
  <c r="N73" i="1" s="1"/>
  <c r="M38" i="1"/>
  <c r="M12" i="1"/>
  <c r="N12" i="1" s="1"/>
  <c r="M15" i="1"/>
  <c r="N15" i="1" s="1"/>
  <c r="M18" i="1"/>
  <c r="N18" i="1" s="1"/>
  <c r="M58" i="1"/>
  <c r="K65" i="1"/>
  <c r="L65" i="1" s="1"/>
  <c r="K60" i="1"/>
  <c r="L60" i="1" s="1"/>
  <c r="L26" i="1"/>
  <c r="L28" i="1"/>
  <c r="L33" i="1"/>
  <c r="L36" i="1"/>
  <c r="L21" i="1"/>
  <c r="L24" i="1"/>
  <c r="L29" i="1"/>
  <c r="L14" i="1"/>
  <c r="L18" i="1"/>
  <c r="N46" i="7" l="1"/>
  <c r="K74" i="7"/>
  <c r="O68" i="7"/>
  <c r="P68" i="7" s="1"/>
  <c r="N42" i="1"/>
  <c r="M50" i="1"/>
  <c r="M51" i="1"/>
  <c r="L48" i="1"/>
  <c r="O69" i="7"/>
  <c r="P69" i="7" s="1"/>
  <c r="L50" i="7"/>
  <c r="L51" i="7"/>
  <c r="O63" i="7"/>
  <c r="P63" i="7" s="1"/>
  <c r="N42" i="7"/>
  <c r="N20" i="7"/>
  <c r="O22" i="6"/>
  <c r="O49" i="6"/>
  <c r="P49" i="6" s="1"/>
  <c r="P43" i="7"/>
  <c r="N19" i="6"/>
  <c r="O64" i="7"/>
  <c r="P64" i="7" s="1"/>
  <c r="M71" i="7"/>
  <c r="N71" i="7" s="1"/>
  <c r="P42" i="7"/>
  <c r="N19" i="7"/>
  <c r="O23" i="6"/>
  <c r="P23" i="6" s="1"/>
  <c r="Q22" i="7"/>
  <c r="R22" i="7" s="1"/>
  <c r="Q40" i="7"/>
  <c r="R40" i="7" s="1"/>
  <c r="M67" i="7"/>
  <c r="N67" i="7" s="1"/>
  <c r="O18" i="6"/>
  <c r="P18" i="6" s="1"/>
  <c r="O25" i="6"/>
  <c r="P25" i="6" s="1"/>
  <c r="O39" i="6"/>
  <c r="P39" i="6" s="1"/>
  <c r="M72" i="7"/>
  <c r="M74" i="7" s="1"/>
  <c r="Q16" i="7"/>
  <c r="R16" i="7" s="1"/>
  <c r="O13" i="6"/>
  <c r="P13" i="6" s="1"/>
  <c r="O20" i="6"/>
  <c r="O64" i="6" s="1"/>
  <c r="P64" i="6" s="1"/>
  <c r="O17" i="6"/>
  <c r="P17" i="6" s="1"/>
  <c r="M48" i="7"/>
  <c r="N48" i="7" s="1"/>
  <c r="O16" i="6"/>
  <c r="P16" i="6" s="1"/>
  <c r="O14" i="6"/>
  <c r="P14" i="6" s="1"/>
  <c r="O24" i="6"/>
  <c r="P24" i="6" s="1"/>
  <c r="O35" i="6"/>
  <c r="P35" i="6" s="1"/>
  <c r="Q12" i="6"/>
  <c r="R12" i="6" s="1"/>
  <c r="Q26" i="7"/>
  <c r="R26" i="7" s="1"/>
  <c r="O15" i="6"/>
  <c r="P15" i="6" s="1"/>
  <c r="O28" i="6"/>
  <c r="P28" i="6" s="1"/>
  <c r="O36" i="6"/>
  <c r="P36" i="6" s="1"/>
  <c r="Q22" i="6"/>
  <c r="R22" i="6" s="1"/>
  <c r="M51" i="7"/>
  <c r="Q20" i="7"/>
  <c r="Q64" i="7" s="1"/>
  <c r="R64" i="7" s="1"/>
  <c r="O9" i="6"/>
  <c r="P9" i="6" s="1"/>
  <c r="O41" i="6"/>
  <c r="P41" i="6" s="1"/>
  <c r="O40" i="6"/>
  <c r="Q29" i="6"/>
  <c r="R29" i="6" s="1"/>
  <c r="Q19" i="7"/>
  <c r="R19" i="7" s="1"/>
  <c r="N37" i="7"/>
  <c r="O10" i="6"/>
  <c r="P10" i="6" s="1"/>
  <c r="O19" i="6"/>
  <c r="O63" i="6" s="1"/>
  <c r="P63" i="6" s="1"/>
  <c r="O42" i="6"/>
  <c r="O70" i="6" s="1"/>
  <c r="P70" i="6" s="1"/>
  <c r="Q31" i="6"/>
  <c r="R31" i="6" s="1"/>
  <c r="M68" i="7"/>
  <c r="N68" i="7" s="1"/>
  <c r="Q15" i="7"/>
  <c r="R15" i="7" s="1"/>
  <c r="O26" i="6"/>
  <c r="P26" i="6" s="1"/>
  <c r="O58" i="6"/>
  <c r="O38" i="6"/>
  <c r="O11" i="6"/>
  <c r="P11" i="6" s="1"/>
  <c r="O32" i="6"/>
  <c r="P32" i="6" s="1"/>
  <c r="O43" i="6"/>
  <c r="P43" i="6" s="1"/>
  <c r="O27" i="6"/>
  <c r="P27" i="6" s="1"/>
  <c r="O30" i="6"/>
  <c r="P30" i="6" s="1"/>
  <c r="O29" i="6"/>
  <c r="P29" i="6" s="1"/>
  <c r="O34" i="6"/>
  <c r="P34" i="6" s="1"/>
  <c r="O47" i="6"/>
  <c r="P47" i="6" s="1"/>
  <c r="M50" i="7"/>
  <c r="N50" i="7" s="1"/>
  <c r="O21" i="6"/>
  <c r="P21" i="6" s="1"/>
  <c r="Q34" i="6"/>
  <c r="R34" i="6" s="1"/>
  <c r="O31" i="6"/>
  <c r="P31" i="6" s="1"/>
  <c r="O44" i="6"/>
  <c r="P44" i="6" s="1"/>
  <c r="O46" i="6"/>
  <c r="O73" i="6" s="1"/>
  <c r="P73" i="6" s="1"/>
  <c r="Q10" i="7"/>
  <c r="R10" i="7" s="1"/>
  <c r="Q38" i="7"/>
  <c r="Q32" i="6"/>
  <c r="R32" i="6" s="1"/>
  <c r="Q21" i="7"/>
  <c r="R21" i="7" s="1"/>
  <c r="Q45" i="7"/>
  <c r="R45" i="7" s="1"/>
  <c r="Q36" i="7"/>
  <c r="R36" i="7" s="1"/>
  <c r="Q27" i="7"/>
  <c r="R27" i="7" s="1"/>
  <c r="Q31" i="7"/>
  <c r="R31" i="7" s="1"/>
  <c r="S19" i="7"/>
  <c r="T19" i="7" s="1"/>
  <c r="Q13" i="7"/>
  <c r="R13" i="7" s="1"/>
  <c r="S16" i="7"/>
  <c r="T16" i="7" s="1"/>
  <c r="Q35" i="7"/>
  <c r="R35" i="7" s="1"/>
  <c r="O67" i="7"/>
  <c r="P67" i="7" s="1"/>
  <c r="Q16" i="6"/>
  <c r="R16" i="6" s="1"/>
  <c r="Q12" i="7"/>
  <c r="R12" i="7" s="1"/>
  <c r="Q43" i="7"/>
  <c r="R43" i="7" s="1"/>
  <c r="S10" i="7"/>
  <c r="T10" i="7" s="1"/>
  <c r="Q23" i="6"/>
  <c r="R23" i="6" s="1"/>
  <c r="Q46" i="6"/>
  <c r="R46" i="6" s="1"/>
  <c r="Q33" i="7"/>
  <c r="R33" i="7" s="1"/>
  <c r="Q24" i="7"/>
  <c r="R24" i="7" s="1"/>
  <c r="Q37" i="7"/>
  <c r="Q69" i="7" s="1"/>
  <c r="R69" i="7" s="1"/>
  <c r="Q44" i="7"/>
  <c r="R44" i="7" s="1"/>
  <c r="S21" i="7"/>
  <c r="T21" i="7" s="1"/>
  <c r="Q14" i="6"/>
  <c r="R14" i="6" s="1"/>
  <c r="Q49" i="6"/>
  <c r="R49" i="6" s="1"/>
  <c r="S25" i="7"/>
  <c r="T25" i="7" s="1"/>
  <c r="Q36" i="6"/>
  <c r="R36" i="6" s="1"/>
  <c r="S20" i="7"/>
  <c r="S64" i="7" s="1"/>
  <c r="T64" i="7" s="1"/>
  <c r="U7" i="7" a="1"/>
  <c r="U7" i="7" s="1"/>
  <c r="U44" i="7" s="1"/>
  <c r="Q29" i="7"/>
  <c r="R29" i="7" s="1"/>
  <c r="Q14" i="7"/>
  <c r="R14" i="7" s="1"/>
  <c r="Q42" i="7"/>
  <c r="Q70" i="7" s="1"/>
  <c r="R70" i="7" s="1"/>
  <c r="P40" i="7"/>
  <c r="S58" i="7"/>
  <c r="Q26" i="6"/>
  <c r="R26" i="6" s="1"/>
  <c r="Q18" i="7"/>
  <c r="R18" i="7" s="1"/>
  <c r="Q17" i="7"/>
  <c r="R17" i="7" s="1"/>
  <c r="Q47" i="7"/>
  <c r="R47" i="7" s="1"/>
  <c r="S33" i="7"/>
  <c r="T33" i="7" s="1"/>
  <c r="Q58" i="7"/>
  <c r="Q41" i="7"/>
  <c r="R41" i="7" s="1"/>
  <c r="S34" i="7"/>
  <c r="T34" i="7" s="1"/>
  <c r="Q37" i="6"/>
  <c r="Q69" i="6" s="1"/>
  <c r="R69" i="6" s="1"/>
  <c r="Q25" i="7"/>
  <c r="R25" i="7" s="1"/>
  <c r="Q23" i="7"/>
  <c r="R23" i="7" s="1"/>
  <c r="Q39" i="7"/>
  <c r="R39" i="7" s="1"/>
  <c r="S23" i="7"/>
  <c r="T23" i="7" s="1"/>
  <c r="S39" i="7"/>
  <c r="T39" i="7" s="1"/>
  <c r="Q19" i="6"/>
  <c r="Q63" i="6" s="1"/>
  <c r="R63" i="6" s="1"/>
  <c r="Q11" i="7"/>
  <c r="R11" i="7" s="1"/>
  <c r="Q30" i="7"/>
  <c r="R30" i="7" s="1"/>
  <c r="Q28" i="7"/>
  <c r="R28" i="7" s="1"/>
  <c r="Q46" i="7"/>
  <c r="Q73" i="7" s="1"/>
  <c r="R73" i="7" s="1"/>
  <c r="S28" i="7"/>
  <c r="T28" i="7" s="1"/>
  <c r="S46" i="7"/>
  <c r="T46" i="7" s="1"/>
  <c r="Q13" i="6"/>
  <c r="R13" i="6" s="1"/>
  <c r="Q30" i="6"/>
  <c r="R30" i="6" s="1"/>
  <c r="Q34" i="7"/>
  <c r="R34" i="7" s="1"/>
  <c r="Q9" i="7"/>
  <c r="R9" i="7" s="1"/>
  <c r="Q32" i="7"/>
  <c r="R32" i="7" s="1"/>
  <c r="Q49" i="7"/>
  <c r="R49" i="7" s="1"/>
  <c r="S13" i="7"/>
  <c r="T13" i="7" s="1"/>
  <c r="S49" i="7"/>
  <c r="T49" i="7" s="1"/>
  <c r="O50" i="7"/>
  <c r="P74" i="7" s="1"/>
  <c r="O73" i="7"/>
  <c r="P73" i="7" s="1"/>
  <c r="O72" i="7"/>
  <c r="P72" i="7" s="1"/>
  <c r="O48" i="7"/>
  <c r="P48" i="7" s="1"/>
  <c r="O51" i="7"/>
  <c r="L72" i="8"/>
  <c r="L75" i="7"/>
  <c r="N37" i="6"/>
  <c r="O65" i="7"/>
  <c r="P65" i="7" s="1"/>
  <c r="M65" i="7"/>
  <c r="N65" i="7" s="1"/>
  <c r="P38" i="7"/>
  <c r="S32" i="7"/>
  <c r="T32" i="7" s="1"/>
  <c r="S30" i="7"/>
  <c r="T30" i="7" s="1"/>
  <c r="S35" i="7"/>
  <c r="T35" i="7" s="1"/>
  <c r="S38" i="7"/>
  <c r="S37" i="7"/>
  <c r="S69" i="7" s="1"/>
  <c r="T69" i="7" s="1"/>
  <c r="S15" i="7"/>
  <c r="T15" i="7" s="1"/>
  <c r="S36" i="7"/>
  <c r="T36" i="7" s="1"/>
  <c r="S45" i="7"/>
  <c r="T45" i="7" s="1"/>
  <c r="O60" i="7"/>
  <c r="P60" i="7" s="1"/>
  <c r="S12" i="7"/>
  <c r="T12" i="7" s="1"/>
  <c r="S9" i="7"/>
  <c r="T9" i="7" s="1"/>
  <c r="S44" i="7"/>
  <c r="T44" i="7" s="1"/>
  <c r="S22" i="7"/>
  <c r="T22" i="7" s="1"/>
  <c r="S24" i="7"/>
  <c r="T24" i="7" s="1"/>
  <c r="S43" i="7"/>
  <c r="S71" i="7" s="1"/>
  <c r="T71" i="7" s="1"/>
  <c r="S26" i="7"/>
  <c r="T26" i="7" s="1"/>
  <c r="S27" i="7"/>
  <c r="T27" i="7" s="1"/>
  <c r="S42" i="7"/>
  <c r="S70" i="7" s="1"/>
  <c r="T70" i="7" s="1"/>
  <c r="S29" i="7"/>
  <c r="T29" i="7" s="1"/>
  <c r="S31" i="7"/>
  <c r="T31" i="7" s="1"/>
  <c r="S47" i="7"/>
  <c r="T47" i="7" s="1"/>
  <c r="S11" i="7"/>
  <c r="T11" i="7" s="1"/>
  <c r="S14" i="7"/>
  <c r="T14" i="7" s="1"/>
  <c r="S41" i="7"/>
  <c r="T41" i="7" s="1"/>
  <c r="S18" i="7"/>
  <c r="T18" i="7" s="1"/>
  <c r="S17" i="7"/>
  <c r="T17" i="7" s="1"/>
  <c r="Q15" i="6"/>
  <c r="R15" i="6" s="1"/>
  <c r="Q33" i="6"/>
  <c r="R33" i="6" s="1"/>
  <c r="Q42" i="6"/>
  <c r="Q70" i="6" s="1"/>
  <c r="R70" i="6" s="1"/>
  <c r="S7" i="6" a="1"/>
  <c r="S7" i="6" s="1"/>
  <c r="S38" i="6" s="1"/>
  <c r="Q20" i="6"/>
  <c r="R20" i="6" s="1"/>
  <c r="Q38" i="6"/>
  <c r="R38" i="6" s="1"/>
  <c r="Q43" i="6"/>
  <c r="Q71" i="6" s="1"/>
  <c r="R71" i="6" s="1"/>
  <c r="N20" i="6"/>
  <c r="Q17" i="6"/>
  <c r="R17" i="6" s="1"/>
  <c r="Q21" i="6"/>
  <c r="R21" i="6" s="1"/>
  <c r="Q18" i="6"/>
  <c r="R18" i="6" s="1"/>
  <c r="Q27" i="6"/>
  <c r="R27" i="6" s="1"/>
  <c r="Q25" i="6"/>
  <c r="R25" i="6" s="1"/>
  <c r="Q40" i="6"/>
  <c r="Q9" i="6"/>
  <c r="R9" i="6" s="1"/>
  <c r="Q41" i="6"/>
  <c r="R41" i="6" s="1"/>
  <c r="Q39" i="6"/>
  <c r="R39" i="6" s="1"/>
  <c r="O12" i="6"/>
  <c r="O33" i="6"/>
  <c r="P33" i="6" s="1"/>
  <c r="O37" i="6"/>
  <c r="O69" i="6" s="1"/>
  <c r="P69" i="6" s="1"/>
  <c r="O45" i="6"/>
  <c r="P45" i="6" s="1"/>
  <c r="Q10" i="6"/>
  <c r="R10" i="6" s="1"/>
  <c r="Q24" i="6"/>
  <c r="R24" i="6" s="1"/>
  <c r="Q47" i="6"/>
  <c r="R47" i="6" s="1"/>
  <c r="Q11" i="6"/>
  <c r="R11" i="6" s="1"/>
  <c r="Q35" i="6"/>
  <c r="R35" i="6" s="1"/>
  <c r="Q28" i="6"/>
  <c r="R28" i="6" s="1"/>
  <c r="Q58" i="6"/>
  <c r="M51" i="6"/>
  <c r="M68" i="6"/>
  <c r="N68" i="6" s="1"/>
  <c r="Q45" i="6"/>
  <c r="R45" i="6" s="1"/>
  <c r="M64" i="8"/>
  <c r="N64" i="8" s="1"/>
  <c r="N38" i="6"/>
  <c r="M63" i="8"/>
  <c r="N63" i="8" s="1"/>
  <c r="O63" i="8"/>
  <c r="P63" i="8" s="1"/>
  <c r="N42" i="6"/>
  <c r="M67" i="6"/>
  <c r="N67" i="6" s="1"/>
  <c r="N46" i="6"/>
  <c r="M50" i="6"/>
  <c r="N51" i="6" s="1"/>
  <c r="M72" i="6"/>
  <c r="M74" i="6" s="1"/>
  <c r="M48" i="6"/>
  <c r="N48" i="6" s="1"/>
  <c r="O67" i="8"/>
  <c r="P67" i="8" s="1"/>
  <c r="P43" i="8"/>
  <c r="K74" i="6"/>
  <c r="P20" i="8"/>
  <c r="L51" i="8"/>
  <c r="L52" i="8" s="1"/>
  <c r="M65" i="6"/>
  <c r="N65" i="6" s="1"/>
  <c r="L75" i="6"/>
  <c r="L50" i="6"/>
  <c r="L51" i="6"/>
  <c r="M67" i="8"/>
  <c r="N67" i="8" s="1"/>
  <c r="M71" i="6"/>
  <c r="N71" i="6" s="1"/>
  <c r="N46" i="8"/>
  <c r="L74" i="8"/>
  <c r="O68" i="8"/>
  <c r="P68" i="8" s="1"/>
  <c r="M71" i="8"/>
  <c r="N71" i="8" s="1"/>
  <c r="O73" i="8"/>
  <c r="P73" i="8" s="1"/>
  <c r="P37" i="8"/>
  <c r="O60" i="8"/>
  <c r="P60" i="8" s="1"/>
  <c r="M50" i="8"/>
  <c r="N51" i="8" s="1"/>
  <c r="Q27" i="8"/>
  <c r="R27" i="8" s="1"/>
  <c r="Q12" i="8"/>
  <c r="R12" i="8" s="1"/>
  <c r="Q25" i="8"/>
  <c r="R25" i="8" s="1"/>
  <c r="Q58" i="8"/>
  <c r="Q43" i="8"/>
  <c r="Q71" i="8" s="1"/>
  <c r="R71" i="8" s="1"/>
  <c r="Q38" i="8"/>
  <c r="Q68" i="8" s="1"/>
  <c r="R68" i="8" s="1"/>
  <c r="N42" i="8"/>
  <c r="O70" i="8"/>
  <c r="P70" i="8" s="1"/>
  <c r="Q22" i="8"/>
  <c r="R22" i="8" s="1"/>
  <c r="Q46" i="8"/>
  <c r="R46" i="8" s="1"/>
  <c r="Q24" i="8"/>
  <c r="R24" i="8" s="1"/>
  <c r="Q49" i="8"/>
  <c r="R49" i="8" s="1"/>
  <c r="Q11" i="8"/>
  <c r="R11" i="8" s="1"/>
  <c r="Q26" i="8"/>
  <c r="R26" i="8" s="1"/>
  <c r="Q44" i="8"/>
  <c r="Q16" i="8"/>
  <c r="R16" i="8" s="1"/>
  <c r="Q37" i="8"/>
  <c r="R37" i="8" s="1"/>
  <c r="Q10" i="8"/>
  <c r="R10" i="8" s="1"/>
  <c r="Q31" i="8"/>
  <c r="R31" i="8" s="1"/>
  <c r="O51" i="8"/>
  <c r="M72" i="8"/>
  <c r="N72" i="8" s="1"/>
  <c r="Q9" i="8"/>
  <c r="R9" i="8" s="1"/>
  <c r="Q32" i="8"/>
  <c r="R32" i="8" s="1"/>
  <c r="M48" i="8"/>
  <c r="N48" i="8" s="1"/>
  <c r="Q15" i="8"/>
  <c r="R15" i="8" s="1"/>
  <c r="Q33" i="8"/>
  <c r="R33" i="8" s="1"/>
  <c r="M68" i="8"/>
  <c r="N68" i="8" s="1"/>
  <c r="M51" i="8"/>
  <c r="Q20" i="8"/>
  <c r="R20" i="8" s="1"/>
  <c r="Q35" i="8"/>
  <c r="R35" i="8" s="1"/>
  <c r="O48" i="8"/>
  <c r="P48" i="8" s="1"/>
  <c r="Q14" i="8"/>
  <c r="R14" i="8" s="1"/>
  <c r="Q36" i="8"/>
  <c r="R36" i="8" s="1"/>
  <c r="M65" i="8"/>
  <c r="N65" i="8" s="1"/>
  <c r="Q29" i="8"/>
  <c r="R29" i="8" s="1"/>
  <c r="Q23" i="8"/>
  <c r="R23" i="8" s="1"/>
  <c r="Q34" i="8"/>
  <c r="R34" i="8" s="1"/>
  <c r="Q45" i="8"/>
  <c r="N37" i="8"/>
  <c r="S7" i="8" a="1"/>
  <c r="S7" i="8" s="1"/>
  <c r="S58" i="8" s="1"/>
  <c r="Q18" i="8"/>
  <c r="R18" i="8" s="1"/>
  <c r="Q17" i="8"/>
  <c r="R17" i="8" s="1"/>
  <c r="Q42" i="8"/>
  <c r="Q70" i="8" s="1"/>
  <c r="R70" i="8" s="1"/>
  <c r="O50" i="8"/>
  <c r="P50" i="8" s="1"/>
  <c r="Q28" i="8"/>
  <c r="R28" i="8" s="1"/>
  <c r="Q19" i="8"/>
  <c r="Q63" i="8" s="1"/>
  <c r="R63" i="8" s="1"/>
  <c r="Q47" i="8"/>
  <c r="R47" i="8" s="1"/>
  <c r="O65" i="8"/>
  <c r="P65" i="8" s="1"/>
  <c r="N40" i="8"/>
  <c r="Q21" i="8"/>
  <c r="Q40" i="8"/>
  <c r="R40" i="8" s="1"/>
  <c r="Q41" i="8"/>
  <c r="O72" i="8"/>
  <c r="Q13" i="8"/>
  <c r="R13" i="8" s="1"/>
  <c r="Q30" i="8"/>
  <c r="R30" i="8" s="1"/>
  <c r="T40" i="7"/>
  <c r="R44" i="6"/>
  <c r="P22" i="6"/>
  <c r="L51" i="5"/>
  <c r="L52" i="5" s="1"/>
  <c r="L74" i="5"/>
  <c r="L75" i="5" s="1"/>
  <c r="M68" i="5"/>
  <c r="N68" i="5" s="1"/>
  <c r="N38" i="5"/>
  <c r="K74" i="5"/>
  <c r="M63" i="5"/>
  <c r="N63" i="5" s="1"/>
  <c r="M70" i="5"/>
  <c r="N70" i="5" s="1"/>
  <c r="M67" i="5"/>
  <c r="N67" i="5" s="1"/>
  <c r="M72" i="5"/>
  <c r="N72" i="5" s="1"/>
  <c r="N20" i="5"/>
  <c r="N40" i="5"/>
  <c r="M71" i="5"/>
  <c r="N71" i="5" s="1"/>
  <c r="O25" i="5"/>
  <c r="P25" i="5" s="1"/>
  <c r="M48" i="5"/>
  <c r="N48" i="5" s="1"/>
  <c r="M50" i="5"/>
  <c r="N50" i="5" s="1"/>
  <c r="N46" i="5"/>
  <c r="M73" i="5"/>
  <c r="N73" i="5" s="1"/>
  <c r="M65" i="5"/>
  <c r="N65" i="5" s="1"/>
  <c r="Q13" i="5"/>
  <c r="R13" i="5" s="1"/>
  <c r="Q14" i="5"/>
  <c r="R14" i="5" s="1"/>
  <c r="Q38" i="5"/>
  <c r="Q68" i="5" s="1"/>
  <c r="R68" i="5" s="1"/>
  <c r="Q43" i="5"/>
  <c r="R43" i="5" s="1"/>
  <c r="S7" i="5" a="1"/>
  <c r="S7" i="5" s="1"/>
  <c r="S45" i="5" s="1"/>
  <c r="T45" i="5" s="1"/>
  <c r="O37" i="5"/>
  <c r="P37" i="5" s="1"/>
  <c r="O33" i="5"/>
  <c r="P33" i="5" s="1"/>
  <c r="Q32" i="5"/>
  <c r="R32" i="5" s="1"/>
  <c r="O12" i="5"/>
  <c r="P12" i="5" s="1"/>
  <c r="O23" i="5"/>
  <c r="P23" i="5" s="1"/>
  <c r="O39" i="5"/>
  <c r="P39" i="5" s="1"/>
  <c r="Q30" i="5"/>
  <c r="R30" i="5" s="1"/>
  <c r="Q15" i="5"/>
  <c r="R15" i="5" s="1"/>
  <c r="Q47" i="5"/>
  <c r="R47" i="5" s="1"/>
  <c r="Q37" i="5"/>
  <c r="Q69" i="5" s="1"/>
  <c r="R69" i="5" s="1"/>
  <c r="O21" i="5"/>
  <c r="P21" i="5" s="1"/>
  <c r="O34" i="5"/>
  <c r="P34" i="5" s="1"/>
  <c r="O46" i="5"/>
  <c r="O73" i="5" s="1"/>
  <c r="P73" i="5" s="1"/>
  <c r="Q19" i="5"/>
  <c r="Q63" i="5" s="1"/>
  <c r="R63" i="5" s="1"/>
  <c r="Q58" i="5"/>
  <c r="Q21" i="5"/>
  <c r="R21" i="5" s="1"/>
  <c r="Q41" i="5"/>
  <c r="R41" i="5" s="1"/>
  <c r="Q36" i="5"/>
  <c r="R36" i="5" s="1"/>
  <c r="Q42" i="5"/>
  <c r="Q70" i="5" s="1"/>
  <c r="R70" i="5" s="1"/>
  <c r="O26" i="5"/>
  <c r="P26" i="5" s="1"/>
  <c r="O38" i="5"/>
  <c r="P38" i="5" s="1"/>
  <c r="O10" i="5"/>
  <c r="P10" i="5" s="1"/>
  <c r="O45" i="5"/>
  <c r="P45" i="5" s="1"/>
  <c r="Q40" i="5"/>
  <c r="Q22" i="5"/>
  <c r="R22" i="5" s="1"/>
  <c r="Q25" i="5"/>
  <c r="R25" i="5" s="1"/>
  <c r="Q49" i="5"/>
  <c r="R49" i="5" s="1"/>
  <c r="O15" i="5"/>
  <c r="P15" i="5" s="1"/>
  <c r="O30" i="5"/>
  <c r="P30" i="5" s="1"/>
  <c r="O41" i="5"/>
  <c r="O36" i="5"/>
  <c r="P36" i="5" s="1"/>
  <c r="Q46" i="5"/>
  <c r="O29" i="5"/>
  <c r="P29" i="5" s="1"/>
  <c r="O13" i="5"/>
  <c r="P13" i="5" s="1"/>
  <c r="O16" i="5"/>
  <c r="P16" i="5" s="1"/>
  <c r="O44" i="5"/>
  <c r="Q10" i="5"/>
  <c r="R10" i="5" s="1"/>
  <c r="Q24" i="5"/>
  <c r="R24" i="5" s="1"/>
  <c r="Q27" i="5"/>
  <c r="R27" i="5" s="1"/>
  <c r="Q45" i="5"/>
  <c r="R45" i="5" s="1"/>
  <c r="O47" i="5"/>
  <c r="P47" i="5" s="1"/>
  <c r="O20" i="5"/>
  <c r="P20" i="5" s="1"/>
  <c r="Q9" i="5"/>
  <c r="R9" i="5" s="1"/>
  <c r="O17" i="5"/>
  <c r="P17" i="5" s="1"/>
  <c r="O49" i="5"/>
  <c r="P49" i="5" s="1"/>
  <c r="Q20" i="5"/>
  <c r="R20" i="5" s="1"/>
  <c r="O35" i="5"/>
  <c r="P35" i="5" s="1"/>
  <c r="O28" i="5"/>
  <c r="P28" i="5" s="1"/>
  <c r="O32" i="5"/>
  <c r="P32" i="5" s="1"/>
  <c r="O43" i="5"/>
  <c r="P43" i="5" s="1"/>
  <c r="Q35" i="5"/>
  <c r="R35" i="5" s="1"/>
  <c r="Q26" i="5"/>
  <c r="R26" i="5" s="1"/>
  <c r="Q29" i="5"/>
  <c r="R29" i="5" s="1"/>
  <c r="Q44" i="5"/>
  <c r="M51" i="5"/>
  <c r="O42" i="5"/>
  <c r="P42" i="5" s="1"/>
  <c r="O31" i="5"/>
  <c r="P31" i="5" s="1"/>
  <c r="Q16" i="5"/>
  <c r="R16" i="5" s="1"/>
  <c r="Q23" i="5"/>
  <c r="R23" i="5" s="1"/>
  <c r="O11" i="5"/>
  <c r="P11" i="5" s="1"/>
  <c r="O9" i="5"/>
  <c r="P9" i="5" s="1"/>
  <c r="O14" i="5"/>
  <c r="P14" i="5" s="1"/>
  <c r="O58" i="5"/>
  <c r="Q17" i="5"/>
  <c r="R17" i="5" s="1"/>
  <c r="Q28" i="5"/>
  <c r="R28" i="5" s="1"/>
  <c r="Q33" i="5"/>
  <c r="R33" i="5" s="1"/>
  <c r="O18" i="5"/>
  <c r="P18" i="5" s="1"/>
  <c r="O24" i="5"/>
  <c r="O40" i="5"/>
  <c r="P40" i="5" s="1"/>
  <c r="Q18" i="5"/>
  <c r="R18" i="5" s="1"/>
  <c r="Q31" i="5"/>
  <c r="R31" i="5" s="1"/>
  <c r="Q34" i="5"/>
  <c r="R34" i="5" s="1"/>
  <c r="O22" i="5"/>
  <c r="P22" i="5" s="1"/>
  <c r="O27" i="5"/>
  <c r="P27" i="5" s="1"/>
  <c r="O19" i="5"/>
  <c r="P19" i="5" s="1"/>
  <c r="Q12" i="5"/>
  <c r="R12" i="5" s="1"/>
  <c r="Q11" i="5"/>
  <c r="R11" i="5" s="1"/>
  <c r="N44" i="1"/>
  <c r="N40" i="1"/>
  <c r="M67" i="1"/>
  <c r="N67" i="1" s="1"/>
  <c r="N20" i="1"/>
  <c r="M64" i="1"/>
  <c r="N64" i="1" s="1"/>
  <c r="N38" i="1"/>
  <c r="M68" i="1"/>
  <c r="N68" i="1" s="1"/>
  <c r="M70" i="1"/>
  <c r="N70" i="1" s="1"/>
  <c r="N46" i="1"/>
  <c r="M71" i="1"/>
  <c r="N71" i="1" s="1"/>
  <c r="K74" i="1"/>
  <c r="L74" i="1"/>
  <c r="L75" i="1" s="1"/>
  <c r="N19" i="1"/>
  <c r="M72" i="1"/>
  <c r="M74" i="1" s="1"/>
  <c r="M65" i="1"/>
  <c r="N65" i="1" s="1"/>
  <c r="M69" i="1"/>
  <c r="N69" i="1" s="1"/>
  <c r="L51" i="1"/>
  <c r="O15" i="1"/>
  <c r="P15" i="1" s="1"/>
  <c r="O36" i="1"/>
  <c r="P36" i="1" s="1"/>
  <c r="O29" i="1"/>
  <c r="P29" i="1" s="1"/>
  <c r="O19" i="1"/>
  <c r="O63" i="1" s="1"/>
  <c r="P63" i="1" s="1"/>
  <c r="O20" i="1"/>
  <c r="O40" i="1"/>
  <c r="Q7" i="1" a="1"/>
  <c r="Q7" i="1" s="1"/>
  <c r="Q15" i="1" s="1"/>
  <c r="O12" i="1"/>
  <c r="P12" i="1" s="1"/>
  <c r="O16" i="1"/>
  <c r="P16" i="1" s="1"/>
  <c r="O22" i="1"/>
  <c r="P22" i="1" s="1"/>
  <c r="O47" i="1"/>
  <c r="O26" i="1"/>
  <c r="P26" i="1" s="1"/>
  <c r="O42" i="1"/>
  <c r="O30" i="1"/>
  <c r="P30" i="1" s="1"/>
  <c r="O49" i="1"/>
  <c r="P49" i="1" s="1"/>
  <c r="O45" i="1"/>
  <c r="O33" i="1"/>
  <c r="P33" i="1" s="1"/>
  <c r="O46" i="1"/>
  <c r="P46" i="1" s="1"/>
  <c r="O34" i="1"/>
  <c r="P34" i="1" s="1"/>
  <c r="O9" i="1"/>
  <c r="P9" i="1" s="1"/>
  <c r="M48" i="1"/>
  <c r="N48" i="1" s="1"/>
  <c r="O17" i="1"/>
  <c r="P17" i="1" s="1"/>
  <c r="O41" i="1"/>
  <c r="P41" i="1" s="1"/>
  <c r="O13" i="1"/>
  <c r="P13" i="1" s="1"/>
  <c r="O28" i="1"/>
  <c r="P28" i="1" s="1"/>
  <c r="O38" i="1"/>
  <c r="O39" i="1"/>
  <c r="P39" i="1" s="1"/>
  <c r="O43" i="1"/>
  <c r="O71" i="1" s="1"/>
  <c r="P71" i="1" s="1"/>
  <c r="O21" i="1"/>
  <c r="P21" i="1" s="1"/>
  <c r="O35" i="1"/>
  <c r="P35" i="1" s="1"/>
  <c r="O23" i="1"/>
  <c r="P23" i="1" s="1"/>
  <c r="O31" i="1"/>
  <c r="P31" i="1" s="1"/>
  <c r="M63" i="1"/>
  <c r="N63" i="1" s="1"/>
  <c r="O32" i="1"/>
  <c r="P32" i="1" s="1"/>
  <c r="O25" i="1"/>
  <c r="P25" i="1" s="1"/>
  <c r="O27" i="1"/>
  <c r="P27" i="1" s="1"/>
  <c r="O10" i="1"/>
  <c r="P10" i="1" s="1"/>
  <c r="O14" i="1"/>
  <c r="P14" i="1" s="1"/>
  <c r="O37" i="1"/>
  <c r="O69" i="1" s="1"/>
  <c r="P69" i="1" s="1"/>
  <c r="O44" i="1"/>
  <c r="P44" i="1" s="1"/>
  <c r="O58" i="1"/>
  <c r="O24" i="1"/>
  <c r="P24" i="1" s="1"/>
  <c r="O18" i="1"/>
  <c r="P18" i="1" s="1"/>
  <c r="L52" i="1" l="1"/>
  <c r="O71" i="6"/>
  <c r="P71" i="6" s="1"/>
  <c r="Q63" i="7"/>
  <c r="R63" i="7" s="1"/>
  <c r="P47" i="1"/>
  <c r="P45" i="1"/>
  <c r="O70" i="1"/>
  <c r="P70" i="1" s="1"/>
  <c r="O50" i="1"/>
  <c r="P50" i="1" s="1"/>
  <c r="O51" i="1"/>
  <c r="L52" i="7"/>
  <c r="R37" i="6"/>
  <c r="S63" i="7"/>
  <c r="T63" i="7" s="1"/>
  <c r="S73" i="7"/>
  <c r="T73" i="7" s="1"/>
  <c r="P46" i="6"/>
  <c r="Q68" i="7"/>
  <c r="R68" i="7" s="1"/>
  <c r="R38" i="7"/>
  <c r="O68" i="6"/>
  <c r="P68" i="6" s="1"/>
  <c r="N72" i="7"/>
  <c r="Q71" i="7"/>
  <c r="R71" i="7" s="1"/>
  <c r="P42" i="6"/>
  <c r="S68" i="7"/>
  <c r="T68" i="7" s="1"/>
  <c r="P51" i="7"/>
  <c r="P50" i="7"/>
  <c r="T20" i="7"/>
  <c r="P20" i="6"/>
  <c r="P19" i="6"/>
  <c r="O50" i="6"/>
  <c r="P50" i="6" s="1"/>
  <c r="O72" i="6"/>
  <c r="O74" i="6" s="1"/>
  <c r="T38" i="7"/>
  <c r="R20" i="7"/>
  <c r="U20" i="7"/>
  <c r="U64" i="7" s="1"/>
  <c r="V64" i="7" s="1"/>
  <c r="U46" i="7"/>
  <c r="V46" i="7" s="1"/>
  <c r="N51" i="7"/>
  <c r="N52" i="7" s="1"/>
  <c r="T43" i="7"/>
  <c r="N50" i="6"/>
  <c r="N52" i="6" s="1"/>
  <c r="N74" i="6"/>
  <c r="R42" i="7"/>
  <c r="R42" i="6"/>
  <c r="Q73" i="6"/>
  <c r="R73" i="6" s="1"/>
  <c r="N74" i="7"/>
  <c r="T37" i="7"/>
  <c r="O67" i="6"/>
  <c r="P67" i="6" s="1"/>
  <c r="O60" i="6"/>
  <c r="P60" i="6" s="1"/>
  <c r="S18" i="6"/>
  <c r="T18" i="6" s="1"/>
  <c r="S21" i="6"/>
  <c r="T21" i="6" s="1"/>
  <c r="S40" i="6"/>
  <c r="T40" i="6" s="1"/>
  <c r="U40" i="7"/>
  <c r="V40" i="7" s="1"/>
  <c r="Q51" i="7"/>
  <c r="S14" i="6"/>
  <c r="T14" i="6" s="1"/>
  <c r="S46" i="6"/>
  <c r="T46" i="6" s="1"/>
  <c r="S49" i="6"/>
  <c r="T49" i="6" s="1"/>
  <c r="O65" i="6"/>
  <c r="P65" i="6" s="1"/>
  <c r="U41" i="7"/>
  <c r="R37" i="7"/>
  <c r="S12" i="6"/>
  <c r="T12" i="6" s="1"/>
  <c r="S20" i="6"/>
  <c r="T20" i="6" s="1"/>
  <c r="U39" i="7"/>
  <c r="V39" i="7" s="1"/>
  <c r="S24" i="6"/>
  <c r="T24" i="6" s="1"/>
  <c r="S15" i="6"/>
  <c r="T15" i="6" s="1"/>
  <c r="S9" i="6"/>
  <c r="T9" i="6" s="1"/>
  <c r="S37" i="6"/>
  <c r="S69" i="6" s="1"/>
  <c r="T69" i="6" s="1"/>
  <c r="S17" i="6"/>
  <c r="T17" i="6" s="1"/>
  <c r="S43" i="6"/>
  <c r="T43" i="6" s="1"/>
  <c r="U7" i="6" a="1"/>
  <c r="U7" i="6" s="1"/>
  <c r="U39" i="6" s="1"/>
  <c r="T42" i="7"/>
  <c r="U17" i="7"/>
  <c r="V17" i="7" s="1"/>
  <c r="S19" i="6"/>
  <c r="S63" i="6" s="1"/>
  <c r="T63" i="6" s="1"/>
  <c r="S30" i="6"/>
  <c r="T30" i="6" s="1"/>
  <c r="S10" i="6"/>
  <c r="T10" i="6" s="1"/>
  <c r="S36" i="6"/>
  <c r="T36" i="6" s="1"/>
  <c r="S45" i="6"/>
  <c r="T45" i="6" s="1"/>
  <c r="U34" i="7"/>
  <c r="V34" i="7" s="1"/>
  <c r="S16" i="6"/>
  <c r="T16" i="6" s="1"/>
  <c r="S22" i="6"/>
  <c r="T22" i="6" s="1"/>
  <c r="S39" i="6"/>
  <c r="T39" i="6" s="1"/>
  <c r="U38" i="7"/>
  <c r="V38" i="7" s="1"/>
  <c r="S11" i="6"/>
  <c r="T11" i="6" s="1"/>
  <c r="S26" i="6"/>
  <c r="T26" i="6" s="1"/>
  <c r="S41" i="6"/>
  <c r="T41" i="6" s="1"/>
  <c r="P40" i="6"/>
  <c r="U22" i="7"/>
  <c r="V22" i="7" s="1"/>
  <c r="S23" i="6"/>
  <c r="T23" i="6" s="1"/>
  <c r="S31" i="6"/>
  <c r="T31" i="6" s="1"/>
  <c r="S44" i="6"/>
  <c r="T44" i="6" s="1"/>
  <c r="P38" i="6"/>
  <c r="U15" i="7"/>
  <c r="V15" i="7" s="1"/>
  <c r="L75" i="8"/>
  <c r="S47" i="6"/>
  <c r="T47" i="6" s="1"/>
  <c r="S32" i="6"/>
  <c r="T32" i="6" s="1"/>
  <c r="S33" i="6"/>
  <c r="T33" i="6" s="1"/>
  <c r="S58" i="6"/>
  <c r="U9" i="7"/>
  <c r="V9" i="7" s="1"/>
  <c r="Q50" i="7"/>
  <c r="R50" i="7" s="1"/>
  <c r="Q72" i="7"/>
  <c r="R72" i="7" s="1"/>
  <c r="Q67" i="7"/>
  <c r="R67" i="7" s="1"/>
  <c r="U33" i="7"/>
  <c r="V33" i="7" s="1"/>
  <c r="U24" i="7"/>
  <c r="V24" i="7" s="1"/>
  <c r="U49" i="7"/>
  <c r="V49" i="7" s="1"/>
  <c r="Q48" i="7"/>
  <c r="R48" i="7" s="1"/>
  <c r="P12" i="6"/>
  <c r="Q64" i="6"/>
  <c r="R64" i="6" s="1"/>
  <c r="U12" i="7"/>
  <c r="V12" i="7" s="1"/>
  <c r="U27" i="7"/>
  <c r="V27" i="7" s="1"/>
  <c r="S27" i="6"/>
  <c r="T27" i="6" s="1"/>
  <c r="S25" i="6"/>
  <c r="T25" i="6" s="1"/>
  <c r="S42" i="6"/>
  <c r="S70" i="6" s="1"/>
  <c r="T70" i="6" s="1"/>
  <c r="U16" i="7"/>
  <c r="V16" i="7" s="1"/>
  <c r="U31" i="7"/>
  <c r="V31" i="7" s="1"/>
  <c r="R46" i="7"/>
  <c r="U26" i="7"/>
  <c r="V26" i="7" s="1"/>
  <c r="U37" i="7"/>
  <c r="U69" i="7" s="1"/>
  <c r="V69" i="7" s="1"/>
  <c r="W7" i="7" a="1"/>
  <c r="W7" i="7" s="1"/>
  <c r="W43" i="7" s="1"/>
  <c r="U28" i="7"/>
  <c r="V28" i="7" s="1"/>
  <c r="U29" i="7"/>
  <c r="V29" i="7" s="1"/>
  <c r="U58" i="7"/>
  <c r="S34" i="6"/>
  <c r="T34" i="6" s="1"/>
  <c r="S35" i="6"/>
  <c r="T35" i="6" s="1"/>
  <c r="S28" i="6"/>
  <c r="T28" i="6" s="1"/>
  <c r="U13" i="7"/>
  <c r="V13" i="7" s="1"/>
  <c r="U11" i="7"/>
  <c r="V11" i="7" s="1"/>
  <c r="U43" i="7"/>
  <c r="U71" i="7" s="1"/>
  <c r="V71" i="7" s="1"/>
  <c r="U32" i="7"/>
  <c r="V32" i="7" s="1"/>
  <c r="U18" i="7"/>
  <c r="V18" i="7" s="1"/>
  <c r="U42" i="7"/>
  <c r="V42" i="7" s="1"/>
  <c r="U23" i="7"/>
  <c r="V23" i="7" s="1"/>
  <c r="U25" i="7"/>
  <c r="V25" i="7" s="1"/>
  <c r="U47" i="7"/>
  <c r="V47" i="7" s="1"/>
  <c r="Q60" i="7"/>
  <c r="R60" i="7" s="1"/>
  <c r="P37" i="6"/>
  <c r="R19" i="6"/>
  <c r="U35" i="7"/>
  <c r="V35" i="7" s="1"/>
  <c r="U10" i="7"/>
  <c r="V10" i="7" s="1"/>
  <c r="U45" i="7"/>
  <c r="U72" i="7" s="1"/>
  <c r="Q67" i="6"/>
  <c r="R67" i="6" s="1"/>
  <c r="Q65" i="7"/>
  <c r="R65" i="7" s="1"/>
  <c r="U14" i="7"/>
  <c r="U21" i="7"/>
  <c r="V21" i="7" s="1"/>
  <c r="U36" i="7"/>
  <c r="V36" i="7" s="1"/>
  <c r="S67" i="7"/>
  <c r="T67" i="7" s="1"/>
  <c r="O74" i="7"/>
  <c r="S13" i="6"/>
  <c r="T13" i="6" s="1"/>
  <c r="S29" i="6"/>
  <c r="T29" i="6" s="1"/>
  <c r="U19" i="7"/>
  <c r="U63" i="7" s="1"/>
  <c r="V63" i="7" s="1"/>
  <c r="U30" i="7"/>
  <c r="V30" i="7" s="1"/>
  <c r="Q72" i="6"/>
  <c r="R72" i="6" s="1"/>
  <c r="O48" i="6"/>
  <c r="P48" i="6" s="1"/>
  <c r="R40" i="6"/>
  <c r="S50" i="7"/>
  <c r="T50" i="7" s="1"/>
  <c r="S65" i="7"/>
  <c r="T65" i="7" s="1"/>
  <c r="S48" i="7"/>
  <c r="T48" i="7" s="1"/>
  <c r="R43" i="6"/>
  <c r="S51" i="7"/>
  <c r="S72" i="7"/>
  <c r="S60" i="7"/>
  <c r="T60" i="7" s="1"/>
  <c r="Q48" i="6"/>
  <c r="R48" i="6" s="1"/>
  <c r="Q51" i="6"/>
  <c r="O51" i="6"/>
  <c r="Q68" i="6"/>
  <c r="R68" i="6" s="1"/>
  <c r="Q50" i="6"/>
  <c r="R51" i="6" s="1"/>
  <c r="Q60" i="6"/>
  <c r="R60" i="6" s="1"/>
  <c r="N74" i="8"/>
  <c r="N75" i="8" s="1"/>
  <c r="N50" i="8"/>
  <c r="N52" i="8" s="1"/>
  <c r="Q65" i="6"/>
  <c r="R65" i="6" s="1"/>
  <c r="N72" i="6"/>
  <c r="O74" i="8"/>
  <c r="L52" i="6"/>
  <c r="R38" i="8"/>
  <c r="Q73" i="8"/>
  <c r="R73" i="8" s="1"/>
  <c r="M74" i="8"/>
  <c r="Q51" i="8"/>
  <c r="Q69" i="8"/>
  <c r="R69" i="8" s="1"/>
  <c r="P72" i="8"/>
  <c r="Q67" i="8"/>
  <c r="R67" i="8" s="1"/>
  <c r="R43" i="8"/>
  <c r="R19" i="8"/>
  <c r="Q65" i="8"/>
  <c r="R65" i="8" s="1"/>
  <c r="Q48" i="8"/>
  <c r="R48" i="8" s="1"/>
  <c r="Q72" i="8"/>
  <c r="R72" i="8" s="1"/>
  <c r="Q64" i="8"/>
  <c r="R64" i="8" s="1"/>
  <c r="R42" i="8"/>
  <c r="S26" i="8"/>
  <c r="T26" i="8" s="1"/>
  <c r="R41" i="8"/>
  <c r="S30" i="8"/>
  <c r="T30" i="8" s="1"/>
  <c r="S27" i="8"/>
  <c r="T27" i="8" s="1"/>
  <c r="S31" i="8"/>
  <c r="T31" i="8" s="1"/>
  <c r="S23" i="8"/>
  <c r="T23" i="8" s="1"/>
  <c r="S35" i="8"/>
  <c r="T35" i="8" s="1"/>
  <c r="Q60" i="8"/>
  <c r="R60" i="8" s="1"/>
  <c r="S18" i="8"/>
  <c r="T18" i="8" s="1"/>
  <c r="S12" i="8"/>
  <c r="T12" i="8" s="1"/>
  <c r="S44" i="8"/>
  <c r="U7" i="8" a="1"/>
  <c r="U7" i="8" s="1"/>
  <c r="U49" i="8" s="1"/>
  <c r="S10" i="8"/>
  <c r="T10" i="8" s="1"/>
  <c r="S43" i="8"/>
  <c r="S71" i="8" s="1"/>
  <c r="T71" i="8" s="1"/>
  <c r="R45" i="8"/>
  <c r="S20" i="8"/>
  <c r="T20" i="8" s="1"/>
  <c r="S42" i="8"/>
  <c r="T42" i="8" s="1"/>
  <c r="Q50" i="8"/>
  <c r="R50" i="8" s="1"/>
  <c r="S15" i="8"/>
  <c r="T15" i="8" s="1"/>
  <c r="S46" i="8"/>
  <c r="T46" i="8" s="1"/>
  <c r="R44" i="8"/>
  <c r="S28" i="8"/>
  <c r="T28" i="8" s="1"/>
  <c r="S38" i="8"/>
  <c r="T38" i="8" s="1"/>
  <c r="S14" i="8"/>
  <c r="T14" i="8" s="1"/>
  <c r="S32" i="8"/>
  <c r="T32" i="8" s="1"/>
  <c r="S47" i="8"/>
  <c r="T47" i="8" s="1"/>
  <c r="S21" i="8"/>
  <c r="T21" i="8" s="1"/>
  <c r="S33" i="8"/>
  <c r="T33" i="8" s="1"/>
  <c r="S41" i="8"/>
  <c r="T41" i="8" s="1"/>
  <c r="R21" i="8"/>
  <c r="P74" i="8"/>
  <c r="S11" i="8"/>
  <c r="T11" i="8" s="1"/>
  <c r="S13" i="8"/>
  <c r="T13" i="8" s="1"/>
  <c r="S34" i="8"/>
  <c r="T34" i="8" s="1"/>
  <c r="S39" i="8"/>
  <c r="T39" i="8" s="1"/>
  <c r="P51" i="8"/>
  <c r="P52" i="8" s="1"/>
  <c r="S19" i="8"/>
  <c r="T19" i="8" s="1"/>
  <c r="S22" i="8"/>
  <c r="T22" i="8" s="1"/>
  <c r="S36" i="8"/>
  <c r="T36" i="8" s="1"/>
  <c r="S49" i="8"/>
  <c r="T49" i="8" s="1"/>
  <c r="S16" i="8"/>
  <c r="T16" i="8" s="1"/>
  <c r="S24" i="8"/>
  <c r="T24" i="8" s="1"/>
  <c r="S17" i="8"/>
  <c r="T17" i="8" s="1"/>
  <c r="S45" i="8"/>
  <c r="T45" i="8" s="1"/>
  <c r="S29" i="8"/>
  <c r="T29" i="8" s="1"/>
  <c r="S25" i="8"/>
  <c r="T25" i="8" s="1"/>
  <c r="S37" i="8"/>
  <c r="S69" i="8" s="1"/>
  <c r="T69" i="8" s="1"/>
  <c r="S9" i="8"/>
  <c r="T9" i="8" s="1"/>
  <c r="S40" i="8"/>
  <c r="T40" i="8" s="1"/>
  <c r="P75" i="7"/>
  <c r="V44" i="7"/>
  <c r="T38" i="6"/>
  <c r="Q67" i="5"/>
  <c r="R67" i="5" s="1"/>
  <c r="N74" i="5"/>
  <c r="N75" i="5" s="1"/>
  <c r="Q71" i="5"/>
  <c r="R71" i="5" s="1"/>
  <c r="S32" i="5"/>
  <c r="T32" i="5" s="1"/>
  <c r="R37" i="5"/>
  <c r="N51" i="5"/>
  <c r="N52" i="5" s="1"/>
  <c r="O69" i="5"/>
  <c r="P69" i="5" s="1"/>
  <c r="Q64" i="5"/>
  <c r="R64" i="5" s="1"/>
  <c r="O70" i="5"/>
  <c r="P70" i="5" s="1"/>
  <c r="S20" i="5"/>
  <c r="S64" i="5" s="1"/>
  <c r="T64" i="5" s="1"/>
  <c r="Q72" i="5"/>
  <c r="R72" i="5" s="1"/>
  <c r="O67" i="5"/>
  <c r="P67" i="5" s="1"/>
  <c r="R42" i="5"/>
  <c r="P46" i="5"/>
  <c r="P41" i="5"/>
  <c r="O48" i="5"/>
  <c r="P48" i="5" s="1"/>
  <c r="U7" i="5" a="1"/>
  <c r="U7" i="5" s="1"/>
  <c r="U40" i="5" s="1"/>
  <c r="R38" i="5"/>
  <c r="S39" i="5"/>
  <c r="T39" i="5" s="1"/>
  <c r="S44" i="5"/>
  <c r="S72" i="5" s="1"/>
  <c r="O64" i="5"/>
  <c r="P64" i="5" s="1"/>
  <c r="O50" i="5"/>
  <c r="P50" i="5" s="1"/>
  <c r="Q50" i="5"/>
  <c r="R51" i="5" s="1"/>
  <c r="R44" i="5"/>
  <c r="O68" i="5"/>
  <c r="P68" i="5" s="1"/>
  <c r="M74" i="5"/>
  <c r="R40" i="5"/>
  <c r="S15" i="5"/>
  <c r="T15" i="5" s="1"/>
  <c r="S23" i="5"/>
  <c r="T23" i="5" s="1"/>
  <c r="S37" i="5"/>
  <c r="S69" i="5" s="1"/>
  <c r="T69" i="5" s="1"/>
  <c r="S12" i="5"/>
  <c r="T12" i="5" s="1"/>
  <c r="S36" i="5"/>
  <c r="T36" i="5" s="1"/>
  <c r="P44" i="5"/>
  <c r="S19" i="5"/>
  <c r="S63" i="5" s="1"/>
  <c r="T63" i="5" s="1"/>
  <c r="S22" i="5"/>
  <c r="T22" i="5" s="1"/>
  <c r="S58" i="5"/>
  <c r="O72" i="5"/>
  <c r="P72" i="5" s="1"/>
  <c r="S18" i="5"/>
  <c r="T18" i="5" s="1"/>
  <c r="S24" i="5"/>
  <c r="T24" i="5" s="1"/>
  <c r="S43" i="5"/>
  <c r="S71" i="5" s="1"/>
  <c r="T71" i="5" s="1"/>
  <c r="O60" i="5"/>
  <c r="P60" i="5" s="1"/>
  <c r="S25" i="5"/>
  <c r="T25" i="5" s="1"/>
  <c r="S26" i="5"/>
  <c r="T26" i="5" s="1"/>
  <c r="S47" i="5"/>
  <c r="T47" i="5" s="1"/>
  <c r="S21" i="5"/>
  <c r="T21" i="5" s="1"/>
  <c r="S28" i="5"/>
  <c r="T28" i="5" s="1"/>
  <c r="S46" i="5"/>
  <c r="S73" i="5" s="1"/>
  <c r="T73" i="5" s="1"/>
  <c r="O65" i="5"/>
  <c r="P65" i="5" s="1"/>
  <c r="Q48" i="5"/>
  <c r="R48" i="5" s="1"/>
  <c r="S33" i="5"/>
  <c r="T33" i="5" s="1"/>
  <c r="S31" i="5"/>
  <c r="T31" i="5" s="1"/>
  <c r="O63" i="5"/>
  <c r="P63" i="5" s="1"/>
  <c r="S11" i="5"/>
  <c r="T11" i="5" s="1"/>
  <c r="S38" i="5"/>
  <c r="T38" i="5" s="1"/>
  <c r="S13" i="5"/>
  <c r="T13" i="5" s="1"/>
  <c r="S10" i="5"/>
  <c r="T10" i="5" s="1"/>
  <c r="O51" i="5"/>
  <c r="O71" i="5"/>
  <c r="P71" i="5" s="1"/>
  <c r="S27" i="5"/>
  <c r="T27" i="5" s="1"/>
  <c r="S41" i="5"/>
  <c r="T41" i="5" s="1"/>
  <c r="R46" i="5"/>
  <c r="Q65" i="5"/>
  <c r="R65" i="5" s="1"/>
  <c r="Q51" i="5"/>
  <c r="Q73" i="5"/>
  <c r="R73" i="5" s="1"/>
  <c r="P24" i="5"/>
  <c r="Q60" i="5"/>
  <c r="R60" i="5" s="1"/>
  <c r="S14" i="5"/>
  <c r="T14" i="5" s="1"/>
  <c r="S9" i="5"/>
  <c r="T9" i="5" s="1"/>
  <c r="S17" i="5"/>
  <c r="T17" i="5" s="1"/>
  <c r="S42" i="5"/>
  <c r="T42" i="5" s="1"/>
  <c r="R19" i="5"/>
  <c r="S29" i="5"/>
  <c r="T29" i="5" s="1"/>
  <c r="S30" i="5"/>
  <c r="T30" i="5" s="1"/>
  <c r="S16" i="5"/>
  <c r="T16" i="5" s="1"/>
  <c r="S49" i="5"/>
  <c r="T49" i="5" s="1"/>
  <c r="S40" i="5"/>
  <c r="T40" i="5" s="1"/>
  <c r="S34" i="5"/>
  <c r="T34" i="5" s="1"/>
  <c r="S35" i="5"/>
  <c r="T35" i="5" s="1"/>
  <c r="N50" i="1"/>
  <c r="N51" i="1"/>
  <c r="N74" i="1"/>
  <c r="P40" i="1"/>
  <c r="O67" i="1"/>
  <c r="P67" i="1" s="1"/>
  <c r="P20" i="1"/>
  <c r="O64" i="1"/>
  <c r="P64" i="1" s="1"/>
  <c r="O68" i="1"/>
  <c r="P68" i="1" s="1"/>
  <c r="O73" i="1"/>
  <c r="P73" i="1" s="1"/>
  <c r="N72" i="1"/>
  <c r="P38" i="1"/>
  <c r="P19" i="1"/>
  <c r="O72" i="1"/>
  <c r="P43" i="1"/>
  <c r="P37" i="1"/>
  <c r="O60" i="1"/>
  <c r="P60" i="1" s="1"/>
  <c r="S7" i="1" a="1"/>
  <c r="S7" i="1" s="1"/>
  <c r="S20" i="1" s="1"/>
  <c r="P42" i="1"/>
  <c r="O65" i="1"/>
  <c r="P65" i="1" s="1"/>
  <c r="Q27" i="1"/>
  <c r="R27" i="1" s="1"/>
  <c r="Q20" i="1"/>
  <c r="Q46" i="1"/>
  <c r="R46" i="1" s="1"/>
  <c r="Q32" i="1"/>
  <c r="R32" i="1" s="1"/>
  <c r="Q35" i="1"/>
  <c r="R35" i="1" s="1"/>
  <c r="Q19" i="1"/>
  <c r="R19" i="1" s="1"/>
  <c r="Q9" i="1"/>
  <c r="R9" i="1" s="1"/>
  <c r="Q37" i="1"/>
  <c r="Q69" i="1" s="1"/>
  <c r="R69" i="1" s="1"/>
  <c r="Q40" i="1"/>
  <c r="Q45" i="1"/>
  <c r="R45" i="1" s="1"/>
  <c r="Q28" i="1"/>
  <c r="R28" i="1" s="1"/>
  <c r="Q29" i="1"/>
  <c r="R29" i="1" s="1"/>
  <c r="Q25" i="1"/>
  <c r="R25" i="1" s="1"/>
  <c r="Q58" i="1"/>
  <c r="Q13" i="1"/>
  <c r="Q16" i="1"/>
  <c r="Q10" i="1"/>
  <c r="R10" i="1" s="1"/>
  <c r="Q41" i="1"/>
  <c r="R41" i="1" s="1"/>
  <c r="Q30" i="1"/>
  <c r="R30" i="1" s="1"/>
  <c r="Q14" i="1"/>
  <c r="Q49" i="1"/>
  <c r="R49" i="1" s="1"/>
  <c r="Q42" i="1"/>
  <c r="Q33" i="1"/>
  <c r="R33" i="1" s="1"/>
  <c r="Q36" i="1"/>
  <c r="R36" i="1" s="1"/>
  <c r="Q34" i="1"/>
  <c r="R34" i="1" s="1"/>
  <c r="Q24" i="1"/>
  <c r="R24" i="1" s="1"/>
  <c r="Q21" i="1"/>
  <c r="R21" i="1" s="1"/>
  <c r="Q22" i="1"/>
  <c r="R22" i="1" s="1"/>
  <c r="Q43" i="1"/>
  <c r="R43" i="1" s="1"/>
  <c r="Q26" i="1"/>
  <c r="R26" i="1" s="1"/>
  <c r="Q47" i="1"/>
  <c r="R47" i="1" s="1"/>
  <c r="Q17" i="1"/>
  <c r="Q44" i="1"/>
  <c r="Q31" i="1"/>
  <c r="R31" i="1" s="1"/>
  <c r="Q39" i="1"/>
  <c r="R39" i="1" s="1"/>
  <c r="O48" i="1"/>
  <c r="P48" i="1" s="1"/>
  <c r="Q38" i="1"/>
  <c r="Q11" i="1"/>
  <c r="Q23" i="1"/>
  <c r="R23" i="1" s="1"/>
  <c r="Q18" i="1"/>
  <c r="Q12" i="1"/>
  <c r="R42" i="1" l="1"/>
  <c r="Q50" i="1"/>
  <c r="Q51" i="1"/>
  <c r="S64" i="6"/>
  <c r="T64" i="6" s="1"/>
  <c r="S74" i="7"/>
  <c r="N75" i="7"/>
  <c r="P52" i="7"/>
  <c r="U73" i="7"/>
  <c r="V73" i="7" s="1"/>
  <c r="P72" i="6"/>
  <c r="S71" i="6"/>
  <c r="T71" i="6" s="1"/>
  <c r="S73" i="6"/>
  <c r="T73" i="6" s="1"/>
  <c r="N75" i="6"/>
  <c r="V20" i="7"/>
  <c r="S68" i="6"/>
  <c r="T68" i="6" s="1"/>
  <c r="V37" i="7"/>
  <c r="P74" i="6"/>
  <c r="P51" i="6"/>
  <c r="P52" i="6" s="1"/>
  <c r="R74" i="7"/>
  <c r="R75" i="7" s="1"/>
  <c r="R51" i="7"/>
  <c r="R52" i="7" s="1"/>
  <c r="V45" i="7"/>
  <c r="V43" i="7"/>
  <c r="U50" i="7"/>
  <c r="V50" i="7" s="1"/>
  <c r="S50" i="6"/>
  <c r="T51" i="6" s="1"/>
  <c r="U48" i="7"/>
  <c r="V48" i="7" s="1"/>
  <c r="T42" i="6"/>
  <c r="S51" i="6"/>
  <c r="U51" i="7"/>
  <c r="S72" i="6"/>
  <c r="T72" i="6" s="1"/>
  <c r="V19" i="7"/>
  <c r="S48" i="6"/>
  <c r="T48" i="6" s="1"/>
  <c r="U27" i="6"/>
  <c r="V27" i="6" s="1"/>
  <c r="U22" i="6"/>
  <c r="V22" i="6" s="1"/>
  <c r="W58" i="7"/>
  <c r="W17" i="7"/>
  <c r="X17" i="7" s="1"/>
  <c r="U16" i="6"/>
  <c r="V16" i="6" s="1"/>
  <c r="W41" i="7"/>
  <c r="X41" i="7" s="1"/>
  <c r="U46" i="6"/>
  <c r="U73" i="6" s="1"/>
  <c r="V73" i="6" s="1"/>
  <c r="U58" i="6"/>
  <c r="U17" i="6"/>
  <c r="V17" i="6" s="1"/>
  <c r="U29" i="6"/>
  <c r="V29" i="6" s="1"/>
  <c r="U10" i="6"/>
  <c r="V10" i="6" s="1"/>
  <c r="U30" i="6"/>
  <c r="V30" i="6" s="1"/>
  <c r="U11" i="6"/>
  <c r="V11" i="6" s="1"/>
  <c r="U32" i="6"/>
  <c r="V32" i="6" s="1"/>
  <c r="U12" i="6"/>
  <c r="V12" i="6" s="1"/>
  <c r="U45" i="6"/>
  <c r="W7" i="6" a="1"/>
  <c r="W7" i="6" s="1"/>
  <c r="W41" i="6" s="1"/>
  <c r="X41" i="6" s="1"/>
  <c r="U42" i="6"/>
  <c r="V42" i="6" s="1"/>
  <c r="U47" i="6"/>
  <c r="V47" i="6" s="1"/>
  <c r="U19" i="6"/>
  <c r="U63" i="6" s="1"/>
  <c r="V63" i="6" s="1"/>
  <c r="U40" i="6"/>
  <c r="V40" i="6" s="1"/>
  <c r="U68" i="7"/>
  <c r="V68" i="7" s="1"/>
  <c r="U23" i="6"/>
  <c r="V23" i="6" s="1"/>
  <c r="U49" i="6"/>
  <c r="V49" i="6" s="1"/>
  <c r="Q74" i="7"/>
  <c r="R50" i="6"/>
  <c r="R52" i="6" s="1"/>
  <c r="T37" i="6"/>
  <c r="U67" i="7"/>
  <c r="V67" i="7" s="1"/>
  <c r="Q74" i="6"/>
  <c r="U60" i="7"/>
  <c r="V60" i="7" s="1"/>
  <c r="U9" i="6"/>
  <c r="V9" i="6" s="1"/>
  <c r="U18" i="6"/>
  <c r="V18" i="6" s="1"/>
  <c r="U38" i="6"/>
  <c r="V38" i="6" s="1"/>
  <c r="U43" i="6"/>
  <c r="U71" i="6" s="1"/>
  <c r="V71" i="6" s="1"/>
  <c r="W31" i="7"/>
  <c r="X31" i="7" s="1"/>
  <c r="W42" i="7"/>
  <c r="X42" i="7" s="1"/>
  <c r="W32" i="7"/>
  <c r="X32" i="7" s="1"/>
  <c r="U13" i="6"/>
  <c r="V13" i="6" s="1"/>
  <c r="U26" i="6"/>
  <c r="V26" i="6" s="1"/>
  <c r="U31" i="6"/>
  <c r="V31" i="6" s="1"/>
  <c r="W33" i="7"/>
  <c r="X33" i="7" s="1"/>
  <c r="W35" i="7"/>
  <c r="X35" i="7" s="1"/>
  <c r="V41" i="7"/>
  <c r="W12" i="7"/>
  <c r="X12" i="7" s="1"/>
  <c r="S67" i="6"/>
  <c r="T67" i="6" s="1"/>
  <c r="U28" i="6"/>
  <c r="V28" i="6" s="1"/>
  <c r="U21" i="6"/>
  <c r="U33" i="6"/>
  <c r="V33" i="6" s="1"/>
  <c r="W22" i="7"/>
  <c r="X22" i="7" s="1"/>
  <c r="T19" i="6"/>
  <c r="U14" i="6"/>
  <c r="V14" i="6" s="1"/>
  <c r="U25" i="6"/>
  <c r="V25" i="6" s="1"/>
  <c r="U34" i="6"/>
  <c r="V34" i="6" s="1"/>
  <c r="V14" i="7"/>
  <c r="W36" i="7"/>
  <c r="X36" i="7" s="1"/>
  <c r="U20" i="6"/>
  <c r="U64" i="6" s="1"/>
  <c r="V64" i="6" s="1"/>
  <c r="U41" i="6"/>
  <c r="U67" i="6" s="1"/>
  <c r="V67" i="6" s="1"/>
  <c r="U35" i="6"/>
  <c r="V35" i="6" s="1"/>
  <c r="W10" i="7"/>
  <c r="X10" i="7" s="1"/>
  <c r="U24" i="6"/>
  <c r="V24" i="6" s="1"/>
  <c r="U15" i="6"/>
  <c r="V15" i="6" s="1"/>
  <c r="U36" i="6"/>
  <c r="V36" i="6" s="1"/>
  <c r="T51" i="7"/>
  <c r="T52" i="7" s="1"/>
  <c r="W25" i="7"/>
  <c r="X25" i="7" s="1"/>
  <c r="U70" i="7"/>
  <c r="V70" i="7" s="1"/>
  <c r="U37" i="6"/>
  <c r="V37" i="6" s="1"/>
  <c r="U44" i="6"/>
  <c r="V44" i="6" s="1"/>
  <c r="W49" i="7"/>
  <c r="X49" i="7" s="1"/>
  <c r="W14" i="7"/>
  <c r="X14" i="7" s="1"/>
  <c r="W19" i="7"/>
  <c r="W63" i="7" s="1"/>
  <c r="X63" i="7" s="1"/>
  <c r="W21" i="7"/>
  <c r="X21" i="7" s="1"/>
  <c r="W47" i="7"/>
  <c r="X47" i="7" s="1"/>
  <c r="W20" i="7"/>
  <c r="W64" i="7" s="1"/>
  <c r="X64" i="7" s="1"/>
  <c r="W29" i="7"/>
  <c r="X29" i="7" s="1"/>
  <c r="W40" i="7"/>
  <c r="T74" i="7"/>
  <c r="W24" i="7"/>
  <c r="X24" i="7" s="1"/>
  <c r="W16" i="7"/>
  <c r="X16" i="7" s="1"/>
  <c r="W15" i="7"/>
  <c r="X15" i="7" s="1"/>
  <c r="S60" i="6"/>
  <c r="T60" i="6" s="1"/>
  <c r="W39" i="7"/>
  <c r="X39" i="7" s="1"/>
  <c r="W26" i="7"/>
  <c r="X26" i="7" s="1"/>
  <c r="W38" i="7"/>
  <c r="Y7" i="7" a="1"/>
  <c r="Y7" i="7" s="1"/>
  <c r="Y45" i="7" s="1"/>
  <c r="W28" i="7"/>
  <c r="X28" i="7" s="1"/>
  <c r="W11" i="7"/>
  <c r="X11" i="7" s="1"/>
  <c r="W45" i="7"/>
  <c r="X45" i="7" s="1"/>
  <c r="S65" i="6"/>
  <c r="T65" i="6" s="1"/>
  <c r="W34" i="7"/>
  <c r="X34" i="7" s="1"/>
  <c r="W46" i="7"/>
  <c r="W73" i="7" s="1"/>
  <c r="X73" i="7" s="1"/>
  <c r="W37" i="7"/>
  <c r="X37" i="7" s="1"/>
  <c r="W9" i="7"/>
  <c r="X9" i="7" s="1"/>
  <c r="W13" i="7"/>
  <c r="X13" i="7" s="1"/>
  <c r="W18" i="7"/>
  <c r="X18" i="7" s="1"/>
  <c r="W44" i="7"/>
  <c r="W27" i="7"/>
  <c r="W23" i="7"/>
  <c r="X23" i="7" s="1"/>
  <c r="W30" i="7"/>
  <c r="X30" i="7" s="1"/>
  <c r="U65" i="7"/>
  <c r="V65" i="7" s="1"/>
  <c r="T72" i="7"/>
  <c r="R74" i="6"/>
  <c r="R75" i="6" s="1"/>
  <c r="P75" i="8"/>
  <c r="S63" i="8"/>
  <c r="T63" i="8" s="1"/>
  <c r="S64" i="8"/>
  <c r="T64" i="8" s="1"/>
  <c r="Q74" i="8"/>
  <c r="S70" i="8"/>
  <c r="T70" i="8" s="1"/>
  <c r="R51" i="8"/>
  <c r="R52" i="8" s="1"/>
  <c r="R74" i="8"/>
  <c r="R75" i="8" s="1"/>
  <c r="U26" i="8"/>
  <c r="V26" i="8" s="1"/>
  <c r="U43" i="8"/>
  <c r="V43" i="8" s="1"/>
  <c r="T37" i="8"/>
  <c r="U29" i="8"/>
  <c r="V29" i="8" s="1"/>
  <c r="U36" i="8"/>
  <c r="V36" i="8" s="1"/>
  <c r="U18" i="8"/>
  <c r="V18" i="8" s="1"/>
  <c r="U38" i="8"/>
  <c r="V38" i="8" s="1"/>
  <c r="U10" i="8"/>
  <c r="V10" i="8" s="1"/>
  <c r="S67" i="8"/>
  <c r="T67" i="8" s="1"/>
  <c r="S48" i="8"/>
  <c r="T48" i="8" s="1"/>
  <c r="U16" i="8"/>
  <c r="V16" i="8" s="1"/>
  <c r="U9" i="8"/>
  <c r="V9" i="8" s="1"/>
  <c r="T43" i="8"/>
  <c r="U37" i="8"/>
  <c r="V37" i="8" s="1"/>
  <c r="U24" i="8"/>
  <c r="V24" i="8" s="1"/>
  <c r="U25" i="8"/>
  <c r="V25" i="8" s="1"/>
  <c r="U15" i="8"/>
  <c r="V15" i="8" s="1"/>
  <c r="U27" i="8"/>
  <c r="V27" i="8" s="1"/>
  <c r="U45" i="8"/>
  <c r="V45" i="8" s="1"/>
  <c r="U14" i="8"/>
  <c r="V14" i="8" s="1"/>
  <c r="U28" i="8"/>
  <c r="V28" i="8" s="1"/>
  <c r="U44" i="8"/>
  <c r="U40" i="8"/>
  <c r="V40" i="8" s="1"/>
  <c r="U30" i="8"/>
  <c r="V30" i="8" s="1"/>
  <c r="U42" i="8"/>
  <c r="V42" i="8" s="1"/>
  <c r="U12" i="8"/>
  <c r="V12" i="8" s="1"/>
  <c r="U58" i="8"/>
  <c r="U31" i="8"/>
  <c r="V31" i="8" s="1"/>
  <c r="U47" i="8"/>
  <c r="V47" i="8" s="1"/>
  <c r="W7" i="8" a="1"/>
  <c r="W7" i="8" s="1"/>
  <c r="W42" i="8" s="1"/>
  <c r="U17" i="8"/>
  <c r="V17" i="8" s="1"/>
  <c r="U20" i="8"/>
  <c r="U64" i="8" s="1"/>
  <c r="V64" i="8" s="1"/>
  <c r="U32" i="8"/>
  <c r="V32" i="8" s="1"/>
  <c r="U41" i="8"/>
  <c r="V41" i="8" s="1"/>
  <c r="S50" i="8"/>
  <c r="T50" i="8" s="1"/>
  <c r="U13" i="8"/>
  <c r="V13" i="8" s="1"/>
  <c r="U21" i="8"/>
  <c r="V21" i="8" s="1"/>
  <c r="U33" i="8"/>
  <c r="V33" i="8" s="1"/>
  <c r="U39" i="8"/>
  <c r="V39" i="8" s="1"/>
  <c r="T44" i="8"/>
  <c r="S73" i="8"/>
  <c r="T73" i="8" s="1"/>
  <c r="U19" i="8"/>
  <c r="U63" i="8" s="1"/>
  <c r="V63" i="8" s="1"/>
  <c r="U22" i="8"/>
  <c r="V22" i="8" s="1"/>
  <c r="U34" i="8"/>
  <c r="V34" i="8" s="1"/>
  <c r="U46" i="8"/>
  <c r="U73" i="8" s="1"/>
  <c r="V73" i="8" s="1"/>
  <c r="U11" i="8"/>
  <c r="V11" i="8" s="1"/>
  <c r="U23" i="8"/>
  <c r="V23" i="8" s="1"/>
  <c r="U35" i="8"/>
  <c r="V35" i="8" s="1"/>
  <c r="S60" i="8"/>
  <c r="T60" i="8" s="1"/>
  <c r="S51" i="8"/>
  <c r="S72" i="8"/>
  <c r="T72" i="8" s="1"/>
  <c r="S68" i="8"/>
  <c r="T68" i="8" s="1"/>
  <c r="S65" i="8"/>
  <c r="T65" i="8" s="1"/>
  <c r="V49" i="8"/>
  <c r="W71" i="7"/>
  <c r="X71" i="7" s="1"/>
  <c r="X43" i="7"/>
  <c r="V72" i="7"/>
  <c r="V39" i="6"/>
  <c r="T20" i="5"/>
  <c r="R74" i="5"/>
  <c r="R75" i="5" s="1"/>
  <c r="T37" i="5"/>
  <c r="U46" i="5"/>
  <c r="V46" i="5" s="1"/>
  <c r="S68" i="5"/>
  <c r="T68" i="5" s="1"/>
  <c r="S48" i="5"/>
  <c r="T48" i="5" s="1"/>
  <c r="U25" i="5"/>
  <c r="V25" i="5" s="1"/>
  <c r="W7" i="5" a="1"/>
  <c r="W7" i="5" s="1"/>
  <c r="W49" i="5" s="1"/>
  <c r="X49" i="5" s="1"/>
  <c r="U9" i="5"/>
  <c r="V9" i="5" s="1"/>
  <c r="U23" i="5"/>
  <c r="V23" i="5" s="1"/>
  <c r="U24" i="5"/>
  <c r="V24" i="5" s="1"/>
  <c r="R50" i="5"/>
  <c r="R52" i="5" s="1"/>
  <c r="O74" i="5"/>
  <c r="U10" i="5"/>
  <c r="V10" i="5" s="1"/>
  <c r="T46" i="5"/>
  <c r="U45" i="5"/>
  <c r="V45" i="5" s="1"/>
  <c r="U31" i="5"/>
  <c r="V31" i="5" s="1"/>
  <c r="U27" i="5"/>
  <c r="V27" i="5" s="1"/>
  <c r="U13" i="5"/>
  <c r="V13" i="5" s="1"/>
  <c r="N52" i="1"/>
  <c r="U11" i="5"/>
  <c r="V11" i="5" s="1"/>
  <c r="U14" i="5"/>
  <c r="V14" i="5" s="1"/>
  <c r="U49" i="5"/>
  <c r="V49" i="5" s="1"/>
  <c r="T44" i="5"/>
  <c r="U21" i="5"/>
  <c r="V21" i="5" s="1"/>
  <c r="S70" i="5"/>
  <c r="T70" i="5" s="1"/>
  <c r="U15" i="5"/>
  <c r="V15" i="5" s="1"/>
  <c r="U18" i="5"/>
  <c r="V18" i="5" s="1"/>
  <c r="U16" i="5"/>
  <c r="V16" i="5" s="1"/>
  <c r="U39" i="5"/>
  <c r="V39" i="5" s="1"/>
  <c r="U22" i="5"/>
  <c r="V22" i="5" s="1"/>
  <c r="U44" i="5"/>
  <c r="P74" i="5"/>
  <c r="P75" i="5" s="1"/>
  <c r="U37" i="5"/>
  <c r="U69" i="5" s="1"/>
  <c r="V69" i="5" s="1"/>
  <c r="U47" i="5"/>
  <c r="V47" i="5" s="1"/>
  <c r="S50" i="5"/>
  <c r="T51" i="5" s="1"/>
  <c r="U35" i="5"/>
  <c r="V35" i="5" s="1"/>
  <c r="U33" i="5"/>
  <c r="V33" i="5" s="1"/>
  <c r="U42" i="5"/>
  <c r="U70" i="5" s="1"/>
  <c r="V70" i="5" s="1"/>
  <c r="U17" i="5"/>
  <c r="V17" i="5" s="1"/>
  <c r="U20" i="5"/>
  <c r="V20" i="5" s="1"/>
  <c r="U58" i="5"/>
  <c r="S60" i="5"/>
  <c r="T60" i="5" s="1"/>
  <c r="S67" i="5"/>
  <c r="T67" i="5" s="1"/>
  <c r="U30" i="5"/>
  <c r="V30" i="5" s="1"/>
  <c r="U29" i="5"/>
  <c r="V29" i="5" s="1"/>
  <c r="U41" i="5"/>
  <c r="U67" i="5" s="1"/>
  <c r="V67" i="5" s="1"/>
  <c r="U43" i="5"/>
  <c r="U71" i="5" s="1"/>
  <c r="V71" i="5" s="1"/>
  <c r="T19" i="5"/>
  <c r="P51" i="5"/>
  <c r="P52" i="5" s="1"/>
  <c r="U32" i="5"/>
  <c r="V32" i="5" s="1"/>
  <c r="U38" i="5"/>
  <c r="U36" i="5"/>
  <c r="V36" i="5" s="1"/>
  <c r="U34" i="5"/>
  <c r="V34" i="5" s="1"/>
  <c r="U28" i="5"/>
  <c r="V28" i="5" s="1"/>
  <c r="U19" i="5"/>
  <c r="U63" i="5" s="1"/>
  <c r="V63" i="5" s="1"/>
  <c r="N75" i="1"/>
  <c r="U26" i="5"/>
  <c r="V26" i="5" s="1"/>
  <c r="U12" i="5"/>
  <c r="V12" i="5" s="1"/>
  <c r="S51" i="5"/>
  <c r="Q74" i="5"/>
  <c r="T43" i="5"/>
  <c r="S65" i="5"/>
  <c r="T65" i="5" s="1"/>
  <c r="R40" i="1"/>
  <c r="Q67" i="1"/>
  <c r="R67" i="1" s="1"/>
  <c r="T20" i="1"/>
  <c r="S64" i="1"/>
  <c r="R20" i="1"/>
  <c r="Q64" i="1"/>
  <c r="R64" i="1" s="1"/>
  <c r="O74" i="1"/>
  <c r="T72" i="5"/>
  <c r="S74" i="5"/>
  <c r="V40" i="5"/>
  <c r="R38" i="1"/>
  <c r="Q68" i="1"/>
  <c r="R68" i="1" s="1"/>
  <c r="Q73" i="1"/>
  <c r="R73" i="1" s="1"/>
  <c r="Q71" i="1"/>
  <c r="R71" i="1" s="1"/>
  <c r="P72" i="1"/>
  <c r="Q63" i="1"/>
  <c r="R63" i="1" s="1"/>
  <c r="Q48" i="1"/>
  <c r="R48" i="1" s="1"/>
  <c r="Q70" i="1"/>
  <c r="R70" i="1" s="1"/>
  <c r="R37" i="1"/>
  <c r="Q60" i="1"/>
  <c r="R60" i="1" s="1"/>
  <c r="S30" i="1"/>
  <c r="T30" i="1" s="1"/>
  <c r="S25" i="1"/>
  <c r="T25" i="1" s="1"/>
  <c r="S14" i="1"/>
  <c r="T14" i="1" s="1"/>
  <c r="S13" i="1"/>
  <c r="T13" i="1" s="1"/>
  <c r="S22" i="1"/>
  <c r="T22" i="1" s="1"/>
  <c r="S11" i="1"/>
  <c r="T11" i="1" s="1"/>
  <c r="S38" i="1"/>
  <c r="S33" i="1"/>
  <c r="T33" i="1" s="1"/>
  <c r="S28" i="1"/>
  <c r="T28" i="1" s="1"/>
  <c r="S21" i="1"/>
  <c r="S41" i="1"/>
  <c r="T41" i="1" s="1"/>
  <c r="S9" i="1"/>
  <c r="S46" i="1"/>
  <c r="S73" i="1" s="1"/>
  <c r="T73" i="1" s="1"/>
  <c r="Q65" i="1"/>
  <c r="R65" i="1" s="1"/>
  <c r="S43" i="1"/>
  <c r="T43" i="1" s="1"/>
  <c r="S31" i="1"/>
  <c r="T31" i="1" s="1"/>
  <c r="S12" i="1"/>
  <c r="T12" i="1" s="1"/>
  <c r="S15" i="1"/>
  <c r="T15" i="1" s="1"/>
  <c r="S49" i="1"/>
  <c r="T49" i="1" s="1"/>
  <c r="S39" i="1"/>
  <c r="T39" i="1" s="1"/>
  <c r="S26" i="1"/>
  <c r="T26" i="1" s="1"/>
  <c r="S16" i="1"/>
  <c r="T16" i="1" s="1"/>
  <c r="S47" i="1"/>
  <c r="T47" i="1" s="1"/>
  <c r="S45" i="1"/>
  <c r="T45" i="1" s="1"/>
  <c r="S36" i="1"/>
  <c r="T36" i="1" s="1"/>
  <c r="S10" i="1"/>
  <c r="T10" i="1" s="1"/>
  <c r="S17" i="1"/>
  <c r="T17" i="1" s="1"/>
  <c r="S23" i="1"/>
  <c r="T23" i="1" s="1"/>
  <c r="S34" i="1"/>
  <c r="T34" i="1" s="1"/>
  <c r="S18" i="1"/>
  <c r="T18" i="1" s="1"/>
  <c r="S24" i="1"/>
  <c r="T24" i="1" s="1"/>
  <c r="S44" i="1"/>
  <c r="S58" i="1"/>
  <c r="U7" i="1" a="1"/>
  <c r="U7" i="1" s="1"/>
  <c r="U30" i="1" s="1"/>
  <c r="S29" i="1"/>
  <c r="T29" i="1" s="1"/>
  <c r="S40" i="1"/>
  <c r="S27" i="1"/>
  <c r="T27" i="1" s="1"/>
  <c r="S19" i="1"/>
  <c r="S63" i="1" s="1"/>
  <c r="T63" i="1" s="1"/>
  <c r="S32" i="1"/>
  <c r="T32" i="1" s="1"/>
  <c r="S37" i="1"/>
  <c r="S69" i="1" s="1"/>
  <c r="T69" i="1" s="1"/>
  <c r="S42" i="1"/>
  <c r="S35" i="1"/>
  <c r="T35" i="1" s="1"/>
  <c r="R51" i="1"/>
  <c r="P74" i="1"/>
  <c r="P51" i="1"/>
  <c r="P52" i="1" s="1"/>
  <c r="Q72" i="1"/>
  <c r="R72" i="1" s="1"/>
  <c r="R44" i="1"/>
  <c r="R11" i="1"/>
  <c r="R12" i="1"/>
  <c r="V74" i="7" l="1"/>
  <c r="T75" i="7"/>
  <c r="S70" i="1"/>
  <c r="T70" i="1" s="1"/>
  <c r="S51" i="1"/>
  <c r="S50" i="1"/>
  <c r="T51" i="1" s="1"/>
  <c r="V46" i="6"/>
  <c r="P75" i="6"/>
  <c r="V20" i="6"/>
  <c r="V19" i="6"/>
  <c r="U74" i="7"/>
  <c r="U68" i="6"/>
  <c r="V68" i="6" s="1"/>
  <c r="X20" i="7"/>
  <c r="X19" i="7"/>
  <c r="U51" i="6"/>
  <c r="V51" i="7"/>
  <c r="V52" i="7" s="1"/>
  <c r="U72" i="6"/>
  <c r="V72" i="6" s="1"/>
  <c r="V45" i="6"/>
  <c r="T74" i="6"/>
  <c r="T75" i="6" s="1"/>
  <c r="T50" i="6"/>
  <c r="T52" i="6" s="1"/>
  <c r="W67" i="7"/>
  <c r="X67" i="7" s="1"/>
  <c r="U70" i="6"/>
  <c r="V70" i="6" s="1"/>
  <c r="U69" i="6"/>
  <c r="V69" i="6" s="1"/>
  <c r="X40" i="7"/>
  <c r="W72" i="7"/>
  <c r="X72" i="7" s="1"/>
  <c r="S74" i="6"/>
  <c r="Y7" i="6" a="1"/>
  <c r="Y7" i="6" s="1"/>
  <c r="Y29" i="6" s="1"/>
  <c r="Z29" i="6" s="1"/>
  <c r="W39" i="6"/>
  <c r="X39" i="6" s="1"/>
  <c r="W47" i="6"/>
  <c r="X47" i="6" s="1"/>
  <c r="W13" i="6"/>
  <c r="X13" i="6" s="1"/>
  <c r="W22" i="6"/>
  <c r="X22" i="6" s="1"/>
  <c r="W46" i="6"/>
  <c r="W73" i="6" s="1"/>
  <c r="X73" i="6" s="1"/>
  <c r="W10" i="6"/>
  <c r="X10" i="6" s="1"/>
  <c r="W26" i="6"/>
  <c r="X26" i="6" s="1"/>
  <c r="W49" i="6"/>
  <c r="X49" i="6" s="1"/>
  <c r="W68" i="7"/>
  <c r="X68" i="7" s="1"/>
  <c r="U65" i="6"/>
  <c r="V65" i="6" s="1"/>
  <c r="W15" i="6"/>
  <c r="X15" i="6" s="1"/>
  <c r="W29" i="6"/>
  <c r="X29" i="6" s="1"/>
  <c r="W58" i="6"/>
  <c r="W18" i="6"/>
  <c r="X18" i="6" s="1"/>
  <c r="W20" i="6"/>
  <c r="W64" i="6" s="1"/>
  <c r="X64" i="6" s="1"/>
  <c r="W33" i="6"/>
  <c r="X33" i="6" s="1"/>
  <c r="W45" i="6"/>
  <c r="X45" i="6" s="1"/>
  <c r="W31" i="6"/>
  <c r="X31" i="6" s="1"/>
  <c r="W9" i="6"/>
  <c r="X9" i="6" s="1"/>
  <c r="W14" i="6"/>
  <c r="X14" i="6" s="1"/>
  <c r="W21" i="6"/>
  <c r="X21" i="6" s="1"/>
  <c r="W11" i="6"/>
  <c r="X11" i="6" s="1"/>
  <c r="W24" i="6"/>
  <c r="X24" i="6" s="1"/>
  <c r="W25" i="6"/>
  <c r="X25" i="6" s="1"/>
  <c r="W19" i="6"/>
  <c r="W63" i="6" s="1"/>
  <c r="X63" i="6" s="1"/>
  <c r="W35" i="6"/>
  <c r="X35" i="6" s="1"/>
  <c r="W42" i="6"/>
  <c r="X42" i="6" s="1"/>
  <c r="W34" i="6"/>
  <c r="X34" i="6" s="1"/>
  <c r="W17" i="6"/>
  <c r="X17" i="6" s="1"/>
  <c r="W40" i="6"/>
  <c r="W67" i="6" s="1"/>
  <c r="X67" i="6" s="1"/>
  <c r="U60" i="6"/>
  <c r="V60" i="6" s="1"/>
  <c r="W28" i="6"/>
  <c r="X28" i="6" s="1"/>
  <c r="W36" i="6"/>
  <c r="X36" i="6" s="1"/>
  <c r="W43" i="6"/>
  <c r="W71" i="6" s="1"/>
  <c r="X71" i="6" s="1"/>
  <c r="W12" i="6"/>
  <c r="X12" i="6" s="1"/>
  <c r="W38" i="6"/>
  <c r="W37" i="6"/>
  <c r="W69" i="6" s="1"/>
  <c r="X69" i="6" s="1"/>
  <c r="V21" i="6"/>
  <c r="W30" i="6"/>
  <c r="X30" i="6" s="1"/>
  <c r="W23" i="6"/>
  <c r="X23" i="6" s="1"/>
  <c r="W16" i="6"/>
  <c r="X16" i="6" s="1"/>
  <c r="W44" i="6"/>
  <c r="X44" i="6" s="1"/>
  <c r="W60" i="7"/>
  <c r="X60" i="7" s="1"/>
  <c r="W32" i="6"/>
  <c r="X32" i="6" s="1"/>
  <c r="W27" i="6"/>
  <c r="X27" i="6" s="1"/>
  <c r="W69" i="7"/>
  <c r="X69" i="7" s="1"/>
  <c r="W65" i="7"/>
  <c r="X65" i="7" s="1"/>
  <c r="V43" i="6"/>
  <c r="U50" i="6"/>
  <c r="V51" i="6" s="1"/>
  <c r="U48" i="6"/>
  <c r="V48" i="6" s="1"/>
  <c r="X46" i="7"/>
  <c r="X44" i="7"/>
  <c r="W51" i="7"/>
  <c r="W70" i="7"/>
  <c r="X70" i="7" s="1"/>
  <c r="X38" i="7"/>
  <c r="V41" i="6"/>
  <c r="Y16" i="7"/>
  <c r="Z16" i="7" s="1"/>
  <c r="Y18" i="7"/>
  <c r="Z18" i="7" s="1"/>
  <c r="Y30" i="7"/>
  <c r="Z30" i="7" s="1"/>
  <c r="Y19" i="7"/>
  <c r="Y63" i="7" s="1"/>
  <c r="Z63" i="7" s="1"/>
  <c r="Y49" i="7"/>
  <c r="Z49" i="7" s="1"/>
  <c r="Y25" i="7"/>
  <c r="Z25" i="7" s="1"/>
  <c r="Y42" i="7"/>
  <c r="Y70" i="7" s="1"/>
  <c r="Z70" i="7" s="1"/>
  <c r="Y44" i="7"/>
  <c r="Z44" i="7" s="1"/>
  <c r="Y31" i="7"/>
  <c r="Z31" i="7" s="1"/>
  <c r="Y24" i="7"/>
  <c r="Z24" i="7" s="1"/>
  <c r="Y23" i="7"/>
  <c r="Z23" i="7" s="1"/>
  <c r="Y27" i="7"/>
  <c r="Z27" i="7" s="1"/>
  <c r="Y32" i="7"/>
  <c r="Z32" i="7" s="1"/>
  <c r="Y41" i="7"/>
  <c r="Z41" i="7" s="1"/>
  <c r="W48" i="7"/>
  <c r="X48" i="7" s="1"/>
  <c r="Y9" i="7"/>
  <c r="Z9" i="7" s="1"/>
  <c r="Y34" i="7"/>
  <c r="Z34" i="7" s="1"/>
  <c r="Y36" i="7"/>
  <c r="Z36" i="7" s="1"/>
  <c r="Y43" i="7"/>
  <c r="Z43" i="7" s="1"/>
  <c r="Y10" i="7"/>
  <c r="Z10" i="7" s="1"/>
  <c r="Y13" i="7"/>
  <c r="Z13" i="7" s="1"/>
  <c r="Y37" i="7"/>
  <c r="Y69" i="7" s="1"/>
  <c r="Z69" i="7" s="1"/>
  <c r="Y47" i="7"/>
  <c r="Z47" i="7" s="1"/>
  <c r="X27" i="7"/>
  <c r="Y15" i="7"/>
  <c r="Z15" i="7" s="1"/>
  <c r="Y33" i="7"/>
  <c r="Z33" i="7" s="1"/>
  <c r="Y39" i="7"/>
  <c r="Z39" i="7" s="1"/>
  <c r="W50" i="7"/>
  <c r="X51" i="7" s="1"/>
  <c r="Y17" i="7"/>
  <c r="Z17" i="7" s="1"/>
  <c r="Y12" i="7"/>
  <c r="Z12" i="7" s="1"/>
  <c r="Y40" i="7"/>
  <c r="Y20" i="7"/>
  <c r="Y64" i="7" s="1"/>
  <c r="Z64" i="7" s="1"/>
  <c r="Y29" i="7"/>
  <c r="Z29" i="7" s="1"/>
  <c r="Y46" i="7"/>
  <c r="Y35" i="7"/>
  <c r="Z35" i="7" s="1"/>
  <c r="Y22" i="7"/>
  <c r="Z22" i="7" s="1"/>
  <c r="Y58" i="7"/>
  <c r="AA7" i="7" a="1"/>
  <c r="AA7" i="7" s="1"/>
  <c r="AA44" i="7" s="1"/>
  <c r="Y14" i="7"/>
  <c r="Z14" i="7" s="1"/>
  <c r="Y26" i="7"/>
  <c r="Z26" i="7" s="1"/>
  <c r="Y38" i="7"/>
  <c r="Z38" i="7" s="1"/>
  <c r="Y21" i="7"/>
  <c r="Z21" i="7" s="1"/>
  <c r="Y28" i="7"/>
  <c r="Z28" i="7" s="1"/>
  <c r="Y11" i="7"/>
  <c r="Z11" i="7" s="1"/>
  <c r="U71" i="8"/>
  <c r="V71" i="8" s="1"/>
  <c r="U69" i="8"/>
  <c r="V69" i="8" s="1"/>
  <c r="U70" i="8"/>
  <c r="V70" i="8" s="1"/>
  <c r="U72" i="8"/>
  <c r="V72" i="8" s="1"/>
  <c r="V44" i="8"/>
  <c r="T74" i="8"/>
  <c r="T75" i="8" s="1"/>
  <c r="T51" i="8"/>
  <c r="T52" i="8" s="1"/>
  <c r="U67" i="8"/>
  <c r="V67" i="8" s="1"/>
  <c r="V20" i="8"/>
  <c r="V46" i="8"/>
  <c r="U60" i="8"/>
  <c r="V60" i="8" s="1"/>
  <c r="W22" i="8"/>
  <c r="X22" i="8" s="1"/>
  <c r="W34" i="8"/>
  <c r="X34" i="8" s="1"/>
  <c r="U50" i="8"/>
  <c r="V50" i="8" s="1"/>
  <c r="U48" i="8"/>
  <c r="V48" i="8" s="1"/>
  <c r="W35" i="8"/>
  <c r="X35" i="8" s="1"/>
  <c r="W43" i="8"/>
  <c r="W71" i="8" s="1"/>
  <c r="X71" i="8" s="1"/>
  <c r="W47" i="8"/>
  <c r="X47" i="8" s="1"/>
  <c r="W14" i="8"/>
  <c r="X14" i="8" s="1"/>
  <c r="W12" i="8"/>
  <c r="X12" i="8" s="1"/>
  <c r="W17" i="8"/>
  <c r="X17" i="8" s="1"/>
  <c r="U51" i="8"/>
  <c r="W20" i="8"/>
  <c r="W64" i="8" s="1"/>
  <c r="X64" i="8" s="1"/>
  <c r="U68" i="8"/>
  <c r="V68" i="8" s="1"/>
  <c r="W23" i="8"/>
  <c r="X23" i="8" s="1"/>
  <c r="V19" i="8"/>
  <c r="U65" i="8"/>
  <c r="V65" i="8" s="1"/>
  <c r="W32" i="8"/>
  <c r="X32" i="8" s="1"/>
  <c r="W41" i="8"/>
  <c r="X41" i="8" s="1"/>
  <c r="W11" i="8"/>
  <c r="X11" i="8" s="1"/>
  <c r="W24" i="8"/>
  <c r="X24" i="8" s="1"/>
  <c r="W36" i="8"/>
  <c r="X36" i="8" s="1"/>
  <c r="W10" i="8"/>
  <c r="X10" i="8" s="1"/>
  <c r="W25" i="8"/>
  <c r="X25" i="8" s="1"/>
  <c r="W39" i="8"/>
  <c r="X39" i="8" s="1"/>
  <c r="W16" i="8"/>
  <c r="X16" i="8" s="1"/>
  <c r="W26" i="8"/>
  <c r="X26" i="8" s="1"/>
  <c r="W46" i="8"/>
  <c r="X46" i="8" s="1"/>
  <c r="S74" i="8"/>
  <c r="W9" i="8"/>
  <c r="W27" i="8"/>
  <c r="X27" i="8" s="1"/>
  <c r="W49" i="8"/>
  <c r="X49" i="8" s="1"/>
  <c r="W15" i="8"/>
  <c r="X15" i="8" s="1"/>
  <c r="W28" i="8"/>
  <c r="X28" i="8" s="1"/>
  <c r="W38" i="8"/>
  <c r="X38" i="8" s="1"/>
  <c r="W18" i="8"/>
  <c r="X18" i="8" s="1"/>
  <c r="W29" i="8"/>
  <c r="X29" i="8" s="1"/>
  <c r="W45" i="8"/>
  <c r="X45" i="8" s="1"/>
  <c r="Y7" i="8" a="1"/>
  <c r="Y7" i="8" s="1"/>
  <c r="Y47" i="8" s="1"/>
  <c r="Z47" i="8" s="1"/>
  <c r="W40" i="8"/>
  <c r="X40" i="8" s="1"/>
  <c r="W30" i="8"/>
  <c r="X30" i="8" s="1"/>
  <c r="W58" i="8"/>
  <c r="W13" i="8"/>
  <c r="X13" i="8" s="1"/>
  <c r="W37" i="8"/>
  <c r="W69" i="8" s="1"/>
  <c r="X69" i="8" s="1"/>
  <c r="W31" i="8"/>
  <c r="X31" i="8" s="1"/>
  <c r="W44" i="8"/>
  <c r="W19" i="8"/>
  <c r="W63" i="8" s="1"/>
  <c r="X63" i="8" s="1"/>
  <c r="W21" i="8"/>
  <c r="X21" i="8" s="1"/>
  <c r="W33" i="8"/>
  <c r="X33" i="8" s="1"/>
  <c r="V75" i="7"/>
  <c r="W70" i="8"/>
  <c r="X70" i="8" s="1"/>
  <c r="X42" i="8"/>
  <c r="Z45" i="7"/>
  <c r="U73" i="5"/>
  <c r="V73" i="5" s="1"/>
  <c r="T74" i="5"/>
  <c r="T75" i="5" s="1"/>
  <c r="T50" i="5"/>
  <c r="T52" i="5" s="1"/>
  <c r="U72" i="5"/>
  <c r="V72" i="5" s="1"/>
  <c r="V43" i="5"/>
  <c r="W10" i="5"/>
  <c r="X10" i="5" s="1"/>
  <c r="W45" i="5"/>
  <c r="X45" i="5" s="1"/>
  <c r="W58" i="5"/>
  <c r="W20" i="5"/>
  <c r="W64" i="5" s="1"/>
  <c r="X64" i="5" s="1"/>
  <c r="W30" i="5"/>
  <c r="X30" i="5" s="1"/>
  <c r="W27" i="5"/>
  <c r="X27" i="5" s="1"/>
  <c r="W9" i="5"/>
  <c r="X9" i="5" s="1"/>
  <c r="Y7" i="5" a="1"/>
  <c r="Y7" i="5" s="1"/>
  <c r="Y38" i="5" s="1"/>
  <c r="W36" i="5"/>
  <c r="X36" i="5" s="1"/>
  <c r="W14" i="5"/>
  <c r="X14" i="5" s="1"/>
  <c r="W23" i="5"/>
  <c r="X23" i="5" s="1"/>
  <c r="W11" i="5"/>
  <c r="X11" i="5" s="1"/>
  <c r="W43" i="5"/>
  <c r="W71" i="5" s="1"/>
  <c r="X71" i="5" s="1"/>
  <c r="W44" i="5"/>
  <c r="X44" i="5" s="1"/>
  <c r="W32" i="5"/>
  <c r="X32" i="5" s="1"/>
  <c r="W18" i="5"/>
  <c r="X18" i="5" s="1"/>
  <c r="W12" i="5"/>
  <c r="X12" i="5" s="1"/>
  <c r="W47" i="5"/>
  <c r="X47" i="5" s="1"/>
  <c r="W25" i="5"/>
  <c r="X25" i="5" s="1"/>
  <c r="W42" i="5"/>
  <c r="X42" i="5" s="1"/>
  <c r="W41" i="5"/>
  <c r="X41" i="5" s="1"/>
  <c r="W15" i="5"/>
  <c r="X15" i="5" s="1"/>
  <c r="W31" i="5"/>
  <c r="X31" i="5" s="1"/>
  <c r="W38" i="5"/>
  <c r="X38" i="5" s="1"/>
  <c r="U48" i="5"/>
  <c r="V48" i="5" s="1"/>
  <c r="W26" i="5"/>
  <c r="X26" i="5" s="1"/>
  <c r="W37" i="5"/>
  <c r="W69" i="5" s="1"/>
  <c r="X69" i="5" s="1"/>
  <c r="W33" i="5"/>
  <c r="X33" i="5" s="1"/>
  <c r="W40" i="5"/>
  <c r="X40" i="5" s="1"/>
  <c r="W28" i="5"/>
  <c r="X28" i="5" s="1"/>
  <c r="W34" i="5"/>
  <c r="X34" i="5" s="1"/>
  <c r="U64" i="5"/>
  <c r="V64" i="5" s="1"/>
  <c r="W16" i="5"/>
  <c r="X16" i="5" s="1"/>
  <c r="W21" i="5"/>
  <c r="W35" i="5"/>
  <c r="X35" i="5" s="1"/>
  <c r="W17" i="5"/>
  <c r="X17" i="5" s="1"/>
  <c r="W24" i="5"/>
  <c r="X24" i="5" s="1"/>
  <c r="W39" i="5"/>
  <c r="X39" i="5" s="1"/>
  <c r="W22" i="5"/>
  <c r="X22" i="5" s="1"/>
  <c r="W13" i="5"/>
  <c r="X13" i="5" s="1"/>
  <c r="W46" i="5"/>
  <c r="W29" i="5"/>
  <c r="X29" i="5" s="1"/>
  <c r="W19" i="5"/>
  <c r="X19" i="5" s="1"/>
  <c r="U60" i="5"/>
  <c r="V60" i="5" s="1"/>
  <c r="U68" i="5"/>
  <c r="V68" i="5" s="1"/>
  <c r="V38" i="5"/>
  <c r="U65" i="5"/>
  <c r="V65" i="5" s="1"/>
  <c r="U50" i="5"/>
  <c r="V51" i="5" s="1"/>
  <c r="V37" i="5"/>
  <c r="V42" i="5"/>
  <c r="V41" i="5"/>
  <c r="V44" i="5"/>
  <c r="U51" i="5"/>
  <c r="V19" i="5"/>
  <c r="T40" i="1"/>
  <c r="S67" i="1"/>
  <c r="T67" i="1" s="1"/>
  <c r="P75" i="1"/>
  <c r="S68" i="1"/>
  <c r="T68" i="1" s="1"/>
  <c r="S71" i="1"/>
  <c r="T71" i="1" s="1"/>
  <c r="T46" i="1"/>
  <c r="T64" i="1"/>
  <c r="R50" i="1"/>
  <c r="R74" i="1"/>
  <c r="R75" i="1" s="1"/>
  <c r="S65" i="1"/>
  <c r="T65" i="1" s="1"/>
  <c r="T19" i="1"/>
  <c r="T38" i="1"/>
  <c r="T21" i="1"/>
  <c r="S60" i="1"/>
  <c r="T60" i="1" s="1"/>
  <c r="U41" i="1"/>
  <c r="U23" i="1"/>
  <c r="U11" i="1"/>
  <c r="U31" i="1"/>
  <c r="U47" i="1"/>
  <c r="U10" i="1"/>
  <c r="U27" i="1"/>
  <c r="U17" i="1"/>
  <c r="U44" i="1"/>
  <c r="U49" i="1"/>
  <c r="W7" i="1" a="1"/>
  <c r="W7" i="1" s="1"/>
  <c r="W34" i="1" s="1"/>
  <c r="X34" i="1" s="1"/>
  <c r="U38" i="1"/>
  <c r="T9" i="1"/>
  <c r="U39" i="1"/>
  <c r="U43" i="1"/>
  <c r="U34" i="1"/>
  <c r="U16" i="1"/>
  <c r="T42" i="1"/>
  <c r="U45" i="1"/>
  <c r="U40" i="1"/>
  <c r="U36" i="1"/>
  <c r="Q74" i="1"/>
  <c r="S48" i="1"/>
  <c r="T48" i="1" s="1"/>
  <c r="U26" i="1"/>
  <c r="S72" i="1"/>
  <c r="S74" i="1" s="1"/>
  <c r="U25" i="1"/>
  <c r="U13" i="1"/>
  <c r="U18" i="1"/>
  <c r="U19" i="1"/>
  <c r="U15" i="1"/>
  <c r="U24" i="1"/>
  <c r="U35" i="1"/>
  <c r="U21" i="1"/>
  <c r="U58" i="1"/>
  <c r="U32" i="1"/>
  <c r="U12" i="1"/>
  <c r="U29" i="1"/>
  <c r="U28" i="1"/>
  <c r="T44" i="1"/>
  <c r="U22" i="1"/>
  <c r="U9" i="1"/>
  <c r="U42" i="1"/>
  <c r="U33" i="1"/>
  <c r="U14" i="1"/>
  <c r="T37" i="1"/>
  <c r="U20" i="1"/>
  <c r="U46" i="1"/>
  <c r="U37" i="1"/>
  <c r="V30" i="1"/>
  <c r="R13" i="1"/>
  <c r="R14" i="1"/>
  <c r="V11" i="1" l="1"/>
  <c r="V29" i="1"/>
  <c r="V39" i="1"/>
  <c r="V23" i="1"/>
  <c r="V12" i="1"/>
  <c r="V21" i="1"/>
  <c r="V36" i="1"/>
  <c r="V49" i="1"/>
  <c r="V41" i="1"/>
  <c r="V35" i="1"/>
  <c r="U69" i="1"/>
  <c r="V69" i="1" s="1"/>
  <c r="V24" i="1"/>
  <c r="V15" i="1"/>
  <c r="V27" i="1"/>
  <c r="V28" i="1"/>
  <c r="V32" i="1"/>
  <c r="V9" i="1"/>
  <c r="V19" i="1"/>
  <c r="V10" i="1"/>
  <c r="V26" i="1"/>
  <c r="V14" i="1"/>
  <c r="V22" i="1"/>
  <c r="V18" i="1"/>
  <c r="V16" i="1"/>
  <c r="V47" i="1"/>
  <c r="V33" i="1"/>
  <c r="V17" i="1"/>
  <c r="V13" i="1"/>
  <c r="V34" i="1"/>
  <c r="V31" i="1"/>
  <c r="V25" i="1"/>
  <c r="U70" i="1"/>
  <c r="V70" i="1" s="1"/>
  <c r="U51" i="1"/>
  <c r="U50" i="1"/>
  <c r="V51" i="1" s="1"/>
  <c r="V45" i="1"/>
  <c r="V43" i="1"/>
  <c r="U73" i="1"/>
  <c r="V73" i="1" s="1"/>
  <c r="V50" i="6"/>
  <c r="V52" i="6" s="1"/>
  <c r="X19" i="6"/>
  <c r="W70" i="6"/>
  <c r="X70" i="6" s="1"/>
  <c r="X20" i="6"/>
  <c r="W48" i="6"/>
  <c r="X48" i="6" s="1"/>
  <c r="U74" i="6"/>
  <c r="X40" i="6"/>
  <c r="X37" i="6"/>
  <c r="W68" i="6"/>
  <c r="X68" i="6" s="1"/>
  <c r="W50" i="6"/>
  <c r="X74" i="6" s="1"/>
  <c r="Y44" i="6"/>
  <c r="Z44" i="6" s="1"/>
  <c r="Y11" i="6"/>
  <c r="Z11" i="6" s="1"/>
  <c r="Y10" i="6"/>
  <c r="Z10" i="6" s="1"/>
  <c r="Y14" i="6"/>
  <c r="Z14" i="6" s="1"/>
  <c r="Y37" i="6"/>
  <c r="Y69" i="6" s="1"/>
  <c r="Z69" i="6" s="1"/>
  <c r="Y34" i="6"/>
  <c r="Z34" i="6" s="1"/>
  <c r="Y49" i="6"/>
  <c r="Z49" i="6" s="1"/>
  <c r="X38" i="6"/>
  <c r="Y19" i="6"/>
  <c r="Z19" i="6" s="1"/>
  <c r="Y28" i="6"/>
  <c r="Z28" i="6" s="1"/>
  <c r="Y36" i="6"/>
  <c r="Z36" i="6" s="1"/>
  <c r="Y26" i="6"/>
  <c r="Z26" i="6" s="1"/>
  <c r="W74" i="7"/>
  <c r="Y33" i="6"/>
  <c r="Z33" i="6" s="1"/>
  <c r="Y72" i="7"/>
  <c r="Z72" i="7" s="1"/>
  <c r="Y48" i="7"/>
  <c r="Z48" i="7" s="1"/>
  <c r="Z20" i="7"/>
  <c r="Y16" i="6"/>
  <c r="Z16" i="6" s="1"/>
  <c r="Y39" i="6"/>
  <c r="Z39" i="6" s="1"/>
  <c r="Y31" i="6"/>
  <c r="Z31" i="6" s="1"/>
  <c r="X46" i="6"/>
  <c r="Y13" i="6"/>
  <c r="Z13" i="6" s="1"/>
  <c r="Y30" i="6"/>
  <c r="Z30" i="6" s="1"/>
  <c r="Y41" i="6"/>
  <c r="Z41" i="6" s="1"/>
  <c r="X50" i="7"/>
  <c r="X52" i="7" s="1"/>
  <c r="Y20" i="6"/>
  <c r="Y64" i="6" s="1"/>
  <c r="Z64" i="6" s="1"/>
  <c r="Y32" i="6"/>
  <c r="Z32" i="6" s="1"/>
  <c r="Y46" i="6"/>
  <c r="Y15" i="6"/>
  <c r="Y35" i="6"/>
  <c r="Z35" i="6" s="1"/>
  <c r="Y38" i="6"/>
  <c r="Z19" i="7"/>
  <c r="W51" i="6"/>
  <c r="Y21" i="6"/>
  <c r="Z21" i="6" s="1"/>
  <c r="Y18" i="6"/>
  <c r="Z18" i="6" s="1"/>
  <c r="Y40" i="6"/>
  <c r="AA7" i="6" a="1"/>
  <c r="AA7" i="6" s="1"/>
  <c r="AA17" i="6" s="1"/>
  <c r="AB17" i="6" s="1"/>
  <c r="Y25" i="6"/>
  <c r="Z25" i="6" s="1"/>
  <c r="Y23" i="6"/>
  <c r="Z23" i="6" s="1"/>
  <c r="Y47" i="6"/>
  <c r="Z47" i="6" s="1"/>
  <c r="Y17" i="6"/>
  <c r="Z17" i="6" s="1"/>
  <c r="Y42" i="6"/>
  <c r="Y70" i="6" s="1"/>
  <c r="Z70" i="6" s="1"/>
  <c r="Y27" i="6"/>
  <c r="Z27" i="6" s="1"/>
  <c r="Y45" i="6"/>
  <c r="Z45" i="6" s="1"/>
  <c r="Y9" i="6"/>
  <c r="Z9" i="6" s="1"/>
  <c r="Y43" i="6"/>
  <c r="Z43" i="6" s="1"/>
  <c r="Y22" i="6"/>
  <c r="Z22" i="6" s="1"/>
  <c r="W72" i="6"/>
  <c r="W74" i="6" s="1"/>
  <c r="Y58" i="6"/>
  <c r="Y12" i="6"/>
  <c r="Z12" i="6" s="1"/>
  <c r="Y24" i="6"/>
  <c r="Z24" i="6" s="1"/>
  <c r="W65" i="6"/>
  <c r="X65" i="6" s="1"/>
  <c r="X43" i="6"/>
  <c r="W60" i="6"/>
  <c r="X60" i="6" s="1"/>
  <c r="X74" i="7"/>
  <c r="X75" i="7" s="1"/>
  <c r="AA21" i="7"/>
  <c r="AB21" i="7" s="1"/>
  <c r="AA25" i="7"/>
  <c r="AB25" i="7" s="1"/>
  <c r="AA16" i="7"/>
  <c r="AB16" i="7" s="1"/>
  <c r="AA40" i="7"/>
  <c r="AB40" i="7" s="1"/>
  <c r="AA43" i="7"/>
  <c r="AB43" i="7" s="1"/>
  <c r="Y51" i="7"/>
  <c r="V74" i="6"/>
  <c r="V75" i="6" s="1"/>
  <c r="V79" i="6" s="1"/>
  <c r="Y67" i="7"/>
  <c r="Z67" i="7" s="1"/>
  <c r="Y73" i="7"/>
  <c r="Z73" i="7" s="1"/>
  <c r="Y71" i="7"/>
  <c r="Z71" i="7" s="1"/>
  <c r="Z42" i="7"/>
  <c r="Z40" i="7"/>
  <c r="AA47" i="7"/>
  <c r="AB47" i="7" s="1"/>
  <c r="Z46" i="7"/>
  <c r="AA15" i="7"/>
  <c r="AB15" i="7" s="1"/>
  <c r="Y65" i="7"/>
  <c r="Z65" i="7" s="1"/>
  <c r="AA27" i="7"/>
  <c r="AB27" i="7" s="1"/>
  <c r="AA14" i="7"/>
  <c r="AB14" i="7" s="1"/>
  <c r="AA28" i="7"/>
  <c r="AB28" i="7" s="1"/>
  <c r="Z37" i="7"/>
  <c r="AA32" i="7"/>
  <c r="AB32" i="7" s="1"/>
  <c r="Y50" i="7"/>
  <c r="Z51" i="7" s="1"/>
  <c r="AA34" i="7"/>
  <c r="AB34" i="7" s="1"/>
  <c r="AA36" i="7"/>
  <c r="AB36" i="7" s="1"/>
  <c r="X43" i="8"/>
  <c r="AC7" i="7" a="1"/>
  <c r="AC7" i="7" s="1"/>
  <c r="AC58" i="7" s="1"/>
  <c r="AA31" i="7"/>
  <c r="AB31" i="7" s="1"/>
  <c r="AA23" i="7"/>
  <c r="AB23" i="7" s="1"/>
  <c r="AA42" i="7"/>
  <c r="AB42" i="7" s="1"/>
  <c r="Y60" i="7"/>
  <c r="Z60" i="7" s="1"/>
  <c r="AA37" i="7"/>
  <c r="AA69" i="7" s="1"/>
  <c r="AB69" i="7" s="1"/>
  <c r="AA33" i="7"/>
  <c r="AB33" i="7" s="1"/>
  <c r="AA41" i="7"/>
  <c r="AB41" i="7" s="1"/>
  <c r="AA13" i="7"/>
  <c r="AB13" i="7" s="1"/>
  <c r="AA39" i="7"/>
  <c r="AB39" i="7" s="1"/>
  <c r="Y68" i="7"/>
  <c r="Z68" i="7" s="1"/>
  <c r="AA9" i="7"/>
  <c r="AB9" i="7" s="1"/>
  <c r="AA20" i="7"/>
  <c r="AA64" i="7" s="1"/>
  <c r="AB64" i="7" s="1"/>
  <c r="AA19" i="7"/>
  <c r="AA63" i="7" s="1"/>
  <c r="AB63" i="7" s="1"/>
  <c r="AA46" i="7"/>
  <c r="AB46" i="7" s="1"/>
  <c r="AA18" i="7"/>
  <c r="AB18" i="7" s="1"/>
  <c r="AA24" i="7"/>
  <c r="AB24" i="7" s="1"/>
  <c r="AA29" i="7"/>
  <c r="AB29" i="7" s="1"/>
  <c r="AA49" i="7"/>
  <c r="AB49" i="7" s="1"/>
  <c r="AA30" i="7"/>
  <c r="AB30" i="7" s="1"/>
  <c r="AA35" i="7"/>
  <c r="AB35" i="7" s="1"/>
  <c r="AA12" i="7"/>
  <c r="AB12" i="7" s="1"/>
  <c r="AA58" i="7"/>
  <c r="AA11" i="7"/>
  <c r="AB11" i="7" s="1"/>
  <c r="AA38" i="7"/>
  <c r="AA22" i="7"/>
  <c r="AB22" i="7" s="1"/>
  <c r="AA45" i="7"/>
  <c r="AB45" i="7" s="1"/>
  <c r="AA10" i="7"/>
  <c r="AB10" i="7" s="1"/>
  <c r="AA17" i="7"/>
  <c r="AB17" i="7" s="1"/>
  <c r="AA26" i="7"/>
  <c r="AB26" i="7" s="1"/>
  <c r="X37" i="8"/>
  <c r="U74" i="8"/>
  <c r="W67" i="8"/>
  <c r="X67" i="8" s="1"/>
  <c r="W68" i="8"/>
  <c r="X68" i="8" s="1"/>
  <c r="W73" i="8"/>
  <c r="X73" i="8" s="1"/>
  <c r="V74" i="8"/>
  <c r="V75" i="8" s="1"/>
  <c r="V79" i="8" s="1"/>
  <c r="X19" i="8"/>
  <c r="V51" i="8"/>
  <c r="V52" i="8" s="1"/>
  <c r="Y39" i="8"/>
  <c r="Z39" i="8" s="1"/>
  <c r="Y27" i="8"/>
  <c r="Z27" i="8" s="1"/>
  <c r="Y14" i="8"/>
  <c r="Z14" i="8" s="1"/>
  <c r="Y23" i="8"/>
  <c r="Z23" i="8" s="1"/>
  <c r="Y12" i="8"/>
  <c r="Z12" i="8" s="1"/>
  <c r="W48" i="8"/>
  <c r="X48" i="8" s="1"/>
  <c r="X20" i="8"/>
  <c r="Y17" i="8"/>
  <c r="Z17" i="8" s="1"/>
  <c r="Y31" i="8"/>
  <c r="Z31" i="8" s="1"/>
  <c r="W51" i="8"/>
  <c r="Y40" i="8"/>
  <c r="W72" i="8"/>
  <c r="X72" i="8" s="1"/>
  <c r="Y58" i="8"/>
  <c r="W60" i="8"/>
  <c r="X60" i="8" s="1"/>
  <c r="W65" i="8"/>
  <c r="X65" i="8" s="1"/>
  <c r="Y22" i="8"/>
  <c r="Z22" i="8" s="1"/>
  <c r="Y29" i="8"/>
  <c r="Z29" i="8" s="1"/>
  <c r="Y41" i="8"/>
  <c r="Z41" i="8" s="1"/>
  <c r="Y24" i="8"/>
  <c r="Z24" i="8" s="1"/>
  <c r="Y11" i="8"/>
  <c r="Z11" i="8" s="1"/>
  <c r="Y46" i="8"/>
  <c r="Z46" i="8" s="1"/>
  <c r="Y25" i="8"/>
  <c r="Z25" i="8" s="1"/>
  <c r="Y36" i="8"/>
  <c r="Z36" i="8" s="1"/>
  <c r="Y49" i="8"/>
  <c r="Z49" i="8" s="1"/>
  <c r="AA7" i="8" a="1"/>
  <c r="AA7" i="8" s="1"/>
  <c r="AA43" i="8" s="1"/>
  <c r="Y26" i="8"/>
  <c r="Z26" i="8" s="1"/>
  <c r="Y20" i="8"/>
  <c r="Z20" i="8" s="1"/>
  <c r="Y38" i="8"/>
  <c r="X9" i="8"/>
  <c r="Y32" i="8"/>
  <c r="Z32" i="8" s="1"/>
  <c r="Y35" i="8"/>
  <c r="Z35" i="8" s="1"/>
  <c r="Y10" i="8"/>
  <c r="Z10" i="8" s="1"/>
  <c r="Y45" i="8"/>
  <c r="Z45" i="8" s="1"/>
  <c r="Y18" i="8"/>
  <c r="Z18" i="8" s="1"/>
  <c r="Y30" i="8"/>
  <c r="Z30" i="8" s="1"/>
  <c r="Y16" i="8"/>
  <c r="Z16" i="8" s="1"/>
  <c r="Y44" i="8"/>
  <c r="W50" i="8"/>
  <c r="X50" i="8" s="1"/>
  <c r="Y15" i="8"/>
  <c r="Z15" i="8" s="1"/>
  <c r="Y13" i="8"/>
  <c r="Z13" i="8" s="1"/>
  <c r="Y28" i="8"/>
  <c r="Z28" i="8" s="1"/>
  <c r="Y43" i="8"/>
  <c r="Z43" i="8" s="1"/>
  <c r="X44" i="8"/>
  <c r="Y9" i="8"/>
  <c r="Y19" i="8"/>
  <c r="Z19" i="8" s="1"/>
  <c r="Y34" i="8"/>
  <c r="Z34" i="8" s="1"/>
  <c r="Y42" i="8"/>
  <c r="Y70" i="8" s="1"/>
  <c r="Z70" i="8" s="1"/>
  <c r="Y21" i="8"/>
  <c r="Y33" i="8"/>
  <c r="Z33" i="8" s="1"/>
  <c r="Y37" i="8"/>
  <c r="Y69" i="8" s="1"/>
  <c r="Z69" i="8" s="1"/>
  <c r="AB44" i="7"/>
  <c r="W51" i="5"/>
  <c r="W72" i="5"/>
  <c r="X72" i="5" s="1"/>
  <c r="U74" i="5"/>
  <c r="W50" i="5"/>
  <c r="X74" i="5" s="1"/>
  <c r="X20" i="5"/>
  <c r="W63" i="5"/>
  <c r="X63" i="5" s="1"/>
  <c r="Y12" i="5"/>
  <c r="Z12" i="5" s="1"/>
  <c r="Y13" i="5"/>
  <c r="Z13" i="5" s="1"/>
  <c r="Y30" i="5"/>
  <c r="Z30" i="5" s="1"/>
  <c r="W48" i="5"/>
  <c r="X48" i="5" s="1"/>
  <c r="Y58" i="5"/>
  <c r="Y36" i="5"/>
  <c r="Z36" i="5" s="1"/>
  <c r="Y20" i="5"/>
  <c r="Y64" i="5" s="1"/>
  <c r="Z64" i="5" s="1"/>
  <c r="Y45" i="5"/>
  <c r="Z45" i="5" s="1"/>
  <c r="Y14" i="5"/>
  <c r="Z14" i="5" s="1"/>
  <c r="Y42" i="5"/>
  <c r="Y70" i="5" s="1"/>
  <c r="Z70" i="5" s="1"/>
  <c r="Y23" i="5"/>
  <c r="Z23" i="5" s="1"/>
  <c r="Y32" i="5"/>
  <c r="Z32" i="5" s="1"/>
  <c r="W70" i="5"/>
  <c r="X70" i="5" s="1"/>
  <c r="Y18" i="5"/>
  <c r="Z18" i="5" s="1"/>
  <c r="Y11" i="5"/>
  <c r="Z11" i="5" s="1"/>
  <c r="Y33" i="5"/>
  <c r="Z33" i="5" s="1"/>
  <c r="Y27" i="5"/>
  <c r="Z27" i="5" s="1"/>
  <c r="Y25" i="5"/>
  <c r="Z25" i="5" s="1"/>
  <c r="Y44" i="5"/>
  <c r="Z44" i="5" s="1"/>
  <c r="Y43" i="5"/>
  <c r="Y71" i="5" s="1"/>
  <c r="Z71" i="5" s="1"/>
  <c r="W67" i="5"/>
  <c r="X67" i="5" s="1"/>
  <c r="Y34" i="5"/>
  <c r="Z34" i="5" s="1"/>
  <c r="Y28" i="5"/>
  <c r="Z28" i="5" s="1"/>
  <c r="Y31" i="5"/>
  <c r="Z31" i="5" s="1"/>
  <c r="Y47" i="5"/>
  <c r="Z47" i="5" s="1"/>
  <c r="W65" i="5"/>
  <c r="X65" i="5" s="1"/>
  <c r="Y26" i="5"/>
  <c r="Z26" i="5" s="1"/>
  <c r="Y24" i="5"/>
  <c r="Z24" i="5" s="1"/>
  <c r="Y41" i="5"/>
  <c r="Z41" i="5" s="1"/>
  <c r="Y35" i="5"/>
  <c r="Z35" i="5" s="1"/>
  <c r="Y29" i="5"/>
  <c r="Z29" i="5" s="1"/>
  <c r="Y40" i="5"/>
  <c r="Z40" i="5" s="1"/>
  <c r="X43" i="5"/>
  <c r="Y22" i="5"/>
  <c r="Z22" i="5" s="1"/>
  <c r="Y37" i="5"/>
  <c r="Y69" i="5" s="1"/>
  <c r="Z69" i="5" s="1"/>
  <c r="Y39" i="5"/>
  <c r="Z39" i="5" s="1"/>
  <c r="Y16" i="5"/>
  <c r="Z16" i="5" s="1"/>
  <c r="Y9" i="5"/>
  <c r="Z9" i="5" s="1"/>
  <c r="Y46" i="5"/>
  <c r="Z46" i="5" s="1"/>
  <c r="V74" i="5"/>
  <c r="V75" i="5" s="1"/>
  <c r="AA7" i="5" a="1"/>
  <c r="AA7" i="5" s="1"/>
  <c r="AA49" i="5" s="1"/>
  <c r="AB49" i="5" s="1"/>
  <c r="Y17" i="5"/>
  <c r="Z17" i="5" s="1"/>
  <c r="Y15" i="5"/>
  <c r="Z15" i="5" s="1"/>
  <c r="Y49" i="5"/>
  <c r="Z49" i="5" s="1"/>
  <c r="X46" i="5"/>
  <c r="Y21" i="5"/>
  <c r="Z21" i="5" s="1"/>
  <c r="Y10" i="5"/>
  <c r="Y19" i="5"/>
  <c r="Y63" i="5" s="1"/>
  <c r="Z63" i="5" s="1"/>
  <c r="W73" i="5"/>
  <c r="X73" i="5" s="1"/>
  <c r="W60" i="5"/>
  <c r="X60" i="5" s="1"/>
  <c r="X21" i="5"/>
  <c r="W68" i="5"/>
  <c r="X68" i="5" s="1"/>
  <c r="X37" i="5"/>
  <c r="V50" i="5"/>
  <c r="V52" i="5" s="1"/>
  <c r="V40" i="1"/>
  <c r="U67" i="1"/>
  <c r="V67" i="1" s="1"/>
  <c r="V20" i="1"/>
  <c r="U64" i="1"/>
  <c r="V64" i="1" s="1"/>
  <c r="Z38" i="5"/>
  <c r="U68" i="1"/>
  <c r="V68" i="1" s="1"/>
  <c r="U63" i="1"/>
  <c r="V63" i="1" s="1"/>
  <c r="T50" i="1"/>
  <c r="T52" i="1" s="1"/>
  <c r="U71" i="1"/>
  <c r="V71" i="1" s="1"/>
  <c r="T74" i="1"/>
  <c r="V37" i="1"/>
  <c r="T72" i="1"/>
  <c r="U60" i="1"/>
  <c r="V60" i="1" s="1"/>
  <c r="U65" i="1"/>
  <c r="V65" i="1" s="1"/>
  <c r="U72" i="1"/>
  <c r="V72" i="1" s="1"/>
  <c r="V44" i="1"/>
  <c r="W13" i="1"/>
  <c r="X13" i="1" s="1"/>
  <c r="W41" i="1"/>
  <c r="X41" i="1" s="1"/>
  <c r="W17" i="1"/>
  <c r="X17" i="1" s="1"/>
  <c r="W35" i="1"/>
  <c r="X35" i="1" s="1"/>
  <c r="V46" i="1"/>
  <c r="W49" i="1"/>
  <c r="X49" i="1" s="1"/>
  <c r="W47" i="1"/>
  <c r="X47" i="1" s="1"/>
  <c r="W14" i="1"/>
  <c r="X14" i="1" s="1"/>
  <c r="W58" i="1"/>
  <c r="W42" i="1"/>
  <c r="W43" i="1"/>
  <c r="W71" i="1" s="1"/>
  <c r="X71" i="1" s="1"/>
  <c r="W9" i="1"/>
  <c r="X9" i="1" s="1"/>
  <c r="W23" i="1"/>
  <c r="X23" i="1" s="1"/>
  <c r="W31" i="1"/>
  <c r="X31" i="1" s="1"/>
  <c r="W24" i="1"/>
  <c r="X24" i="1" s="1"/>
  <c r="W46" i="1"/>
  <c r="W27" i="1"/>
  <c r="X27" i="1" s="1"/>
  <c r="W15" i="1"/>
  <c r="X15" i="1" s="1"/>
  <c r="W32" i="1"/>
  <c r="X32" i="1" s="1"/>
  <c r="W37" i="1"/>
  <c r="X37" i="1" s="1"/>
  <c r="V38" i="1"/>
  <c r="W21" i="1"/>
  <c r="X21" i="1" s="1"/>
  <c r="W29" i="1"/>
  <c r="X29" i="1" s="1"/>
  <c r="W39" i="1"/>
  <c r="X39" i="1" s="1"/>
  <c r="W45" i="1"/>
  <c r="X45" i="1" s="1"/>
  <c r="W33" i="1"/>
  <c r="X33" i="1" s="1"/>
  <c r="V42" i="1"/>
  <c r="W19" i="1"/>
  <c r="W63" i="1" s="1"/>
  <c r="X63" i="1" s="1"/>
  <c r="Y7" i="1" a="1"/>
  <c r="Y7" i="1" s="1"/>
  <c r="Y11" i="1" s="1"/>
  <c r="W12" i="1"/>
  <c r="X12" i="1" s="1"/>
  <c r="W16" i="1"/>
  <c r="X16" i="1" s="1"/>
  <c r="W26" i="1"/>
  <c r="X26" i="1" s="1"/>
  <c r="W20" i="1"/>
  <c r="W30" i="1"/>
  <c r="U48" i="1"/>
  <c r="W10" i="1"/>
  <c r="X10" i="1" s="1"/>
  <c r="W28" i="1"/>
  <c r="X28" i="1" s="1"/>
  <c r="W44" i="1"/>
  <c r="W18" i="1"/>
  <c r="X18" i="1" s="1"/>
  <c r="W36" i="1"/>
  <c r="X36" i="1" s="1"/>
  <c r="W38" i="1"/>
  <c r="W11" i="1"/>
  <c r="X11" i="1" s="1"/>
  <c r="W25" i="1"/>
  <c r="X25" i="1" s="1"/>
  <c r="W40" i="1"/>
  <c r="W22" i="1"/>
  <c r="X22" i="1" s="1"/>
  <c r="R18" i="1"/>
  <c r="R16" i="1"/>
  <c r="R17" i="1"/>
  <c r="R15" i="1"/>
  <c r="Y67" i="6" l="1"/>
  <c r="Z67" i="6" s="1"/>
  <c r="Y68" i="6"/>
  <c r="Z68" i="6" s="1"/>
  <c r="X30" i="1"/>
  <c r="V48" i="1"/>
  <c r="X42" i="1"/>
  <c r="W51" i="1"/>
  <c r="W50" i="1"/>
  <c r="X50" i="1" s="1"/>
  <c r="Y51" i="6"/>
  <c r="X51" i="6"/>
  <c r="X50" i="6"/>
  <c r="Z20" i="6"/>
  <c r="Y73" i="6"/>
  <c r="Z73" i="6" s="1"/>
  <c r="AA25" i="6"/>
  <c r="AB25" i="6" s="1"/>
  <c r="AA33" i="6"/>
  <c r="AB33" i="6" s="1"/>
  <c r="AA16" i="6"/>
  <c r="AB16" i="6" s="1"/>
  <c r="Z37" i="6"/>
  <c r="Z46" i="6"/>
  <c r="AA12" i="6"/>
  <c r="AB12" i="6" s="1"/>
  <c r="AA45" i="6"/>
  <c r="AB45" i="6" s="1"/>
  <c r="AA32" i="6"/>
  <c r="AB32" i="6" s="1"/>
  <c r="AA36" i="6"/>
  <c r="AB36" i="6" s="1"/>
  <c r="AC7" i="6" a="1"/>
  <c r="AC7" i="6" s="1"/>
  <c r="AC41" i="6" s="1"/>
  <c r="AA23" i="6"/>
  <c r="AB23" i="6" s="1"/>
  <c r="AA31" i="6"/>
  <c r="AB31" i="6" s="1"/>
  <c r="AA44" i="6"/>
  <c r="AB44" i="6" s="1"/>
  <c r="AA11" i="6"/>
  <c r="AB11" i="6" s="1"/>
  <c r="AA46" i="6"/>
  <c r="AA42" i="6"/>
  <c r="AA70" i="6" s="1"/>
  <c r="AB70" i="6" s="1"/>
  <c r="AA18" i="6"/>
  <c r="AB18" i="6" s="1"/>
  <c r="AA20" i="6"/>
  <c r="AA64" i="6" s="1"/>
  <c r="AB64" i="6" s="1"/>
  <c r="Z42" i="6"/>
  <c r="Z38" i="6"/>
  <c r="Y63" i="6"/>
  <c r="Z63" i="6" s="1"/>
  <c r="AA28" i="6"/>
  <c r="AB28" i="6" s="1"/>
  <c r="AA15" i="6"/>
  <c r="AB15" i="6" s="1"/>
  <c r="AA35" i="6"/>
  <c r="AB35" i="6" s="1"/>
  <c r="AB19" i="7"/>
  <c r="AA22" i="6"/>
  <c r="AB22" i="6" s="1"/>
  <c r="AA43" i="6"/>
  <c r="AA71" i="6" s="1"/>
  <c r="AB71" i="6" s="1"/>
  <c r="AA13" i="6"/>
  <c r="AB13" i="6" s="1"/>
  <c r="AA47" i="6"/>
  <c r="AB47" i="6" s="1"/>
  <c r="Y71" i="6"/>
  <c r="Z71" i="6" s="1"/>
  <c r="AA49" i="6"/>
  <c r="AB49" i="6" s="1"/>
  <c r="Z40" i="6"/>
  <c r="AA29" i="6"/>
  <c r="AB29" i="6" s="1"/>
  <c r="AA24" i="6"/>
  <c r="AB24" i="6" s="1"/>
  <c r="Y50" i="6"/>
  <c r="Z51" i="6" s="1"/>
  <c r="AA26" i="6"/>
  <c r="AB26" i="6" s="1"/>
  <c r="AA30" i="6"/>
  <c r="AB30" i="6" s="1"/>
  <c r="Y72" i="6"/>
  <c r="Y48" i="6"/>
  <c r="Z48" i="6" s="1"/>
  <c r="Y65" i="6"/>
  <c r="Z65" i="6" s="1"/>
  <c r="X72" i="6"/>
  <c r="X75" i="6" s="1"/>
  <c r="X79" i="6" s="1"/>
  <c r="Y74" i="7"/>
  <c r="Y60" i="6"/>
  <c r="Z60" i="6" s="1"/>
  <c r="AA38" i="6"/>
  <c r="AB38" i="6" s="1"/>
  <c r="Z15" i="6"/>
  <c r="AA14" i="6"/>
  <c r="AB14" i="6" s="1"/>
  <c r="AA21" i="6"/>
  <c r="AB21" i="6" s="1"/>
  <c r="AA19" i="6"/>
  <c r="AA63" i="6" s="1"/>
  <c r="AB63" i="6" s="1"/>
  <c r="AA58" i="6"/>
  <c r="AA41" i="6"/>
  <c r="AB41" i="6" s="1"/>
  <c r="AA37" i="6"/>
  <c r="AA69" i="6" s="1"/>
  <c r="AB69" i="6" s="1"/>
  <c r="AA27" i="6"/>
  <c r="AB27" i="6" s="1"/>
  <c r="AA9" i="6"/>
  <c r="AA39" i="6"/>
  <c r="AB39" i="6" s="1"/>
  <c r="AA40" i="6"/>
  <c r="AA10" i="6"/>
  <c r="AB10" i="6" s="1"/>
  <c r="AA34" i="6"/>
  <c r="AB34" i="6" s="1"/>
  <c r="AA70" i="7"/>
  <c r="AB70" i="7" s="1"/>
  <c r="Y68" i="8"/>
  <c r="Z68" i="8" s="1"/>
  <c r="AA71" i="7"/>
  <c r="AB71" i="7" s="1"/>
  <c r="AA50" i="7"/>
  <c r="AB51" i="7" s="1"/>
  <c r="AA72" i="7"/>
  <c r="AB72" i="7" s="1"/>
  <c r="AA48" i="7"/>
  <c r="AB48" i="7" s="1"/>
  <c r="AA51" i="7"/>
  <c r="AA73" i="7"/>
  <c r="AB73" i="7" s="1"/>
  <c r="AC27" i="7"/>
  <c r="AD27" i="7" s="1"/>
  <c r="AC28" i="7"/>
  <c r="AD28" i="7" s="1"/>
  <c r="AC33" i="7"/>
  <c r="AD33" i="7" s="1"/>
  <c r="AC47" i="7"/>
  <c r="AD47" i="7" s="1"/>
  <c r="AA67" i="7"/>
  <c r="AB67" i="7" s="1"/>
  <c r="AA68" i="7"/>
  <c r="AB68" i="7" s="1"/>
  <c r="AB37" i="7"/>
  <c r="AC23" i="7"/>
  <c r="AD23" i="7" s="1"/>
  <c r="AC40" i="7"/>
  <c r="AD40" i="7" s="1"/>
  <c r="AE7" i="7" a="1"/>
  <c r="AE7" i="7" s="1"/>
  <c r="AE39" i="7" s="1"/>
  <c r="AC39" i="7"/>
  <c r="AD39" i="7" s="1"/>
  <c r="AC18" i="7"/>
  <c r="AD18" i="7" s="1"/>
  <c r="AC46" i="7"/>
  <c r="AD46" i="7" s="1"/>
  <c r="Z74" i="7"/>
  <c r="Z75" i="7" s="1"/>
  <c r="AC30" i="7"/>
  <c r="AD30" i="7" s="1"/>
  <c r="Z50" i="7"/>
  <c r="Z52" i="7" s="1"/>
  <c r="AC25" i="7"/>
  <c r="AD25" i="7" s="1"/>
  <c r="AB38" i="7"/>
  <c r="AC31" i="7"/>
  <c r="AD31" i="7" s="1"/>
  <c r="AA65" i="7"/>
  <c r="AB65" i="7" s="1"/>
  <c r="AC34" i="7"/>
  <c r="AD34" i="7" s="1"/>
  <c r="AB20" i="7"/>
  <c r="AC36" i="7"/>
  <c r="AD36" i="7" s="1"/>
  <c r="AC35" i="7"/>
  <c r="AD35" i="7" s="1"/>
  <c r="AC13" i="7"/>
  <c r="AD13" i="7" s="1"/>
  <c r="AC49" i="7"/>
  <c r="AD49" i="7" s="1"/>
  <c r="AC26" i="7"/>
  <c r="AD26" i="7" s="1"/>
  <c r="AC9" i="7"/>
  <c r="AD9" i="7" s="1"/>
  <c r="AC19" i="7"/>
  <c r="AC63" i="7" s="1"/>
  <c r="AD63" i="7" s="1"/>
  <c r="AC38" i="7"/>
  <c r="AD38" i="7" s="1"/>
  <c r="AC11" i="7"/>
  <c r="AC20" i="7"/>
  <c r="AC64" i="7" s="1"/>
  <c r="AD64" i="7" s="1"/>
  <c r="AC29" i="7"/>
  <c r="AD29" i="7" s="1"/>
  <c r="AC45" i="7"/>
  <c r="AA60" i="7"/>
  <c r="AB60" i="7" s="1"/>
  <c r="AC22" i="7"/>
  <c r="AD22" i="7" s="1"/>
  <c r="AC24" i="7"/>
  <c r="AD24" i="7" s="1"/>
  <c r="AC15" i="7"/>
  <c r="AD15" i="7" s="1"/>
  <c r="AC44" i="7"/>
  <c r="AC12" i="7"/>
  <c r="AD12" i="7" s="1"/>
  <c r="AC43" i="7"/>
  <c r="AD43" i="7" s="1"/>
  <c r="AC37" i="7"/>
  <c r="AD37" i="7" s="1"/>
  <c r="AC16" i="7"/>
  <c r="AD16" i="7" s="1"/>
  <c r="AC17" i="7"/>
  <c r="AD17" i="7" s="1"/>
  <c r="AC42" i="7"/>
  <c r="AC70" i="7" s="1"/>
  <c r="AD70" i="7" s="1"/>
  <c r="Y72" i="8"/>
  <c r="Z72" i="8" s="1"/>
  <c r="AC21" i="7"/>
  <c r="AD21" i="7" s="1"/>
  <c r="AC32" i="7"/>
  <c r="AD32" i="7" s="1"/>
  <c r="AC41" i="7"/>
  <c r="AD41" i="7" s="1"/>
  <c r="AC10" i="7"/>
  <c r="AD10" i="7" s="1"/>
  <c r="AC14" i="7"/>
  <c r="AD14" i="7" s="1"/>
  <c r="Y63" i="8"/>
  <c r="Z63" i="8" s="1"/>
  <c r="Y73" i="8"/>
  <c r="Z73" i="8" s="1"/>
  <c r="Y64" i="8"/>
  <c r="Z64" i="8" s="1"/>
  <c r="Z38" i="8"/>
  <c r="Z37" i="8"/>
  <c r="Y71" i="8"/>
  <c r="Z71" i="8" s="1"/>
  <c r="Y65" i="8"/>
  <c r="Z65" i="8" s="1"/>
  <c r="Y48" i="8"/>
  <c r="Z48" i="8" s="1"/>
  <c r="Y67" i="8"/>
  <c r="Z67" i="8" s="1"/>
  <c r="X50" i="5"/>
  <c r="X51" i="5"/>
  <c r="Y60" i="8"/>
  <c r="Z60" i="8" s="1"/>
  <c r="Z9" i="8"/>
  <c r="W74" i="8"/>
  <c r="Z40" i="8"/>
  <c r="Z44" i="8"/>
  <c r="AA21" i="8"/>
  <c r="AB21" i="8" s="1"/>
  <c r="AA42" i="8"/>
  <c r="AB42" i="8" s="1"/>
  <c r="Y51" i="8"/>
  <c r="AA15" i="8"/>
  <c r="AB15" i="8" s="1"/>
  <c r="AA13" i="8"/>
  <c r="AB13" i="8" s="1"/>
  <c r="AA47" i="8"/>
  <c r="AB47" i="8" s="1"/>
  <c r="AA40" i="8"/>
  <c r="AB40" i="8" s="1"/>
  <c r="AA27" i="8"/>
  <c r="AB27" i="8" s="1"/>
  <c r="AA19" i="8"/>
  <c r="AA63" i="8" s="1"/>
  <c r="AB63" i="8" s="1"/>
  <c r="AA41" i="8"/>
  <c r="AB41" i="8" s="1"/>
  <c r="AA14" i="8"/>
  <c r="AB14" i="8" s="1"/>
  <c r="AA33" i="8"/>
  <c r="AB33" i="8" s="1"/>
  <c r="AA39" i="8"/>
  <c r="AB39" i="8" s="1"/>
  <c r="AA37" i="8"/>
  <c r="AB37" i="8" s="1"/>
  <c r="AA30" i="8"/>
  <c r="AB30" i="8" s="1"/>
  <c r="AA12" i="8"/>
  <c r="AB12" i="8" s="1"/>
  <c r="AA46" i="8"/>
  <c r="AB46" i="8" s="1"/>
  <c r="AC7" i="8" a="1"/>
  <c r="AC7" i="8" s="1"/>
  <c r="AC46" i="8" s="1"/>
  <c r="AA22" i="8"/>
  <c r="AB22" i="8" s="1"/>
  <c r="AA17" i="8"/>
  <c r="AB17" i="8" s="1"/>
  <c r="AA49" i="8"/>
  <c r="AB49" i="8" s="1"/>
  <c r="Z21" i="8"/>
  <c r="AA9" i="8"/>
  <c r="AB9" i="8" s="1"/>
  <c r="AA23" i="8"/>
  <c r="AB23" i="8" s="1"/>
  <c r="AA29" i="8"/>
  <c r="AB29" i="8" s="1"/>
  <c r="AA58" i="8"/>
  <c r="X74" i="8"/>
  <c r="X75" i="8" s="1"/>
  <c r="X79" i="8" s="1"/>
  <c r="AA18" i="8"/>
  <c r="AB18" i="8" s="1"/>
  <c r="AA24" i="8"/>
  <c r="AB24" i="8" s="1"/>
  <c r="AA31" i="8"/>
  <c r="AB31" i="8" s="1"/>
  <c r="AA38" i="8"/>
  <c r="AB38" i="8" s="1"/>
  <c r="AA10" i="8"/>
  <c r="AB10" i="8" s="1"/>
  <c r="Z42" i="8"/>
  <c r="X51" i="8"/>
  <c r="X52" i="8" s="1"/>
  <c r="AA28" i="8"/>
  <c r="AB28" i="8" s="1"/>
  <c r="AA25" i="8"/>
  <c r="AB25" i="8" s="1"/>
  <c r="AA11" i="8"/>
  <c r="AB11" i="8" s="1"/>
  <c r="AA45" i="8"/>
  <c r="AB45" i="8" s="1"/>
  <c r="AA32" i="8"/>
  <c r="AB32" i="8" s="1"/>
  <c r="Y50" i="8"/>
  <c r="Z74" i="8" s="1"/>
  <c r="AA16" i="8"/>
  <c r="AB16" i="8" s="1"/>
  <c r="AA26" i="8"/>
  <c r="AB26" i="8" s="1"/>
  <c r="AA36" i="8"/>
  <c r="AB36" i="8" s="1"/>
  <c r="AA44" i="8"/>
  <c r="AA34" i="8"/>
  <c r="AB34" i="8" s="1"/>
  <c r="AA35" i="8"/>
  <c r="AB35" i="8" s="1"/>
  <c r="AA20" i="8"/>
  <c r="AA64" i="8" s="1"/>
  <c r="AB64" i="8" s="1"/>
  <c r="AA71" i="8"/>
  <c r="AB71" i="8" s="1"/>
  <c r="AB43" i="8"/>
  <c r="Y72" i="5"/>
  <c r="Z72" i="5" s="1"/>
  <c r="Y67" i="5"/>
  <c r="Z67" i="5" s="1"/>
  <c r="Y73" i="5"/>
  <c r="Z73" i="5" s="1"/>
  <c r="Y60" i="5"/>
  <c r="Z60" i="5" s="1"/>
  <c r="Y50" i="5"/>
  <c r="Z51" i="5" s="1"/>
  <c r="Y51" i="5"/>
  <c r="Z20" i="5"/>
  <c r="Y48" i="5"/>
  <c r="Z48" i="5" s="1"/>
  <c r="Z43" i="5"/>
  <c r="AA20" i="5"/>
  <c r="AA64" i="5" s="1"/>
  <c r="AB64" i="5" s="1"/>
  <c r="AA34" i="5"/>
  <c r="AB34" i="5" s="1"/>
  <c r="AA37" i="5"/>
  <c r="AA69" i="5" s="1"/>
  <c r="AB69" i="5" s="1"/>
  <c r="Z37" i="5"/>
  <c r="AA17" i="5"/>
  <c r="AB17" i="5" s="1"/>
  <c r="Y68" i="5"/>
  <c r="Z68" i="5" s="1"/>
  <c r="AA11" i="5"/>
  <c r="AB11" i="5" s="1"/>
  <c r="Z42" i="5"/>
  <c r="Z19" i="5"/>
  <c r="AA28" i="5"/>
  <c r="AB28" i="5" s="1"/>
  <c r="AA25" i="5"/>
  <c r="AB25" i="5" s="1"/>
  <c r="AA27" i="5"/>
  <c r="AB27" i="5" s="1"/>
  <c r="AA36" i="5"/>
  <c r="AB36" i="5" s="1"/>
  <c r="Z10" i="5"/>
  <c r="AA19" i="5"/>
  <c r="AB19" i="5" s="1"/>
  <c r="AA12" i="5"/>
  <c r="AB12" i="5" s="1"/>
  <c r="AA58" i="5"/>
  <c r="AA24" i="5"/>
  <c r="AB24" i="5" s="1"/>
  <c r="AA45" i="5"/>
  <c r="AB45" i="5" s="1"/>
  <c r="AA13" i="5"/>
  <c r="AB13" i="5" s="1"/>
  <c r="AA31" i="5"/>
  <c r="AB31" i="5" s="1"/>
  <c r="AA14" i="5"/>
  <c r="AB14" i="5" s="1"/>
  <c r="AA44" i="5"/>
  <c r="AA30" i="5"/>
  <c r="AB30" i="5" s="1"/>
  <c r="AA33" i="5"/>
  <c r="AB33" i="5" s="1"/>
  <c r="AA38" i="5"/>
  <c r="AB38" i="5" s="1"/>
  <c r="AA43" i="5"/>
  <c r="AA71" i="5" s="1"/>
  <c r="AB71" i="5" s="1"/>
  <c r="AA9" i="5"/>
  <c r="AB9" i="5" s="1"/>
  <c r="AA40" i="5"/>
  <c r="AA42" i="5"/>
  <c r="AB42" i="5" s="1"/>
  <c r="AA15" i="5"/>
  <c r="AB15" i="5" s="1"/>
  <c r="AA10" i="5"/>
  <c r="AB10" i="5" s="1"/>
  <c r="AA47" i="5"/>
  <c r="AB47" i="5" s="1"/>
  <c r="Y65" i="5"/>
  <c r="Z65" i="5" s="1"/>
  <c r="AA32" i="5"/>
  <c r="AB32" i="5" s="1"/>
  <c r="AA16" i="5"/>
  <c r="AB16" i="5" s="1"/>
  <c r="AA41" i="5"/>
  <c r="AB41" i="5" s="1"/>
  <c r="AA26" i="5"/>
  <c r="AB26" i="5" s="1"/>
  <c r="AA29" i="5"/>
  <c r="AB29" i="5" s="1"/>
  <c r="AA39" i="5"/>
  <c r="AB39" i="5" s="1"/>
  <c r="AC7" i="5" a="1"/>
  <c r="AC7" i="5" s="1"/>
  <c r="AC47" i="5" s="1"/>
  <c r="AA35" i="5"/>
  <c r="AB35" i="5" s="1"/>
  <c r="AA21" i="5"/>
  <c r="AA46" i="5"/>
  <c r="AB46" i="5" s="1"/>
  <c r="X75" i="5"/>
  <c r="AA18" i="5"/>
  <c r="AB18" i="5" s="1"/>
  <c r="AA22" i="5"/>
  <c r="AB22" i="5" s="1"/>
  <c r="AA23" i="5"/>
  <c r="AB23" i="5" s="1"/>
  <c r="W74" i="5"/>
  <c r="T75" i="1"/>
  <c r="X40" i="1"/>
  <c r="W67" i="1"/>
  <c r="X67" i="1" s="1"/>
  <c r="X20" i="1"/>
  <c r="W64" i="1"/>
  <c r="X64" i="1" s="1"/>
  <c r="W68" i="1"/>
  <c r="X68" i="1" s="1"/>
  <c r="W70" i="1"/>
  <c r="X70" i="1" s="1"/>
  <c r="V50" i="1"/>
  <c r="V74" i="1"/>
  <c r="V75" i="1" s="1"/>
  <c r="X43" i="1"/>
  <c r="W72" i="1"/>
  <c r="X72" i="1" s="1"/>
  <c r="U74" i="1"/>
  <c r="X46" i="1"/>
  <c r="X44" i="1"/>
  <c r="W73" i="1"/>
  <c r="X73" i="1" s="1"/>
  <c r="W48" i="1"/>
  <c r="X48" i="1" s="1"/>
  <c r="Y24" i="1"/>
  <c r="Z24" i="1" s="1"/>
  <c r="Y12" i="1"/>
  <c r="Z12" i="1" s="1"/>
  <c r="Y32" i="1"/>
  <c r="Z32" i="1" s="1"/>
  <c r="Y40" i="1"/>
  <c r="Y58" i="1"/>
  <c r="Y20" i="1"/>
  <c r="Y35" i="1"/>
  <c r="Z35" i="1" s="1"/>
  <c r="Y41" i="1"/>
  <c r="Z41" i="1" s="1"/>
  <c r="Y42" i="1"/>
  <c r="Y21" i="1"/>
  <c r="Z21" i="1" s="1"/>
  <c r="Y28" i="1"/>
  <c r="Z28" i="1" s="1"/>
  <c r="Y38" i="1"/>
  <c r="Y18" i="1"/>
  <c r="Z18" i="1" s="1"/>
  <c r="Y9" i="1"/>
  <c r="Z9" i="1" s="1"/>
  <c r="Y47" i="1"/>
  <c r="Z47" i="1" s="1"/>
  <c r="Y19" i="1"/>
  <c r="Y63" i="1" s="1"/>
  <c r="Z63" i="1" s="1"/>
  <c r="Y25" i="1"/>
  <c r="Z25" i="1" s="1"/>
  <c r="Y22" i="1"/>
  <c r="Z22" i="1" s="1"/>
  <c r="Y49" i="1"/>
  <c r="Z49" i="1" s="1"/>
  <c r="Y15" i="1"/>
  <c r="Z15" i="1" s="1"/>
  <c r="Y26" i="1"/>
  <c r="Z26" i="1" s="1"/>
  <c r="Y44" i="1"/>
  <c r="Y46" i="1"/>
  <c r="W60" i="1"/>
  <c r="X60" i="1" s="1"/>
  <c r="Y43" i="1"/>
  <c r="Y71" i="1" s="1"/>
  <c r="Z71" i="1" s="1"/>
  <c r="Y37" i="1"/>
  <c r="Y69" i="1" s="1"/>
  <c r="Z69" i="1" s="1"/>
  <c r="Y17" i="1"/>
  <c r="Z17" i="1" s="1"/>
  <c r="Y29" i="1"/>
  <c r="Z29" i="1" s="1"/>
  <c r="Y36" i="1"/>
  <c r="Z36" i="1" s="1"/>
  <c r="W65" i="1"/>
  <c r="X65" i="1" s="1"/>
  <c r="Y30" i="1"/>
  <c r="Z30" i="1" s="1"/>
  <c r="X38" i="1"/>
  <c r="W69" i="1"/>
  <c r="X69" i="1" s="1"/>
  <c r="Y23" i="1"/>
  <c r="Z23" i="1" s="1"/>
  <c r="Y10" i="1"/>
  <c r="Z10" i="1" s="1"/>
  <c r="Y31" i="1"/>
  <c r="Z31" i="1" s="1"/>
  <c r="Y39" i="1"/>
  <c r="Z39" i="1" s="1"/>
  <c r="Y45" i="1"/>
  <c r="Z45" i="1" s="1"/>
  <c r="X19" i="1"/>
  <c r="AA7" i="1" a="1"/>
  <c r="AA7" i="1" s="1"/>
  <c r="AA19" i="1" s="1"/>
  <c r="Y13" i="1"/>
  <c r="Z13" i="1" s="1"/>
  <c r="Y14" i="1"/>
  <c r="Z14" i="1" s="1"/>
  <c r="Y33" i="1"/>
  <c r="Z33" i="1" s="1"/>
  <c r="Y34" i="1"/>
  <c r="Y16" i="1"/>
  <c r="Z16" i="1" s="1"/>
  <c r="Y27" i="1"/>
  <c r="Z27" i="1" s="1"/>
  <c r="Z11" i="1"/>
  <c r="R52" i="1"/>
  <c r="V52" i="1" l="1"/>
  <c r="Y74" i="6"/>
  <c r="X52" i="6"/>
  <c r="Z34" i="1"/>
  <c r="Y70" i="1"/>
  <c r="Z70" i="1" s="1"/>
  <c r="Y51" i="1"/>
  <c r="Y50" i="1"/>
  <c r="Z50" i="1" s="1"/>
  <c r="Y73" i="1"/>
  <c r="Z73" i="1" s="1"/>
  <c r="AB20" i="6"/>
  <c r="AC34" i="6"/>
  <c r="AD34" i="6" s="1"/>
  <c r="AC46" i="6"/>
  <c r="AD46" i="6" s="1"/>
  <c r="AC44" i="6"/>
  <c r="AD44" i="6" s="1"/>
  <c r="AC9" i="6"/>
  <c r="AD9" i="6" s="1"/>
  <c r="AC45" i="6"/>
  <c r="AD45" i="6" s="1"/>
  <c r="AC58" i="6"/>
  <c r="AC21" i="6"/>
  <c r="AD21" i="6" s="1"/>
  <c r="AC49" i="6"/>
  <c r="AD49" i="6" s="1"/>
  <c r="AC10" i="6"/>
  <c r="AD10" i="6" s="1"/>
  <c r="AC26" i="6"/>
  <c r="AD26" i="6" s="1"/>
  <c r="AC12" i="6"/>
  <c r="AD12" i="6" s="1"/>
  <c r="AC28" i="6"/>
  <c r="AD28" i="6" s="1"/>
  <c r="AC23" i="6"/>
  <c r="AD23" i="6" s="1"/>
  <c r="AC24" i="6"/>
  <c r="AD24" i="6" s="1"/>
  <c r="AC30" i="6"/>
  <c r="AD30" i="6" s="1"/>
  <c r="AE7" i="6" a="1"/>
  <c r="AE7" i="6" s="1"/>
  <c r="AE45" i="6" s="1"/>
  <c r="AC32" i="6"/>
  <c r="AD32" i="6" s="1"/>
  <c r="AC14" i="6"/>
  <c r="AD14" i="6" s="1"/>
  <c r="AC36" i="6"/>
  <c r="AD36" i="6" s="1"/>
  <c r="AC17" i="6"/>
  <c r="AD17" i="6" s="1"/>
  <c r="AC47" i="6"/>
  <c r="AD47" i="6" s="1"/>
  <c r="AA51" i="6"/>
  <c r="AA72" i="6"/>
  <c r="AB72" i="6" s="1"/>
  <c r="AA73" i="6"/>
  <c r="AB73" i="6" s="1"/>
  <c r="AA50" i="6"/>
  <c r="AB50" i="6" s="1"/>
  <c r="AB42" i="6"/>
  <c r="AC16" i="6"/>
  <c r="AD16" i="6" s="1"/>
  <c r="AC19" i="6"/>
  <c r="AC63" i="6" s="1"/>
  <c r="AD63" i="6" s="1"/>
  <c r="AC22" i="6"/>
  <c r="AD22" i="6" s="1"/>
  <c r="AC18" i="6"/>
  <c r="AD18" i="6" s="1"/>
  <c r="AC29" i="6"/>
  <c r="AD29" i="6" s="1"/>
  <c r="AC25" i="6"/>
  <c r="AD25" i="6" s="1"/>
  <c r="AC27" i="6"/>
  <c r="AD27" i="6" s="1"/>
  <c r="AC31" i="6"/>
  <c r="AD31" i="6" s="1"/>
  <c r="AC39" i="6"/>
  <c r="AD39" i="6" s="1"/>
  <c r="AC40" i="6"/>
  <c r="AC67" i="6" s="1"/>
  <c r="AD67" i="6" s="1"/>
  <c r="AC15" i="6"/>
  <c r="AD15" i="6" s="1"/>
  <c r="AC20" i="6"/>
  <c r="AC64" i="6" s="1"/>
  <c r="AD64" i="6" s="1"/>
  <c r="AC37" i="6"/>
  <c r="AD37" i="6" s="1"/>
  <c r="AB46" i="6"/>
  <c r="AB43" i="6"/>
  <c r="AB37" i="6"/>
  <c r="AA48" i="6"/>
  <c r="AB48" i="6" s="1"/>
  <c r="AC13" i="6"/>
  <c r="AD13" i="6" s="1"/>
  <c r="AC11" i="6"/>
  <c r="AD11" i="6" s="1"/>
  <c r="AC35" i="6"/>
  <c r="AD35" i="6" s="1"/>
  <c r="AC43" i="6"/>
  <c r="AC71" i="6" s="1"/>
  <c r="AD71" i="6" s="1"/>
  <c r="AC33" i="6"/>
  <c r="AD33" i="6" s="1"/>
  <c r="AC42" i="6"/>
  <c r="AD42" i="6" s="1"/>
  <c r="AC38" i="6"/>
  <c r="AD38" i="6" s="1"/>
  <c r="AB19" i="6"/>
  <c r="Z74" i="6"/>
  <c r="Z72" i="6"/>
  <c r="Z50" i="6"/>
  <c r="Z52" i="6" s="1"/>
  <c r="AA65" i="6"/>
  <c r="AB65" i="6" s="1"/>
  <c r="AA68" i="6"/>
  <c r="AB68" i="6" s="1"/>
  <c r="AA67" i="6"/>
  <c r="AB67" i="6" s="1"/>
  <c r="AA60" i="6"/>
  <c r="AB60" i="6" s="1"/>
  <c r="AB74" i="7"/>
  <c r="AB75" i="7" s="1"/>
  <c r="AB50" i="7"/>
  <c r="AB52" i="7" s="1"/>
  <c r="AB9" i="6"/>
  <c r="AB40" i="6"/>
  <c r="AA74" i="7"/>
  <c r="AC71" i="7"/>
  <c r="AD71" i="7" s="1"/>
  <c r="AC67" i="7"/>
  <c r="AD67" i="7" s="1"/>
  <c r="AC69" i="7"/>
  <c r="AD69" i="7" s="1"/>
  <c r="AC68" i="7"/>
  <c r="AD68" i="7" s="1"/>
  <c r="AE14" i="7"/>
  <c r="AF14" i="7" s="1"/>
  <c r="AE44" i="7"/>
  <c r="AF44" i="7" s="1"/>
  <c r="AE29" i="7"/>
  <c r="AF29" i="7" s="1"/>
  <c r="AE35" i="7"/>
  <c r="AF35" i="7" s="1"/>
  <c r="AE26" i="7"/>
  <c r="AF26" i="7" s="1"/>
  <c r="AE19" i="7"/>
  <c r="AE63" i="7" s="1"/>
  <c r="AF63" i="7" s="1"/>
  <c r="AE36" i="7"/>
  <c r="AF36" i="7" s="1"/>
  <c r="AE30" i="7"/>
  <c r="AF30" i="7" s="1"/>
  <c r="AE43" i="7"/>
  <c r="AF43" i="7" s="1"/>
  <c r="AE18" i="7"/>
  <c r="AF18" i="7" s="1"/>
  <c r="AE47" i="7"/>
  <c r="AF47" i="7" s="1"/>
  <c r="AE25" i="7"/>
  <c r="AF25" i="7" s="1"/>
  <c r="AE58" i="7"/>
  <c r="AE27" i="7"/>
  <c r="AF27" i="7" s="1"/>
  <c r="AE46" i="7"/>
  <c r="AE33" i="7"/>
  <c r="AF33" i="7" s="1"/>
  <c r="AE9" i="7"/>
  <c r="AF9" i="7" s="1"/>
  <c r="AE38" i="7"/>
  <c r="AF38" i="7" s="1"/>
  <c r="AC48" i="7"/>
  <c r="AD48" i="7" s="1"/>
  <c r="AE20" i="7"/>
  <c r="AE64" i="7" s="1"/>
  <c r="AF64" i="7" s="1"/>
  <c r="AE45" i="7"/>
  <c r="AF45" i="7" s="1"/>
  <c r="AE17" i="7"/>
  <c r="AF17" i="7" s="1"/>
  <c r="AC72" i="7"/>
  <c r="AD72" i="7" s="1"/>
  <c r="AC73" i="7"/>
  <c r="AD73" i="7" s="1"/>
  <c r="AC50" i="7"/>
  <c r="AD50" i="7" s="1"/>
  <c r="AD44" i="7"/>
  <c r="AD19" i="7"/>
  <c r="AC60" i="7"/>
  <c r="AD60" i="7" s="1"/>
  <c r="AE13" i="7"/>
  <c r="AF13" i="7" s="1"/>
  <c r="AE31" i="7"/>
  <c r="AF31" i="7" s="1"/>
  <c r="AE34" i="7"/>
  <c r="AF34" i="7" s="1"/>
  <c r="AE49" i="7"/>
  <c r="AF49" i="7" s="1"/>
  <c r="AE22" i="7"/>
  <c r="AF22" i="7" s="1"/>
  <c r="AE24" i="7"/>
  <c r="AF24" i="7" s="1"/>
  <c r="AE16" i="7"/>
  <c r="AF16" i="7" s="1"/>
  <c r="AD45" i="7"/>
  <c r="AA69" i="8"/>
  <c r="AB69" i="8" s="1"/>
  <c r="AE11" i="7"/>
  <c r="AF11" i="7" s="1"/>
  <c r="AE28" i="7"/>
  <c r="AF28" i="7" s="1"/>
  <c r="AE42" i="7"/>
  <c r="AF42" i="7" s="1"/>
  <c r="AC51" i="7"/>
  <c r="AE21" i="7"/>
  <c r="AF21" i="7" s="1"/>
  <c r="AE23" i="7"/>
  <c r="AF23" i="7" s="1"/>
  <c r="AE41" i="7"/>
  <c r="AF41" i="7" s="1"/>
  <c r="AD11" i="7"/>
  <c r="AG7" i="7" a="1"/>
  <c r="AG7" i="7" s="1"/>
  <c r="AG47" i="7" s="1"/>
  <c r="AH47" i="7" s="1"/>
  <c r="AE10" i="7"/>
  <c r="AF10" i="7" s="1"/>
  <c r="AE37" i="7"/>
  <c r="AE69" i="7" s="1"/>
  <c r="AF69" i="7" s="1"/>
  <c r="AE40" i="7"/>
  <c r="AF40" i="7" s="1"/>
  <c r="AE12" i="7"/>
  <c r="AF12" i="7" s="1"/>
  <c r="AE15" i="7"/>
  <c r="AF15" i="7" s="1"/>
  <c r="AE32" i="7"/>
  <c r="AF32" i="7" s="1"/>
  <c r="AC65" i="7"/>
  <c r="AD65" i="7" s="1"/>
  <c r="AD20" i="7"/>
  <c r="AD42" i="7"/>
  <c r="X52" i="5"/>
  <c r="Y74" i="8"/>
  <c r="AA70" i="8"/>
  <c r="AB70" i="8" s="1"/>
  <c r="AB19" i="8"/>
  <c r="Z50" i="8"/>
  <c r="Z51" i="8"/>
  <c r="AA68" i="8"/>
  <c r="AB68" i="8" s="1"/>
  <c r="AC19" i="8"/>
  <c r="AD19" i="8" s="1"/>
  <c r="AC42" i="8"/>
  <c r="AC70" i="8" s="1"/>
  <c r="AD70" i="8" s="1"/>
  <c r="AA73" i="8"/>
  <c r="AB73" i="8" s="1"/>
  <c r="AA48" i="8"/>
  <c r="AB48" i="8" s="1"/>
  <c r="AC32" i="8"/>
  <c r="AD32" i="8" s="1"/>
  <c r="AC49" i="8"/>
  <c r="AD49" i="8" s="1"/>
  <c r="AC28" i="8"/>
  <c r="AD28" i="8" s="1"/>
  <c r="AA60" i="8"/>
  <c r="AB60" i="8" s="1"/>
  <c r="AC15" i="8"/>
  <c r="AD15" i="8" s="1"/>
  <c r="AC22" i="8"/>
  <c r="AD22" i="8" s="1"/>
  <c r="AA51" i="8"/>
  <c r="AA65" i="8"/>
  <c r="AB65" i="8" s="1"/>
  <c r="AC20" i="8"/>
  <c r="AD20" i="8" s="1"/>
  <c r="AC23" i="8"/>
  <c r="AD23" i="8" s="1"/>
  <c r="AC33" i="8"/>
  <c r="AD33" i="8" s="1"/>
  <c r="AC38" i="8"/>
  <c r="AC10" i="8"/>
  <c r="AD10" i="8" s="1"/>
  <c r="AC24" i="8"/>
  <c r="AD24" i="8" s="1"/>
  <c r="AC34" i="8"/>
  <c r="AD34" i="8" s="1"/>
  <c r="AC45" i="8"/>
  <c r="AD45" i="8" s="1"/>
  <c r="AC11" i="8"/>
  <c r="AD11" i="8" s="1"/>
  <c r="AC25" i="8"/>
  <c r="AD25" i="8" s="1"/>
  <c r="AC35" i="8"/>
  <c r="AD35" i="8" s="1"/>
  <c r="AC37" i="8"/>
  <c r="AC69" i="8" s="1"/>
  <c r="AD69" i="8" s="1"/>
  <c r="AC16" i="8"/>
  <c r="AD16" i="8" s="1"/>
  <c r="AC26" i="8"/>
  <c r="AD26" i="8" s="1"/>
  <c r="AC36" i="8"/>
  <c r="AD36" i="8" s="1"/>
  <c r="AC44" i="8"/>
  <c r="AB20" i="8"/>
  <c r="AC9" i="8"/>
  <c r="AD9" i="8" s="1"/>
  <c r="AC13" i="8"/>
  <c r="AD13" i="8" s="1"/>
  <c r="AC43" i="8"/>
  <c r="AC71" i="8" s="1"/>
  <c r="AD71" i="8" s="1"/>
  <c r="AC18" i="8"/>
  <c r="AD18" i="8" s="1"/>
  <c r="AC12" i="8"/>
  <c r="AD12" i="8" s="1"/>
  <c r="AC47" i="8"/>
  <c r="AD47" i="8" s="1"/>
  <c r="AC21" i="8"/>
  <c r="AC17" i="8"/>
  <c r="AD17" i="8" s="1"/>
  <c r="AC41" i="8"/>
  <c r="AD41" i="8" s="1"/>
  <c r="AA50" i="8"/>
  <c r="AB74" i="8" s="1"/>
  <c r="AC27" i="8"/>
  <c r="AD27" i="8" s="1"/>
  <c r="AC29" i="8"/>
  <c r="AD29" i="8" s="1"/>
  <c r="AC58" i="8"/>
  <c r="AB44" i="8"/>
  <c r="AC40" i="8"/>
  <c r="AD40" i="8" s="1"/>
  <c r="AC30" i="8"/>
  <c r="AD30" i="8" s="1"/>
  <c r="AC39" i="8"/>
  <c r="AD39" i="8" s="1"/>
  <c r="AA67" i="8"/>
  <c r="AB67" i="8" s="1"/>
  <c r="AA72" i="8"/>
  <c r="AB72" i="8" s="1"/>
  <c r="AE7" i="8" a="1"/>
  <c r="AE7" i="8" s="1"/>
  <c r="AE45" i="8" s="1"/>
  <c r="AF45" i="8" s="1"/>
  <c r="AC14" i="8"/>
  <c r="AD14" i="8" s="1"/>
  <c r="AC31" i="8"/>
  <c r="AD31" i="8" s="1"/>
  <c r="Z50" i="5"/>
  <c r="Z52" i="5" s="1"/>
  <c r="Z75" i="8"/>
  <c r="Z79" i="8" s="1"/>
  <c r="AD46" i="8"/>
  <c r="AC73" i="8"/>
  <c r="AD73" i="8" s="1"/>
  <c r="AF39" i="7"/>
  <c r="AD41" i="6"/>
  <c r="Z74" i="5"/>
  <c r="Z75" i="5" s="1"/>
  <c r="Y74" i="5"/>
  <c r="AA63" i="5"/>
  <c r="AB63" i="5" s="1"/>
  <c r="AA70" i="5"/>
  <c r="AB70" i="5" s="1"/>
  <c r="AB43" i="5"/>
  <c r="AB37" i="5"/>
  <c r="AA73" i="5"/>
  <c r="AB73" i="5" s="1"/>
  <c r="AA51" i="5"/>
  <c r="AB20" i="5"/>
  <c r="AA68" i="5"/>
  <c r="AB68" i="5" s="1"/>
  <c r="AA65" i="5"/>
  <c r="AB65" i="5" s="1"/>
  <c r="AA50" i="5"/>
  <c r="AB50" i="5" s="1"/>
  <c r="AA67" i="5"/>
  <c r="AB67" i="5" s="1"/>
  <c r="AB44" i="5"/>
  <c r="AA72" i="5"/>
  <c r="AB72" i="5" s="1"/>
  <c r="AA48" i="5"/>
  <c r="AB48" i="5" s="1"/>
  <c r="AE7" i="5" a="1"/>
  <c r="AE7" i="5" s="1"/>
  <c r="AE47" i="5" s="1"/>
  <c r="AF47" i="5" s="1"/>
  <c r="AC19" i="5"/>
  <c r="AC63" i="5" s="1"/>
  <c r="AD63" i="5" s="1"/>
  <c r="AC41" i="5"/>
  <c r="AC18" i="5"/>
  <c r="AD18" i="5" s="1"/>
  <c r="AC26" i="5"/>
  <c r="AD26" i="5" s="1"/>
  <c r="AC11" i="5"/>
  <c r="AD11" i="5" s="1"/>
  <c r="AC58" i="5"/>
  <c r="AA60" i="5"/>
  <c r="AB60" i="5" s="1"/>
  <c r="AC28" i="5"/>
  <c r="AD28" i="5" s="1"/>
  <c r="AC38" i="5"/>
  <c r="AC34" i="5"/>
  <c r="AD34" i="5" s="1"/>
  <c r="AC49" i="5"/>
  <c r="AD49" i="5" s="1"/>
  <c r="AC24" i="5"/>
  <c r="AD24" i="5" s="1"/>
  <c r="AC16" i="5"/>
  <c r="AD16" i="5" s="1"/>
  <c r="AC29" i="5"/>
  <c r="AD29" i="5" s="1"/>
  <c r="AC45" i="5"/>
  <c r="AD45" i="5" s="1"/>
  <c r="AC40" i="5"/>
  <c r="AD40" i="5" s="1"/>
  <c r="AC33" i="5"/>
  <c r="AD33" i="5" s="1"/>
  <c r="AC27" i="5"/>
  <c r="AD27" i="5" s="1"/>
  <c r="AC22" i="5"/>
  <c r="AD22" i="5" s="1"/>
  <c r="AC37" i="5"/>
  <c r="AD37" i="5" s="1"/>
  <c r="AC44" i="5"/>
  <c r="AC10" i="5"/>
  <c r="AD10" i="5" s="1"/>
  <c r="AC12" i="5"/>
  <c r="AD12" i="5" s="1"/>
  <c r="AC25" i="5"/>
  <c r="AD25" i="5" s="1"/>
  <c r="AC15" i="5"/>
  <c r="AD15" i="5" s="1"/>
  <c r="AC13" i="5"/>
  <c r="AD13" i="5" s="1"/>
  <c r="AC31" i="5"/>
  <c r="AD31" i="5" s="1"/>
  <c r="AC30" i="5"/>
  <c r="AD30" i="5" s="1"/>
  <c r="AC20" i="5"/>
  <c r="AC64" i="5" s="1"/>
  <c r="AD64" i="5" s="1"/>
  <c r="AC17" i="5"/>
  <c r="AD17" i="5" s="1"/>
  <c r="AC39" i="5"/>
  <c r="AD39" i="5" s="1"/>
  <c r="AC23" i="5"/>
  <c r="AD23" i="5" s="1"/>
  <c r="AC21" i="5"/>
  <c r="AC43" i="5"/>
  <c r="AC71" i="5" s="1"/>
  <c r="AD71" i="5" s="1"/>
  <c r="AC36" i="5"/>
  <c r="AD36" i="5" s="1"/>
  <c r="AB21" i="5"/>
  <c r="AC14" i="5"/>
  <c r="AD14" i="5" s="1"/>
  <c r="AC32" i="5"/>
  <c r="AD32" i="5" s="1"/>
  <c r="AC42" i="5"/>
  <c r="AD42" i="5" s="1"/>
  <c r="AB40" i="5"/>
  <c r="AC46" i="5"/>
  <c r="AC73" i="5" s="1"/>
  <c r="AD73" i="5" s="1"/>
  <c r="AC9" i="5"/>
  <c r="AC35" i="5"/>
  <c r="AD35" i="5" s="1"/>
  <c r="Z40" i="1"/>
  <c r="Y67" i="1"/>
  <c r="Z67" i="1" s="1"/>
  <c r="Z20" i="1"/>
  <c r="Y64" i="1"/>
  <c r="Z64" i="1" s="1"/>
  <c r="AD47" i="5"/>
  <c r="Y68" i="1"/>
  <c r="Z68" i="1" s="1"/>
  <c r="Z46" i="1"/>
  <c r="X74" i="1"/>
  <c r="X75" i="1" s="1"/>
  <c r="X51" i="1"/>
  <c r="X52" i="1" s="1"/>
  <c r="Z43" i="1"/>
  <c r="Z19" i="1"/>
  <c r="Z37" i="1"/>
  <c r="Y72" i="1"/>
  <c r="Z72" i="1" s="1"/>
  <c r="W74" i="1"/>
  <c r="Z42" i="1"/>
  <c r="AA41" i="1"/>
  <c r="AB41" i="1" s="1"/>
  <c r="AA36" i="1"/>
  <c r="AB36" i="1" s="1"/>
  <c r="AA13" i="1"/>
  <c r="AB13" i="1" s="1"/>
  <c r="AA49" i="1"/>
  <c r="AB49" i="1" s="1"/>
  <c r="AA38" i="1"/>
  <c r="AA47" i="1"/>
  <c r="AB47" i="1" s="1"/>
  <c r="AA16" i="1"/>
  <c r="AB16" i="1" s="1"/>
  <c r="AA9" i="1"/>
  <c r="AB9" i="1" s="1"/>
  <c r="AA31" i="1"/>
  <c r="AB31" i="1" s="1"/>
  <c r="AA39" i="1"/>
  <c r="AB39" i="1" s="1"/>
  <c r="Y60" i="1"/>
  <c r="Z60" i="1" s="1"/>
  <c r="AA24" i="1"/>
  <c r="AB24" i="1" s="1"/>
  <c r="AA34" i="1"/>
  <c r="AB34" i="1" s="1"/>
  <c r="AA11" i="1"/>
  <c r="AA58" i="1"/>
  <c r="Y48" i="1"/>
  <c r="Z48" i="1" s="1"/>
  <c r="AA33" i="1"/>
  <c r="AB33" i="1" s="1"/>
  <c r="AA20" i="1"/>
  <c r="AA23" i="1"/>
  <c r="AB23" i="1" s="1"/>
  <c r="Y65" i="1"/>
  <c r="Z65" i="1" s="1"/>
  <c r="AA44" i="1"/>
  <c r="AB44" i="1" s="1"/>
  <c r="AA28" i="1"/>
  <c r="AB28" i="1" s="1"/>
  <c r="Z38" i="1"/>
  <c r="AA32" i="1"/>
  <c r="AB32" i="1" s="1"/>
  <c r="AA17" i="1"/>
  <c r="AB17" i="1" s="1"/>
  <c r="AA29" i="1"/>
  <c r="AB29" i="1" s="1"/>
  <c r="AA46" i="1"/>
  <c r="AB46" i="1" s="1"/>
  <c r="AA26" i="1"/>
  <c r="AB26" i="1" s="1"/>
  <c r="AA40" i="1"/>
  <c r="AA27" i="1"/>
  <c r="AB27" i="1" s="1"/>
  <c r="AA37" i="1"/>
  <c r="AB37" i="1" s="1"/>
  <c r="AA42" i="1"/>
  <c r="AA35" i="1"/>
  <c r="AB35" i="1" s="1"/>
  <c r="AA12" i="1"/>
  <c r="AB12" i="1" s="1"/>
  <c r="AA43" i="1"/>
  <c r="AA71" i="1" s="1"/>
  <c r="AB71" i="1" s="1"/>
  <c r="AA21" i="1"/>
  <c r="AB21" i="1" s="1"/>
  <c r="AA15" i="1"/>
  <c r="AB15" i="1" s="1"/>
  <c r="AA22" i="1"/>
  <c r="AB22" i="1" s="1"/>
  <c r="AC7" i="1" a="1"/>
  <c r="AC7" i="1" s="1"/>
  <c r="AC19" i="1" s="1"/>
  <c r="AA10" i="1"/>
  <c r="AB10" i="1" s="1"/>
  <c r="AA14" i="1"/>
  <c r="AB14" i="1" s="1"/>
  <c r="AA45" i="1"/>
  <c r="AB45" i="1" s="1"/>
  <c r="Z44" i="1"/>
  <c r="AA25" i="1"/>
  <c r="AB25" i="1" s="1"/>
  <c r="AA18" i="1"/>
  <c r="AB18" i="1" s="1"/>
  <c r="AA30" i="1"/>
  <c r="AB30" i="1" s="1"/>
  <c r="AB19" i="1"/>
  <c r="AA63" i="1"/>
  <c r="AB63" i="1" s="1"/>
  <c r="AD20" i="6" l="1"/>
  <c r="AC72" i="6"/>
  <c r="AD72" i="6" s="1"/>
  <c r="AC51" i="6"/>
  <c r="AC69" i="6"/>
  <c r="AD69" i="6" s="1"/>
  <c r="AC73" i="6"/>
  <c r="AD73" i="6" s="1"/>
  <c r="AB11" i="1"/>
  <c r="AA70" i="1"/>
  <c r="AB70" i="1" s="1"/>
  <c r="AA51" i="1"/>
  <c r="AA50" i="1"/>
  <c r="AB50" i="1" s="1"/>
  <c r="AC50" i="6"/>
  <c r="AD51" i="6" s="1"/>
  <c r="AC48" i="6"/>
  <c r="AD48" i="6" s="1"/>
  <c r="AC68" i="6"/>
  <c r="AD68" i="6" s="1"/>
  <c r="AA74" i="6"/>
  <c r="AE24" i="6"/>
  <c r="AF24" i="6" s="1"/>
  <c r="AE17" i="6"/>
  <c r="AF17" i="6" s="1"/>
  <c r="AE30" i="6"/>
  <c r="AF30" i="6" s="1"/>
  <c r="AE22" i="6"/>
  <c r="AF22" i="6" s="1"/>
  <c r="AE36" i="6"/>
  <c r="AF36" i="6" s="1"/>
  <c r="AE26" i="6"/>
  <c r="AF26" i="6" s="1"/>
  <c r="AE35" i="6"/>
  <c r="AF35" i="6" s="1"/>
  <c r="AE49" i="6"/>
  <c r="AF49" i="6" s="1"/>
  <c r="AG7" i="6" a="1"/>
  <c r="AG7" i="6" s="1"/>
  <c r="AG45" i="6" s="1"/>
  <c r="AH45" i="6" s="1"/>
  <c r="AE29" i="6"/>
  <c r="AF29" i="6" s="1"/>
  <c r="AE38" i="6"/>
  <c r="AE27" i="6"/>
  <c r="AF27" i="6" s="1"/>
  <c r="AE33" i="6"/>
  <c r="AF33" i="6" s="1"/>
  <c r="AE18" i="6"/>
  <c r="AF18" i="6" s="1"/>
  <c r="AE37" i="6"/>
  <c r="AF37" i="6" s="1"/>
  <c r="AE43" i="6"/>
  <c r="AF43" i="6" s="1"/>
  <c r="AE41" i="6"/>
  <c r="AF41" i="6" s="1"/>
  <c r="AE13" i="6"/>
  <c r="AF13" i="6" s="1"/>
  <c r="AE21" i="6"/>
  <c r="AF21" i="6" s="1"/>
  <c r="AE44" i="6"/>
  <c r="AF44" i="6" s="1"/>
  <c r="AE19" i="6"/>
  <c r="AE63" i="6" s="1"/>
  <c r="AF63" i="6" s="1"/>
  <c r="AE25" i="6"/>
  <c r="AF25" i="6" s="1"/>
  <c r="AE42" i="6"/>
  <c r="AE70" i="6" s="1"/>
  <c r="AF70" i="6" s="1"/>
  <c r="AE14" i="6"/>
  <c r="AE34" i="6"/>
  <c r="AF34" i="6" s="1"/>
  <c r="AE47" i="6"/>
  <c r="AF47" i="6" s="1"/>
  <c r="AE11" i="6"/>
  <c r="AF11" i="6" s="1"/>
  <c r="AE28" i="6"/>
  <c r="AF28" i="6" s="1"/>
  <c r="AE12" i="6"/>
  <c r="AF12" i="6" s="1"/>
  <c r="AE10" i="6"/>
  <c r="AF10" i="6" s="1"/>
  <c r="AE20" i="6"/>
  <c r="AF20" i="6" s="1"/>
  <c r="AE58" i="6"/>
  <c r="AD40" i="6"/>
  <c r="AE9" i="6"/>
  <c r="AF9" i="6" s="1"/>
  <c r="AE31" i="6"/>
  <c r="AF31" i="6" s="1"/>
  <c r="AE32" i="6"/>
  <c r="AF32" i="6" s="1"/>
  <c r="AE40" i="6"/>
  <c r="AF40" i="6" s="1"/>
  <c r="Z75" i="6"/>
  <c r="Z79" i="6" s="1"/>
  <c r="AB74" i="6"/>
  <c r="AB75" i="6" s="1"/>
  <c r="AB79" i="6" s="1"/>
  <c r="AC65" i="6"/>
  <c r="AD65" i="6" s="1"/>
  <c r="AD19" i="6"/>
  <c r="AB51" i="6"/>
  <c r="AB52" i="6" s="1"/>
  <c r="AE16" i="6"/>
  <c r="AF16" i="6" s="1"/>
  <c r="AE39" i="6"/>
  <c r="AF39" i="6" s="1"/>
  <c r="AE46" i="6"/>
  <c r="AE23" i="6"/>
  <c r="AF23" i="6" s="1"/>
  <c r="AE15" i="6"/>
  <c r="AF15" i="6" s="1"/>
  <c r="AC60" i="6"/>
  <c r="AD60" i="6" s="1"/>
  <c r="AC70" i="6"/>
  <c r="AD70" i="6" s="1"/>
  <c r="AD43" i="6"/>
  <c r="AF20" i="7"/>
  <c r="AE71" i="7"/>
  <c r="AF71" i="7" s="1"/>
  <c r="AE72" i="7"/>
  <c r="AF72" i="7" s="1"/>
  <c r="AE51" i="7"/>
  <c r="AE73" i="7"/>
  <c r="AF73" i="7" s="1"/>
  <c r="AF46" i="7"/>
  <c r="AE50" i="7"/>
  <c r="AF50" i="7" s="1"/>
  <c r="AE48" i="7"/>
  <c r="AF48" i="7" s="1"/>
  <c r="AF19" i="7"/>
  <c r="AE70" i="7"/>
  <c r="AF70" i="7" s="1"/>
  <c r="AE68" i="7"/>
  <c r="AF68" i="7" s="1"/>
  <c r="AC74" i="7"/>
  <c r="AE65" i="7"/>
  <c r="AF65" i="7" s="1"/>
  <c r="AG21" i="7"/>
  <c r="AH21" i="7" s="1"/>
  <c r="AG27" i="7"/>
  <c r="AH27" i="7" s="1"/>
  <c r="AG28" i="7"/>
  <c r="AH28" i="7" s="1"/>
  <c r="AG35" i="7"/>
  <c r="AH35" i="7" s="1"/>
  <c r="AG58" i="7"/>
  <c r="AD74" i="7"/>
  <c r="AD75" i="7" s="1"/>
  <c r="AG49" i="7"/>
  <c r="AH49" i="7" s="1"/>
  <c r="AD51" i="7"/>
  <c r="AD52" i="7" s="1"/>
  <c r="AG14" i="7"/>
  <c r="AH14" i="7" s="1"/>
  <c r="AG23" i="7"/>
  <c r="AH23" i="7" s="1"/>
  <c r="AD42" i="8"/>
  <c r="AE67" i="7"/>
  <c r="AF67" i="7" s="1"/>
  <c r="AF37" i="7"/>
  <c r="AE60" i="7"/>
  <c r="AF60" i="7" s="1"/>
  <c r="AG13" i="7"/>
  <c r="AH13" i="7" s="1"/>
  <c r="AG25" i="7"/>
  <c r="AH25" i="7" s="1"/>
  <c r="AG33" i="7"/>
  <c r="AH33" i="7" s="1"/>
  <c r="AG41" i="7"/>
  <c r="AH41" i="7" s="1"/>
  <c r="Z52" i="8"/>
  <c r="AG19" i="7"/>
  <c r="AG63" i="7" s="1"/>
  <c r="AH63" i="7" s="1"/>
  <c r="AG10" i="7"/>
  <c r="AH10" i="7" s="1"/>
  <c r="AG40" i="7"/>
  <c r="AH40" i="7" s="1"/>
  <c r="AG39" i="7"/>
  <c r="AH39" i="7" s="1"/>
  <c r="AG29" i="7"/>
  <c r="AH29" i="7" s="1"/>
  <c r="AG15" i="7"/>
  <c r="AH15" i="7" s="1"/>
  <c r="AG37" i="7"/>
  <c r="AG69" i="7" s="1"/>
  <c r="AH69" i="7" s="1"/>
  <c r="AG46" i="7"/>
  <c r="AH46" i="7" s="1"/>
  <c r="AG12" i="7"/>
  <c r="AH12" i="7" s="1"/>
  <c r="AG31" i="7"/>
  <c r="AH31" i="7" s="1"/>
  <c r="AG36" i="7"/>
  <c r="AH36" i="7" s="1"/>
  <c r="AG16" i="7"/>
  <c r="AH16" i="7" s="1"/>
  <c r="AG34" i="7"/>
  <c r="AH34" i="7" s="1"/>
  <c r="AG38" i="7"/>
  <c r="AH38" i="7" s="1"/>
  <c r="AG22" i="7"/>
  <c r="AH22" i="7" s="1"/>
  <c r="AG9" i="7"/>
  <c r="AH9" i="7" s="1"/>
  <c r="AG45" i="7"/>
  <c r="AH45" i="7" s="1"/>
  <c r="AG26" i="7"/>
  <c r="AH26" i="7" s="1"/>
  <c r="AG20" i="7"/>
  <c r="AG64" i="7" s="1"/>
  <c r="AH64" i="7" s="1"/>
  <c r="AG44" i="7"/>
  <c r="AH44" i="7" s="1"/>
  <c r="AG30" i="7"/>
  <c r="AH30" i="7" s="1"/>
  <c r="AG24" i="7"/>
  <c r="AH24" i="7" s="1"/>
  <c r="AG43" i="7"/>
  <c r="AG71" i="7" s="1"/>
  <c r="AH71" i="7" s="1"/>
  <c r="AG11" i="7"/>
  <c r="AH11" i="7" s="1"/>
  <c r="AG32" i="7"/>
  <c r="AH32" i="7" s="1"/>
  <c r="AG42" i="7"/>
  <c r="AH42" i="7" s="1"/>
  <c r="AI7" i="7" a="1"/>
  <c r="AI7" i="7" s="1"/>
  <c r="AI37" i="7" s="1"/>
  <c r="AG18" i="7"/>
  <c r="AH18" i="7" s="1"/>
  <c r="AG17" i="7"/>
  <c r="AH17" i="7" s="1"/>
  <c r="AC63" i="8"/>
  <c r="AD63" i="8" s="1"/>
  <c r="AC64" i="8"/>
  <c r="AD64" i="8" s="1"/>
  <c r="AD37" i="8"/>
  <c r="AB50" i="8"/>
  <c r="AA74" i="8"/>
  <c r="AD43" i="8"/>
  <c r="AC48" i="8"/>
  <c r="AD48" i="8" s="1"/>
  <c r="AC68" i="8"/>
  <c r="AD68" i="8" s="1"/>
  <c r="AE21" i="8"/>
  <c r="AF21" i="8" s="1"/>
  <c r="AC67" i="8"/>
  <c r="AD67" i="8" s="1"/>
  <c r="AB51" i="8"/>
  <c r="AC65" i="8"/>
  <c r="AD65" i="8" s="1"/>
  <c r="AE10" i="8"/>
  <c r="AF10" i="8" s="1"/>
  <c r="AD38" i="8"/>
  <c r="AD44" i="8"/>
  <c r="AE14" i="8"/>
  <c r="AF14" i="8" s="1"/>
  <c r="AE19" i="8"/>
  <c r="AF19" i="8" s="1"/>
  <c r="AE17" i="8"/>
  <c r="AF17" i="8" s="1"/>
  <c r="AE37" i="8"/>
  <c r="AE69" i="8" s="1"/>
  <c r="AF69" i="8" s="1"/>
  <c r="AE38" i="8"/>
  <c r="AF38" i="8" s="1"/>
  <c r="AD21" i="8"/>
  <c r="AC60" i="8"/>
  <c r="AD60" i="8" s="1"/>
  <c r="AE27" i="8"/>
  <c r="AF27" i="8" s="1"/>
  <c r="AE29" i="8"/>
  <c r="AF29" i="8" s="1"/>
  <c r="AE44" i="8"/>
  <c r="AE72" i="8" s="1"/>
  <c r="AE9" i="8"/>
  <c r="AF9" i="8" s="1"/>
  <c r="AE30" i="8"/>
  <c r="AF30" i="8" s="1"/>
  <c r="AE43" i="8"/>
  <c r="AE71" i="8" s="1"/>
  <c r="AF71" i="8" s="1"/>
  <c r="AE15" i="8"/>
  <c r="AF15" i="8" s="1"/>
  <c r="AE31" i="8"/>
  <c r="AF31" i="8" s="1"/>
  <c r="AE42" i="8"/>
  <c r="AF42" i="8" s="1"/>
  <c r="AB75" i="8"/>
  <c r="AB79" i="8" s="1"/>
  <c r="AE22" i="8"/>
  <c r="AF22" i="8" s="1"/>
  <c r="AE32" i="8"/>
  <c r="AF32" i="8" s="1"/>
  <c r="AE47" i="8"/>
  <c r="AF47" i="8" s="1"/>
  <c r="AE23" i="8"/>
  <c r="AF23" i="8" s="1"/>
  <c r="AE33" i="8"/>
  <c r="AF33" i="8" s="1"/>
  <c r="AE41" i="8"/>
  <c r="AF41" i="8" s="1"/>
  <c r="AG7" i="8" a="1"/>
  <c r="AG7" i="8" s="1"/>
  <c r="AG45" i="8" s="1"/>
  <c r="AE24" i="8"/>
  <c r="AF24" i="8" s="1"/>
  <c r="AE34" i="8"/>
  <c r="AF34" i="8" s="1"/>
  <c r="AE58" i="8"/>
  <c r="AC50" i="8"/>
  <c r="AD50" i="8" s="1"/>
  <c r="AE12" i="8"/>
  <c r="AF12" i="8" s="1"/>
  <c r="AE25" i="8"/>
  <c r="AF25" i="8" s="1"/>
  <c r="AE35" i="8"/>
  <c r="AF35" i="8" s="1"/>
  <c r="AE39" i="8"/>
  <c r="AF39" i="8" s="1"/>
  <c r="AC72" i="8"/>
  <c r="AD72" i="8" s="1"/>
  <c r="AE11" i="8"/>
  <c r="AF11" i="8" s="1"/>
  <c r="AE26" i="8"/>
  <c r="AF26" i="8" s="1"/>
  <c r="AE36" i="8"/>
  <c r="AF36" i="8" s="1"/>
  <c r="AE46" i="8"/>
  <c r="AE28" i="8"/>
  <c r="AF28" i="8" s="1"/>
  <c r="AE20" i="8"/>
  <c r="AF20" i="8" s="1"/>
  <c r="AE18" i="8"/>
  <c r="AF18" i="8" s="1"/>
  <c r="AE49" i="8"/>
  <c r="AF49" i="8" s="1"/>
  <c r="AC51" i="8"/>
  <c r="AE16" i="8"/>
  <c r="AF16" i="8" s="1"/>
  <c r="AE13" i="8"/>
  <c r="AF13" i="8" s="1"/>
  <c r="AE40" i="8"/>
  <c r="AF40" i="8" s="1"/>
  <c r="AF45" i="6"/>
  <c r="AB74" i="5"/>
  <c r="AB75" i="5" s="1"/>
  <c r="AB51" i="5"/>
  <c r="AB52" i="5" s="1"/>
  <c r="AC67" i="5"/>
  <c r="AD67" i="5" s="1"/>
  <c r="AD19" i="5"/>
  <c r="AC70" i="5"/>
  <c r="AD70" i="5" s="1"/>
  <c r="AA74" i="5"/>
  <c r="AD41" i="5"/>
  <c r="AE20" i="5"/>
  <c r="AF20" i="5" s="1"/>
  <c r="AE33" i="5"/>
  <c r="AF33" i="5" s="1"/>
  <c r="AE28" i="5"/>
  <c r="AF28" i="5" s="1"/>
  <c r="AD46" i="5"/>
  <c r="AE16" i="5"/>
  <c r="AF16" i="5" s="1"/>
  <c r="AD20" i="5"/>
  <c r="AE21" i="5"/>
  <c r="AF21" i="5" s="1"/>
  <c r="AE46" i="5"/>
  <c r="AE73" i="5" s="1"/>
  <c r="AF73" i="5" s="1"/>
  <c r="AE58" i="5"/>
  <c r="AC65" i="5"/>
  <c r="AD65" i="5" s="1"/>
  <c r="AC48" i="5"/>
  <c r="AD48" i="5" s="1"/>
  <c r="AC68" i="5"/>
  <c r="AD68" i="5" s="1"/>
  <c r="AE11" i="5"/>
  <c r="AF11" i="5" s="1"/>
  <c r="AE18" i="5"/>
  <c r="AF18" i="5" s="1"/>
  <c r="AE14" i="5"/>
  <c r="AF14" i="5" s="1"/>
  <c r="AC69" i="5"/>
  <c r="AD69" i="5" s="1"/>
  <c r="AC60" i="5"/>
  <c r="AD60" i="5" s="1"/>
  <c r="AE30" i="5"/>
  <c r="AF30" i="5" s="1"/>
  <c r="AE22" i="5"/>
  <c r="AF22" i="5" s="1"/>
  <c r="AE23" i="5"/>
  <c r="AF23" i="5" s="1"/>
  <c r="AE49" i="5"/>
  <c r="AF49" i="5" s="1"/>
  <c r="AE34" i="5"/>
  <c r="AF34" i="5" s="1"/>
  <c r="AE24" i="5"/>
  <c r="AF24" i="5" s="1"/>
  <c r="AE25" i="5"/>
  <c r="AF25" i="5" s="1"/>
  <c r="AE45" i="5"/>
  <c r="AF45" i="5" s="1"/>
  <c r="AE13" i="5"/>
  <c r="AF13" i="5" s="1"/>
  <c r="AE26" i="5"/>
  <c r="AF26" i="5" s="1"/>
  <c r="AE27" i="5"/>
  <c r="AF27" i="5" s="1"/>
  <c r="AE35" i="5"/>
  <c r="AF35" i="5" s="1"/>
  <c r="AE15" i="5"/>
  <c r="AF15" i="5" s="1"/>
  <c r="AE12" i="5"/>
  <c r="AF12" i="5" s="1"/>
  <c r="AE39" i="5"/>
  <c r="AF39" i="5" s="1"/>
  <c r="AC50" i="5"/>
  <c r="AD74" i="5" s="1"/>
  <c r="AE19" i="5"/>
  <c r="AE63" i="5" s="1"/>
  <c r="AF63" i="5" s="1"/>
  <c r="AE32" i="5"/>
  <c r="AF32" i="5" s="1"/>
  <c r="AE37" i="5"/>
  <c r="AF37" i="5" s="1"/>
  <c r="AD43" i="5"/>
  <c r="AD44" i="5"/>
  <c r="AE29" i="5"/>
  <c r="AF29" i="5" s="1"/>
  <c r="AE40" i="5"/>
  <c r="AE44" i="5"/>
  <c r="AC51" i="5"/>
  <c r="AD38" i="5"/>
  <c r="AE36" i="5"/>
  <c r="AF36" i="5" s="1"/>
  <c r="AE17" i="5"/>
  <c r="AF17" i="5" s="1"/>
  <c r="AE43" i="5"/>
  <c r="AE71" i="5" s="1"/>
  <c r="AF71" i="5" s="1"/>
  <c r="AD9" i="5"/>
  <c r="AD21" i="5"/>
  <c r="AC72" i="5"/>
  <c r="AD72" i="5" s="1"/>
  <c r="AG7" i="5" a="1"/>
  <c r="AG7" i="5" s="1"/>
  <c r="AG33" i="5" s="1"/>
  <c r="AH33" i="5" s="1"/>
  <c r="AE9" i="5"/>
  <c r="AF9" i="5" s="1"/>
  <c r="AE41" i="5"/>
  <c r="AF41" i="5" s="1"/>
  <c r="AE42" i="5"/>
  <c r="AE70" i="5" s="1"/>
  <c r="AF70" i="5" s="1"/>
  <c r="AE31" i="5"/>
  <c r="AF31" i="5" s="1"/>
  <c r="AE38" i="5"/>
  <c r="AF38" i="5" s="1"/>
  <c r="AE10" i="5"/>
  <c r="AF10" i="5" s="1"/>
  <c r="AB40" i="1"/>
  <c r="AA67" i="1"/>
  <c r="AB67" i="1" s="1"/>
  <c r="AB20" i="1"/>
  <c r="AA64" i="1"/>
  <c r="AB64" i="1" s="1"/>
  <c r="AA68" i="1"/>
  <c r="AB68" i="1" s="1"/>
  <c r="AA69" i="1"/>
  <c r="AB69" i="1" s="1"/>
  <c r="AA73" i="1"/>
  <c r="AB73" i="1" s="1"/>
  <c r="AB43" i="1"/>
  <c r="Y74" i="1"/>
  <c r="AB38" i="1"/>
  <c r="AA48" i="1"/>
  <c r="AB48" i="1" s="1"/>
  <c r="AA60" i="1"/>
  <c r="AB60" i="1" s="1"/>
  <c r="AC42" i="1"/>
  <c r="AC32" i="1"/>
  <c r="AD32" i="1" s="1"/>
  <c r="AC10" i="1"/>
  <c r="AD10" i="1" s="1"/>
  <c r="AE7" i="1" a="1"/>
  <c r="AE7" i="1" s="1"/>
  <c r="AE28" i="1" s="1"/>
  <c r="AA65" i="1"/>
  <c r="AB65" i="1" s="1"/>
  <c r="AC45" i="1"/>
  <c r="AD45" i="1" s="1"/>
  <c r="AC30" i="1"/>
  <c r="AD30" i="1" s="1"/>
  <c r="AC17" i="1"/>
  <c r="AD17" i="1" s="1"/>
  <c r="AC18" i="1"/>
  <c r="AD18" i="1" s="1"/>
  <c r="AC33" i="1"/>
  <c r="AD33" i="1" s="1"/>
  <c r="AC49" i="1"/>
  <c r="AD49" i="1" s="1"/>
  <c r="AC43" i="1"/>
  <c r="AD43" i="1" s="1"/>
  <c r="AC46" i="1"/>
  <c r="AD46" i="1" s="1"/>
  <c r="AC47" i="1"/>
  <c r="AD47" i="1" s="1"/>
  <c r="AC28" i="1"/>
  <c r="AD28" i="1" s="1"/>
  <c r="AC58" i="1"/>
  <c r="AC36" i="1"/>
  <c r="AD36" i="1" s="1"/>
  <c r="AC13" i="1"/>
  <c r="AD13" i="1" s="1"/>
  <c r="AC25" i="1"/>
  <c r="AD25" i="1" s="1"/>
  <c r="AC41" i="1"/>
  <c r="AD41" i="1" s="1"/>
  <c r="AC37" i="1"/>
  <c r="AC69" i="1" s="1"/>
  <c r="AD69" i="1" s="1"/>
  <c r="AB42" i="1"/>
  <c r="AC38" i="1"/>
  <c r="AC11" i="1"/>
  <c r="AD11" i="1" s="1"/>
  <c r="AC14" i="1"/>
  <c r="AD14" i="1" s="1"/>
  <c r="AC16" i="1"/>
  <c r="AD16" i="1" s="1"/>
  <c r="AC22" i="1"/>
  <c r="AD22" i="1" s="1"/>
  <c r="AA72" i="1"/>
  <c r="AB72" i="1" s="1"/>
  <c r="AC21" i="1"/>
  <c r="AD21" i="1" s="1"/>
  <c r="AC44" i="1"/>
  <c r="AC15" i="1"/>
  <c r="AD15" i="1" s="1"/>
  <c r="Z51" i="1"/>
  <c r="Z52" i="1" s="1"/>
  <c r="AC39" i="1"/>
  <c r="AD39" i="1" s="1"/>
  <c r="AC23" i="1"/>
  <c r="AD23" i="1" s="1"/>
  <c r="AC26" i="1"/>
  <c r="AD26" i="1" s="1"/>
  <c r="AC9" i="1"/>
  <c r="AD9" i="1" s="1"/>
  <c r="Z74" i="1"/>
  <c r="Z75" i="1" s="1"/>
  <c r="AC29" i="1"/>
  <c r="AD29" i="1" s="1"/>
  <c r="AC27" i="1"/>
  <c r="AD27" i="1" s="1"/>
  <c r="AC20" i="1"/>
  <c r="AC31" i="1"/>
  <c r="AD31" i="1" s="1"/>
  <c r="AC34" i="1"/>
  <c r="AD34" i="1" s="1"/>
  <c r="AC12" i="1"/>
  <c r="AD12" i="1" s="1"/>
  <c r="AC40" i="1"/>
  <c r="AC24" i="1"/>
  <c r="AD24" i="1" s="1"/>
  <c r="AC35" i="1"/>
  <c r="AD35" i="1" s="1"/>
  <c r="AD19" i="1"/>
  <c r="AC63" i="1"/>
  <c r="AD63" i="1" s="1"/>
  <c r="AC74" i="6" l="1"/>
  <c r="AE69" i="6"/>
  <c r="AF69" i="6" s="1"/>
  <c r="AE67" i="6"/>
  <c r="AF67" i="6" s="1"/>
  <c r="AE64" i="5"/>
  <c r="AF64" i="5" s="1"/>
  <c r="AD74" i="6"/>
  <c r="AD75" i="6" s="1"/>
  <c r="AD79" i="6" s="1"/>
  <c r="AD50" i="6"/>
  <c r="AD52" i="6" s="1"/>
  <c r="AE71" i="6"/>
  <c r="AF71" i="6" s="1"/>
  <c r="AD42" i="1"/>
  <c r="AC50" i="1"/>
  <c r="AD50" i="1" s="1"/>
  <c r="AC51" i="1"/>
  <c r="AE64" i="6"/>
  <c r="AF64" i="6" s="1"/>
  <c r="AE48" i="6"/>
  <c r="AF48" i="6" s="1"/>
  <c r="AE68" i="6"/>
  <c r="AF68" i="6" s="1"/>
  <c r="AG34" i="6"/>
  <c r="AH34" i="6" s="1"/>
  <c r="AE72" i="6"/>
  <c r="AF72" i="6" s="1"/>
  <c r="AG11" i="6"/>
  <c r="AH11" i="6" s="1"/>
  <c r="AG28" i="6"/>
  <c r="AH28" i="6" s="1"/>
  <c r="AG43" i="6"/>
  <c r="AG71" i="6" s="1"/>
  <c r="AH71" i="6" s="1"/>
  <c r="AG47" i="6"/>
  <c r="AH47" i="6" s="1"/>
  <c r="AG27" i="6"/>
  <c r="AH27" i="6" s="1"/>
  <c r="AG38" i="6"/>
  <c r="AG49" i="6"/>
  <c r="AH49" i="6" s="1"/>
  <c r="AG17" i="6"/>
  <c r="AH17" i="6" s="1"/>
  <c r="AG18" i="6"/>
  <c r="AH18" i="6" s="1"/>
  <c r="AF38" i="6"/>
  <c r="AG16" i="6"/>
  <c r="AH16" i="6" s="1"/>
  <c r="AG15" i="6"/>
  <c r="AH15" i="6" s="1"/>
  <c r="AG10" i="6"/>
  <c r="AH10" i="6" s="1"/>
  <c r="AG46" i="6"/>
  <c r="AH46" i="6" s="1"/>
  <c r="AG31" i="6"/>
  <c r="AH31" i="6" s="1"/>
  <c r="AE60" i="6"/>
  <c r="AF60" i="6" s="1"/>
  <c r="AE73" i="6"/>
  <c r="AF73" i="6" s="1"/>
  <c r="AF42" i="6"/>
  <c r="AF46" i="6"/>
  <c r="AF14" i="6"/>
  <c r="AE50" i="6"/>
  <c r="AF51" i="6" s="1"/>
  <c r="AG12" i="6"/>
  <c r="AH12" i="6" s="1"/>
  <c r="AG22" i="6"/>
  <c r="AH22" i="6" s="1"/>
  <c r="AG29" i="6"/>
  <c r="AH29" i="6" s="1"/>
  <c r="AG58" i="6"/>
  <c r="AE51" i="6"/>
  <c r="AG44" i="6"/>
  <c r="AG72" i="6" s="1"/>
  <c r="AG26" i="6"/>
  <c r="AH26" i="6" s="1"/>
  <c r="AG30" i="6"/>
  <c r="AH30" i="6" s="1"/>
  <c r="AG40" i="6"/>
  <c r="AH40" i="6" s="1"/>
  <c r="AG14" i="6"/>
  <c r="AH14" i="6" s="1"/>
  <c r="AG21" i="6"/>
  <c r="AG32" i="6"/>
  <c r="AH32" i="6" s="1"/>
  <c r="AG23" i="6"/>
  <c r="AH23" i="6" s="1"/>
  <c r="AG25" i="6"/>
  <c r="AH25" i="6" s="1"/>
  <c r="AG33" i="6"/>
  <c r="AH33" i="6" s="1"/>
  <c r="AF51" i="7"/>
  <c r="AF52" i="7" s="1"/>
  <c r="AE65" i="6"/>
  <c r="AF65" i="6" s="1"/>
  <c r="AG41" i="6"/>
  <c r="AH41" i="6" s="1"/>
  <c r="AG20" i="6"/>
  <c r="AG64" i="6" s="1"/>
  <c r="AH64" i="6" s="1"/>
  <c r="AG35" i="6"/>
  <c r="AH35" i="6" s="1"/>
  <c r="AF19" i="6"/>
  <c r="AG19" i="6"/>
  <c r="AG63" i="6" s="1"/>
  <c r="AH63" i="6" s="1"/>
  <c r="AG24" i="6"/>
  <c r="AH24" i="6" s="1"/>
  <c r="AG36" i="6"/>
  <c r="AH36" i="6" s="1"/>
  <c r="AG9" i="6"/>
  <c r="AH9" i="6" s="1"/>
  <c r="AG37" i="6"/>
  <c r="AG69" i="6" s="1"/>
  <c r="AH69" i="6" s="1"/>
  <c r="AG42" i="6"/>
  <c r="AG70" i="6" s="1"/>
  <c r="AH70" i="6" s="1"/>
  <c r="AI7" i="6" a="1"/>
  <c r="AI7" i="6" s="1"/>
  <c r="AI41" i="6" s="1"/>
  <c r="AJ41" i="6" s="1"/>
  <c r="AG13" i="6"/>
  <c r="AH13" i="6" s="1"/>
  <c r="AG39" i="6"/>
  <c r="AH39" i="6" s="1"/>
  <c r="AH37" i="7"/>
  <c r="AF74" i="7"/>
  <c r="AF75" i="7" s="1"/>
  <c r="AG73" i="7"/>
  <c r="AH73" i="7" s="1"/>
  <c r="AE74" i="7"/>
  <c r="AG70" i="7"/>
  <c r="AH70" i="7" s="1"/>
  <c r="AI19" i="7"/>
  <c r="AJ19" i="7" s="1"/>
  <c r="AI12" i="7"/>
  <c r="AJ12" i="7" s="1"/>
  <c r="AI22" i="7"/>
  <c r="AJ22" i="7" s="1"/>
  <c r="AI31" i="7"/>
  <c r="AJ31" i="7" s="1"/>
  <c r="AI10" i="7"/>
  <c r="AJ10" i="7" s="1"/>
  <c r="AI27" i="7"/>
  <c r="AJ27" i="7" s="1"/>
  <c r="AI44" i="7"/>
  <c r="AJ44" i="7" s="1"/>
  <c r="AI43" i="7"/>
  <c r="AJ43" i="7" s="1"/>
  <c r="AI47" i="7"/>
  <c r="AJ47" i="7" s="1"/>
  <c r="AE64" i="8"/>
  <c r="AF64" i="8" s="1"/>
  <c r="AK7" i="7" a="1"/>
  <c r="AK7" i="7" s="1"/>
  <c r="AK44" i="7" s="1"/>
  <c r="AI14" i="7"/>
  <c r="AJ14" i="7" s="1"/>
  <c r="AI20" i="7"/>
  <c r="AI64" i="7" s="1"/>
  <c r="AJ64" i="7" s="1"/>
  <c r="AH43" i="7"/>
  <c r="AE70" i="8"/>
  <c r="AF70" i="8" s="1"/>
  <c r="AB52" i="8"/>
  <c r="AG68" i="7"/>
  <c r="AH68" i="7" s="1"/>
  <c r="AG67" i="7"/>
  <c r="AH67" i="7" s="1"/>
  <c r="AH19" i="7"/>
  <c r="AG60" i="7"/>
  <c r="AH60" i="7" s="1"/>
  <c r="AH20" i="7"/>
  <c r="AI28" i="7"/>
  <c r="AJ28" i="7" s="1"/>
  <c r="AI16" i="7"/>
  <c r="AJ16" i="7" s="1"/>
  <c r="AI46" i="7"/>
  <c r="AI73" i="7" s="1"/>
  <c r="AJ73" i="7" s="1"/>
  <c r="AI42" i="7"/>
  <c r="AI70" i="7" s="1"/>
  <c r="AJ70" i="7" s="1"/>
  <c r="AG50" i="7"/>
  <c r="AH50" i="7" s="1"/>
  <c r="AI36" i="7"/>
  <c r="AJ36" i="7" s="1"/>
  <c r="AI26" i="7"/>
  <c r="AJ26" i="7" s="1"/>
  <c r="AI15" i="7"/>
  <c r="AJ15" i="7" s="1"/>
  <c r="AI58" i="7"/>
  <c r="AG48" i="7"/>
  <c r="AH48" i="7" s="1"/>
  <c r="AI9" i="7"/>
  <c r="AJ9" i="7" s="1"/>
  <c r="AI30" i="7"/>
  <c r="AJ30" i="7" s="1"/>
  <c r="AI34" i="7"/>
  <c r="AJ34" i="7" s="1"/>
  <c r="AI41" i="7"/>
  <c r="AJ41" i="7" s="1"/>
  <c r="AG51" i="7"/>
  <c r="AI17" i="7"/>
  <c r="AJ17" i="7" s="1"/>
  <c r="AI38" i="7"/>
  <c r="AJ38" i="7" s="1"/>
  <c r="AI32" i="7"/>
  <c r="AJ32" i="7" s="1"/>
  <c r="AG72" i="7"/>
  <c r="AI24" i="7"/>
  <c r="AJ24" i="7" s="1"/>
  <c r="AI35" i="7"/>
  <c r="AJ35" i="7" s="1"/>
  <c r="AI39" i="7"/>
  <c r="AJ39" i="7" s="1"/>
  <c r="AI33" i="7"/>
  <c r="AJ33" i="7" s="1"/>
  <c r="AI11" i="7"/>
  <c r="AJ11" i="7" s="1"/>
  <c r="AI40" i="7"/>
  <c r="AJ40" i="7" s="1"/>
  <c r="AG65" i="7"/>
  <c r="AH65" i="7" s="1"/>
  <c r="AI23" i="7"/>
  <c r="AJ23" i="7" s="1"/>
  <c r="AI18" i="7"/>
  <c r="AJ18" i="7" s="1"/>
  <c r="AI49" i="7"/>
  <c r="AJ49" i="7" s="1"/>
  <c r="AI45" i="7"/>
  <c r="AJ45" i="7" s="1"/>
  <c r="AI29" i="7"/>
  <c r="AJ29" i="7" s="1"/>
  <c r="AI21" i="7"/>
  <c r="AJ21" i="7" s="1"/>
  <c r="AI13" i="7"/>
  <c r="AJ13" i="7" s="1"/>
  <c r="AI25" i="7"/>
  <c r="AJ25" i="7" s="1"/>
  <c r="AD51" i="8"/>
  <c r="AD52" i="8" s="1"/>
  <c r="AF37" i="8"/>
  <c r="AE51" i="8"/>
  <c r="AF43" i="8"/>
  <c r="AE68" i="8"/>
  <c r="AF68" i="8" s="1"/>
  <c r="AG9" i="8"/>
  <c r="AH9" i="8" s="1"/>
  <c r="AE63" i="8"/>
  <c r="AF63" i="8" s="1"/>
  <c r="AG29" i="8"/>
  <c r="AH29" i="8" s="1"/>
  <c r="AE50" i="8"/>
  <c r="AF50" i="8" s="1"/>
  <c r="AF44" i="8"/>
  <c r="AE73" i="8"/>
  <c r="AF73" i="8" s="1"/>
  <c r="AF46" i="8"/>
  <c r="AG35" i="8"/>
  <c r="AH35" i="8" s="1"/>
  <c r="AG37" i="8"/>
  <c r="AH37" i="8" s="1"/>
  <c r="AG44" i="8"/>
  <c r="AG72" i="8" s="1"/>
  <c r="AG39" i="8"/>
  <c r="AH39" i="8" s="1"/>
  <c r="AC74" i="8"/>
  <c r="AG17" i="8"/>
  <c r="AH17" i="8" s="1"/>
  <c r="AG16" i="8"/>
  <c r="AH16" i="8" s="1"/>
  <c r="AG23" i="8"/>
  <c r="AH23" i="8" s="1"/>
  <c r="AD74" i="8"/>
  <c r="AD75" i="8" s="1"/>
  <c r="AD79" i="8" s="1"/>
  <c r="AE67" i="8"/>
  <c r="AF67" i="8" s="1"/>
  <c r="AG28" i="8"/>
  <c r="AH28" i="8" s="1"/>
  <c r="AG15" i="8"/>
  <c r="AH15" i="8" s="1"/>
  <c r="AG30" i="8"/>
  <c r="AH30" i="8" s="1"/>
  <c r="AG43" i="8"/>
  <c r="AG71" i="8" s="1"/>
  <c r="AH71" i="8" s="1"/>
  <c r="AG14" i="8"/>
  <c r="AH14" i="8" s="1"/>
  <c r="AG31" i="8"/>
  <c r="AH31" i="8" s="1"/>
  <c r="AG42" i="8"/>
  <c r="AG70" i="8" s="1"/>
  <c r="AH70" i="8" s="1"/>
  <c r="AE60" i="8"/>
  <c r="AF60" i="8" s="1"/>
  <c r="AI7" i="8" a="1"/>
  <c r="AI7" i="8" s="1"/>
  <c r="AI43" i="8" s="1"/>
  <c r="AG20" i="8"/>
  <c r="AG64" i="8" s="1"/>
  <c r="AH64" i="8" s="1"/>
  <c r="AG32" i="8"/>
  <c r="AH32" i="8" s="1"/>
  <c r="AG47" i="8"/>
  <c r="AH47" i="8" s="1"/>
  <c r="AG13" i="8"/>
  <c r="AH13" i="8" s="1"/>
  <c r="AG21" i="8"/>
  <c r="AH21" i="8" s="1"/>
  <c r="AG33" i="8"/>
  <c r="AH33" i="8" s="1"/>
  <c r="AG58" i="8"/>
  <c r="AG12" i="8"/>
  <c r="AH12" i="8" s="1"/>
  <c r="AG22" i="8"/>
  <c r="AH22" i="8" s="1"/>
  <c r="AG34" i="8"/>
  <c r="AH34" i="8" s="1"/>
  <c r="AG41" i="8"/>
  <c r="AH41" i="8" s="1"/>
  <c r="AE65" i="8"/>
  <c r="AF65" i="8" s="1"/>
  <c r="AG19" i="8"/>
  <c r="AG63" i="8" s="1"/>
  <c r="AH63" i="8" s="1"/>
  <c r="AG24" i="8"/>
  <c r="AH24" i="8" s="1"/>
  <c r="AG36" i="8"/>
  <c r="AH36" i="8" s="1"/>
  <c r="AG46" i="8"/>
  <c r="AH46" i="8" s="1"/>
  <c r="AG11" i="8"/>
  <c r="AH11" i="8" s="1"/>
  <c r="AG25" i="8"/>
  <c r="AH25" i="8" s="1"/>
  <c r="AG18" i="8"/>
  <c r="AH18" i="8" s="1"/>
  <c r="AG49" i="8"/>
  <c r="AH49" i="8" s="1"/>
  <c r="AE48" i="8"/>
  <c r="AF48" i="8" s="1"/>
  <c r="AG40" i="8"/>
  <c r="AG26" i="8"/>
  <c r="AH26" i="8" s="1"/>
  <c r="AG38" i="8"/>
  <c r="AG10" i="8"/>
  <c r="AG27" i="8"/>
  <c r="AH27" i="8" s="1"/>
  <c r="AE72" i="5"/>
  <c r="AF72" i="5" s="1"/>
  <c r="AF72" i="8"/>
  <c r="AH45" i="8"/>
  <c r="AI69" i="7"/>
  <c r="AJ69" i="7" s="1"/>
  <c r="AJ37" i="7"/>
  <c r="AE68" i="5"/>
  <c r="AF68" i="5" s="1"/>
  <c r="AE60" i="5"/>
  <c r="AF60" i="5" s="1"/>
  <c r="AD50" i="5"/>
  <c r="AD51" i="5"/>
  <c r="AF46" i="5"/>
  <c r="AF43" i="5"/>
  <c r="AE69" i="5"/>
  <c r="AF69" i="5" s="1"/>
  <c r="AF19" i="5"/>
  <c r="AE67" i="5"/>
  <c r="AF67" i="5" s="1"/>
  <c r="AF42" i="5"/>
  <c r="AG21" i="5"/>
  <c r="AH21" i="5" s="1"/>
  <c r="AG13" i="5"/>
  <c r="AH13" i="5" s="1"/>
  <c r="AG19" i="5"/>
  <c r="AH19" i="5" s="1"/>
  <c r="AG41" i="5"/>
  <c r="AH41" i="5" s="1"/>
  <c r="AG12" i="5"/>
  <c r="AH12" i="5" s="1"/>
  <c r="AG20" i="5"/>
  <c r="AG64" i="5" s="1"/>
  <c r="AH64" i="5" s="1"/>
  <c r="AG42" i="5"/>
  <c r="AH42" i="5" s="1"/>
  <c r="AG30" i="5"/>
  <c r="AH30" i="5" s="1"/>
  <c r="AG24" i="5"/>
  <c r="AH24" i="5" s="1"/>
  <c r="AG45" i="5"/>
  <c r="AH45" i="5" s="1"/>
  <c r="AE50" i="5"/>
  <c r="AF50" i="5" s="1"/>
  <c r="AI7" i="5" a="1"/>
  <c r="AI7" i="5" s="1"/>
  <c r="AI33" i="5" s="1"/>
  <c r="AG23" i="5"/>
  <c r="AH23" i="5" s="1"/>
  <c r="AG26" i="5"/>
  <c r="AH26" i="5" s="1"/>
  <c r="AG44" i="5"/>
  <c r="AE48" i="5"/>
  <c r="AF48" i="5" s="1"/>
  <c r="AE65" i="5"/>
  <c r="AF65" i="5" s="1"/>
  <c r="AG32" i="5"/>
  <c r="AH32" i="5" s="1"/>
  <c r="AG43" i="5"/>
  <c r="AH43" i="5" s="1"/>
  <c r="AF44" i="5"/>
  <c r="AG39" i="5"/>
  <c r="AH39" i="5" s="1"/>
  <c r="AG22" i="5"/>
  <c r="AH22" i="5" s="1"/>
  <c r="AG15" i="5"/>
  <c r="AH15" i="5" s="1"/>
  <c r="AG14" i="5"/>
  <c r="AH14" i="5" s="1"/>
  <c r="AG35" i="5"/>
  <c r="AH35" i="5" s="1"/>
  <c r="AG47" i="5"/>
  <c r="AH47" i="5" s="1"/>
  <c r="AE51" i="5"/>
  <c r="AG37" i="5"/>
  <c r="AG69" i="5" s="1"/>
  <c r="AH69" i="5" s="1"/>
  <c r="AG28" i="5"/>
  <c r="AH28" i="5" s="1"/>
  <c r="AG25" i="5"/>
  <c r="AH25" i="5" s="1"/>
  <c r="AG29" i="5"/>
  <c r="AH29" i="5" s="1"/>
  <c r="AG18" i="5"/>
  <c r="AH18" i="5" s="1"/>
  <c r="AG58" i="5"/>
  <c r="AG34" i="5"/>
  <c r="AH34" i="5" s="1"/>
  <c r="AG27" i="5"/>
  <c r="AH27" i="5" s="1"/>
  <c r="AC74" i="5"/>
  <c r="AG10" i="5"/>
  <c r="AH10" i="5" s="1"/>
  <c r="AG36" i="5"/>
  <c r="AH36" i="5" s="1"/>
  <c r="AG40" i="5"/>
  <c r="AG46" i="5"/>
  <c r="AG73" i="5" s="1"/>
  <c r="AH73" i="5" s="1"/>
  <c r="AF40" i="5"/>
  <c r="AG17" i="5"/>
  <c r="AH17" i="5" s="1"/>
  <c r="AG38" i="5"/>
  <c r="AH38" i="5" s="1"/>
  <c r="AG11" i="5"/>
  <c r="AH11" i="5" s="1"/>
  <c r="AG49" i="5"/>
  <c r="AH49" i="5" s="1"/>
  <c r="AG16" i="5"/>
  <c r="AH16" i="5" s="1"/>
  <c r="AG31" i="5"/>
  <c r="AH31" i="5" s="1"/>
  <c r="AG9" i="5"/>
  <c r="AD75" i="5"/>
  <c r="AD40" i="1"/>
  <c r="AC67" i="1"/>
  <c r="AD67" i="1" s="1"/>
  <c r="AD20" i="1"/>
  <c r="AC64" i="1"/>
  <c r="AD64" i="1" s="1"/>
  <c r="AD38" i="1"/>
  <c r="AC68" i="1"/>
  <c r="AD68" i="1" s="1"/>
  <c r="AC70" i="1"/>
  <c r="AD70" i="1" s="1"/>
  <c r="AC73" i="1"/>
  <c r="AD73" i="1" s="1"/>
  <c r="AC48" i="1"/>
  <c r="AD48" i="1" s="1"/>
  <c r="AD37" i="1"/>
  <c r="AC72" i="1"/>
  <c r="AD72" i="1" s="1"/>
  <c r="AD44" i="1"/>
  <c r="AG7" i="1" a="1"/>
  <c r="AG7" i="1" s="1"/>
  <c r="AG15" i="1" s="1"/>
  <c r="AH15" i="1" s="1"/>
  <c r="AB51" i="1"/>
  <c r="AB52" i="1" s="1"/>
  <c r="AE36" i="1"/>
  <c r="AF36" i="1" s="1"/>
  <c r="AC60" i="1"/>
  <c r="AD60" i="1" s="1"/>
  <c r="AE29" i="1"/>
  <c r="AF29" i="1" s="1"/>
  <c r="AE33" i="1"/>
  <c r="AF33" i="1" s="1"/>
  <c r="AE38" i="1"/>
  <c r="AE47" i="1"/>
  <c r="AF47" i="1" s="1"/>
  <c r="AE11" i="1"/>
  <c r="AF11" i="1" s="1"/>
  <c r="AC65" i="1"/>
  <c r="AD65" i="1" s="1"/>
  <c r="AE25" i="1"/>
  <c r="AF25" i="1" s="1"/>
  <c r="AE49" i="1"/>
  <c r="AF49" i="1" s="1"/>
  <c r="AE30" i="1"/>
  <c r="AF30" i="1" s="1"/>
  <c r="AE46" i="1"/>
  <c r="AE73" i="1" s="1"/>
  <c r="AF73" i="1" s="1"/>
  <c r="AE34" i="1"/>
  <c r="AF34" i="1" s="1"/>
  <c r="AE40" i="1"/>
  <c r="AE21" i="1"/>
  <c r="AF21" i="1" s="1"/>
  <c r="AE45" i="1"/>
  <c r="AF45" i="1" s="1"/>
  <c r="AE15" i="1"/>
  <c r="AF15" i="1" s="1"/>
  <c r="AE12" i="1"/>
  <c r="AF12" i="1" s="1"/>
  <c r="AB74" i="1"/>
  <c r="AB75" i="1" s="1"/>
  <c r="AE9" i="1"/>
  <c r="AF9" i="1" s="1"/>
  <c r="AE13" i="1"/>
  <c r="AF13" i="1" s="1"/>
  <c r="AE42" i="1"/>
  <c r="AC71" i="1"/>
  <c r="AD71" i="1" s="1"/>
  <c r="AE22" i="1"/>
  <c r="AF22" i="1" s="1"/>
  <c r="AE23" i="1"/>
  <c r="AF23" i="1" s="1"/>
  <c r="AE17" i="1"/>
  <c r="AF17" i="1" s="1"/>
  <c r="AE31" i="1"/>
  <c r="AF31" i="1" s="1"/>
  <c r="AE10" i="1"/>
  <c r="AF10" i="1" s="1"/>
  <c r="AE37" i="1"/>
  <c r="AE69" i="1" s="1"/>
  <c r="AF69" i="1" s="1"/>
  <c r="AE43" i="1"/>
  <c r="AE71" i="1" s="1"/>
  <c r="AF71" i="1" s="1"/>
  <c r="AE20" i="1"/>
  <c r="AE16" i="1"/>
  <c r="AF16" i="1" s="1"/>
  <c r="AE27" i="1"/>
  <c r="AF27" i="1" s="1"/>
  <c r="AE24" i="1"/>
  <c r="AF24" i="1" s="1"/>
  <c r="AE58" i="1"/>
  <c r="AE39" i="1"/>
  <c r="AF39" i="1" s="1"/>
  <c r="AE26" i="1"/>
  <c r="AF26" i="1" s="1"/>
  <c r="AE35" i="1"/>
  <c r="AF35" i="1" s="1"/>
  <c r="AE41" i="1"/>
  <c r="AF41" i="1" s="1"/>
  <c r="AE19" i="1"/>
  <c r="AA74" i="1"/>
  <c r="AE18" i="1"/>
  <c r="AF18" i="1" s="1"/>
  <c r="AE14" i="1"/>
  <c r="AF14" i="1" s="1"/>
  <c r="AE44" i="1"/>
  <c r="AE32" i="1"/>
  <c r="AF32" i="1" s="1"/>
  <c r="AF28" i="1"/>
  <c r="AG73" i="6" l="1"/>
  <c r="AH73" i="6" s="1"/>
  <c r="AE70" i="1"/>
  <c r="AF70" i="1" s="1"/>
  <c r="AE50" i="1"/>
  <c r="AF50" i="1" s="1"/>
  <c r="AE51" i="1"/>
  <c r="AF44" i="1"/>
  <c r="AG67" i="6"/>
  <c r="AH67" i="6" s="1"/>
  <c r="AI49" i="6"/>
  <c r="AJ49" i="6" s="1"/>
  <c r="AH43" i="6"/>
  <c r="AG68" i="6"/>
  <c r="AH68" i="6" s="1"/>
  <c r="AH19" i="6"/>
  <c r="AH38" i="6"/>
  <c r="AF74" i="6"/>
  <c r="AF75" i="6" s="1"/>
  <c r="AF79" i="6" s="1"/>
  <c r="AF50" i="6"/>
  <c r="AF52" i="6" s="1"/>
  <c r="AI63" i="7"/>
  <c r="AJ63" i="7" s="1"/>
  <c r="AH37" i="6"/>
  <c r="AG67" i="8"/>
  <c r="AH67" i="8" s="1"/>
  <c r="AI11" i="6"/>
  <c r="AJ11" i="6" s="1"/>
  <c r="AI36" i="6"/>
  <c r="AJ36" i="6" s="1"/>
  <c r="AI18" i="6"/>
  <c r="AJ18" i="6" s="1"/>
  <c r="AI24" i="6"/>
  <c r="AJ24" i="6" s="1"/>
  <c r="AI29" i="6"/>
  <c r="AJ29" i="6" s="1"/>
  <c r="AI25" i="6"/>
  <c r="AJ25" i="6" s="1"/>
  <c r="AI46" i="6"/>
  <c r="AI73" i="6" s="1"/>
  <c r="AJ73" i="6" s="1"/>
  <c r="AI9" i="6"/>
  <c r="AJ9" i="6" s="1"/>
  <c r="AI44" i="6"/>
  <c r="AJ44" i="6" s="1"/>
  <c r="AI20" i="6"/>
  <c r="AI64" i="6" s="1"/>
  <c r="AJ64" i="6" s="1"/>
  <c r="AI42" i="6"/>
  <c r="AJ42" i="6" s="1"/>
  <c r="AH20" i="6"/>
  <c r="AI17" i="6"/>
  <c r="AJ17" i="6" s="1"/>
  <c r="AI22" i="6"/>
  <c r="AJ22" i="6" s="1"/>
  <c r="AE74" i="6"/>
  <c r="AI10" i="6"/>
  <c r="AJ10" i="6" s="1"/>
  <c r="AI26" i="6"/>
  <c r="AJ26" i="6" s="1"/>
  <c r="AG65" i="6"/>
  <c r="AH65" i="6" s="1"/>
  <c r="AI13" i="6"/>
  <c r="AJ13" i="6" s="1"/>
  <c r="AI40" i="6"/>
  <c r="AI67" i="6" s="1"/>
  <c r="AJ67" i="6" s="1"/>
  <c r="AH42" i="6"/>
  <c r="AG50" i="6"/>
  <c r="AH50" i="6" s="1"/>
  <c r="AH44" i="6"/>
  <c r="AG48" i="6"/>
  <c r="AH48" i="6" s="1"/>
  <c r="AG51" i="6"/>
  <c r="AG60" i="6"/>
  <c r="AH60" i="6" s="1"/>
  <c r="AI28" i="6"/>
  <c r="AJ28" i="6" s="1"/>
  <c r="AI35" i="6"/>
  <c r="AJ35" i="6" s="1"/>
  <c r="AI39" i="6"/>
  <c r="AJ39" i="6" s="1"/>
  <c r="AI47" i="6"/>
  <c r="AJ47" i="6" s="1"/>
  <c r="AI30" i="6"/>
  <c r="AJ30" i="6" s="1"/>
  <c r="AI38" i="6"/>
  <c r="AJ38" i="6" s="1"/>
  <c r="AI45" i="6"/>
  <c r="AJ45" i="6" s="1"/>
  <c r="AI58" i="6"/>
  <c r="AI32" i="6"/>
  <c r="AJ32" i="6" s="1"/>
  <c r="AI23" i="6"/>
  <c r="AJ23" i="6" s="1"/>
  <c r="AI16" i="6"/>
  <c r="AJ16" i="6" s="1"/>
  <c r="AI14" i="6"/>
  <c r="AI27" i="6"/>
  <c r="AJ27" i="6" s="1"/>
  <c r="AI21" i="6"/>
  <c r="AJ21" i="6" s="1"/>
  <c r="AI12" i="6"/>
  <c r="AJ12" i="6" s="1"/>
  <c r="AI43" i="6"/>
  <c r="AJ43" i="6" s="1"/>
  <c r="AI34" i="6"/>
  <c r="AJ34" i="6" s="1"/>
  <c r="AG74" i="7"/>
  <c r="AH21" i="6"/>
  <c r="AI15" i="6"/>
  <c r="AJ15" i="6" s="1"/>
  <c r="AI31" i="6"/>
  <c r="AJ31" i="6" s="1"/>
  <c r="AI37" i="6"/>
  <c r="AJ37" i="6" s="1"/>
  <c r="AK7" i="6" a="1"/>
  <c r="AK7" i="6" s="1"/>
  <c r="AK43" i="6" s="1"/>
  <c r="AI19" i="6"/>
  <c r="AI63" i="6" s="1"/>
  <c r="AJ63" i="6" s="1"/>
  <c r="AI33" i="6"/>
  <c r="AJ33" i="6" s="1"/>
  <c r="AI72" i="7"/>
  <c r="AJ72" i="7" s="1"/>
  <c r="AI71" i="7"/>
  <c r="AJ71" i="7" s="1"/>
  <c r="AK33" i="7"/>
  <c r="AL33" i="7" s="1"/>
  <c r="AK29" i="7"/>
  <c r="AL29" i="7" s="1"/>
  <c r="AK25" i="7"/>
  <c r="AL25" i="7" s="1"/>
  <c r="AK43" i="7"/>
  <c r="AL43" i="7" s="1"/>
  <c r="AI67" i="7"/>
  <c r="AJ67" i="7" s="1"/>
  <c r="AK10" i="7"/>
  <c r="AL10" i="7" s="1"/>
  <c r="AK13" i="7"/>
  <c r="AL13" i="7" s="1"/>
  <c r="AK27" i="7"/>
  <c r="AL27" i="7" s="1"/>
  <c r="AK58" i="7"/>
  <c r="AK31" i="7"/>
  <c r="AL31" i="7" s="1"/>
  <c r="AK17" i="7"/>
  <c r="AL17" i="7" s="1"/>
  <c r="AK12" i="7"/>
  <c r="AL12" i="7" s="1"/>
  <c r="AK39" i="7"/>
  <c r="AL39" i="7" s="1"/>
  <c r="AK47" i="7"/>
  <c r="AL47" i="7" s="1"/>
  <c r="AK41" i="7"/>
  <c r="AL41" i="7" s="1"/>
  <c r="AK20" i="7"/>
  <c r="AL20" i="7" s="1"/>
  <c r="AK16" i="7"/>
  <c r="AL16" i="7" s="1"/>
  <c r="AK37" i="7"/>
  <c r="AL37" i="7" s="1"/>
  <c r="AK28" i="7"/>
  <c r="AL28" i="7" s="1"/>
  <c r="AK9" i="7"/>
  <c r="AL9" i="7" s="1"/>
  <c r="AK22" i="7"/>
  <c r="AL22" i="7" s="1"/>
  <c r="AK19" i="7"/>
  <c r="AK63" i="7" s="1"/>
  <c r="AL63" i="7" s="1"/>
  <c r="AK42" i="7"/>
  <c r="AK70" i="7" s="1"/>
  <c r="AL70" i="7" s="1"/>
  <c r="AK34" i="7"/>
  <c r="AL34" i="7" s="1"/>
  <c r="AK26" i="7"/>
  <c r="AL26" i="7" s="1"/>
  <c r="AK40" i="7"/>
  <c r="AK15" i="7"/>
  <c r="AL15" i="7" s="1"/>
  <c r="AK30" i="7"/>
  <c r="AL30" i="7" s="1"/>
  <c r="AK46" i="7"/>
  <c r="AJ20" i="7"/>
  <c r="AK32" i="7"/>
  <c r="AL32" i="7" s="1"/>
  <c r="AK18" i="7"/>
  <c r="AL18" i="7" s="1"/>
  <c r="AK49" i="7"/>
  <c r="AL49" i="7" s="1"/>
  <c r="AK14" i="7"/>
  <c r="AL14" i="7" s="1"/>
  <c r="AK35" i="7"/>
  <c r="AL35" i="7" s="1"/>
  <c r="AK38" i="7"/>
  <c r="AM7" i="7" a="1"/>
  <c r="AM7" i="7" s="1"/>
  <c r="AM58" i="7" s="1"/>
  <c r="AK36" i="7"/>
  <c r="AL36" i="7" s="1"/>
  <c r="AK11" i="7"/>
  <c r="AL11" i="7" s="1"/>
  <c r="AK45" i="7"/>
  <c r="AL45" i="7" s="1"/>
  <c r="AK24" i="7"/>
  <c r="AL24" i="7" s="1"/>
  <c r="AK23" i="7"/>
  <c r="AL23" i="7" s="1"/>
  <c r="AK21" i="7"/>
  <c r="AL21" i="7" s="1"/>
  <c r="AI50" i="7"/>
  <c r="AJ51" i="7" s="1"/>
  <c r="AI48" i="7"/>
  <c r="AJ48" i="7" s="1"/>
  <c r="AJ46" i="7"/>
  <c r="AI51" i="7"/>
  <c r="AJ42" i="7"/>
  <c r="AH74" i="7"/>
  <c r="AH51" i="7"/>
  <c r="AH52" i="7" s="1"/>
  <c r="AI68" i="7"/>
  <c r="AJ68" i="7" s="1"/>
  <c r="AI65" i="7"/>
  <c r="AJ65" i="7" s="1"/>
  <c r="AH72" i="7"/>
  <c r="AI60" i="7"/>
  <c r="AJ60" i="7" s="1"/>
  <c r="AH40" i="8"/>
  <c r="AF74" i="8"/>
  <c r="AF75" i="8" s="1"/>
  <c r="AF79" i="8" s="1"/>
  <c r="AH42" i="8"/>
  <c r="AF51" i="8"/>
  <c r="AF52" i="8" s="1"/>
  <c r="AG73" i="8"/>
  <c r="AH73" i="8" s="1"/>
  <c r="AE74" i="5"/>
  <c r="AH19" i="8"/>
  <c r="AH43" i="8"/>
  <c r="AG50" i="8"/>
  <c r="AH51" i="8" s="1"/>
  <c r="AH44" i="8"/>
  <c r="AG48" i="8"/>
  <c r="AH48" i="8" s="1"/>
  <c r="AG51" i="8"/>
  <c r="AE74" i="8"/>
  <c r="AG69" i="8"/>
  <c r="AH69" i="8" s="1"/>
  <c r="AG60" i="8"/>
  <c r="AH60" i="8" s="1"/>
  <c r="AG68" i="8"/>
  <c r="AH68" i="8" s="1"/>
  <c r="AH10" i="8"/>
  <c r="AI11" i="8"/>
  <c r="AJ11" i="8" s="1"/>
  <c r="AI25" i="8"/>
  <c r="AJ25" i="8" s="1"/>
  <c r="AG71" i="5"/>
  <c r="AH71" i="5" s="1"/>
  <c r="AI39" i="8"/>
  <c r="AJ39" i="8" s="1"/>
  <c r="AI13" i="8"/>
  <c r="AJ13" i="8" s="1"/>
  <c r="AI21" i="8"/>
  <c r="AJ21" i="8" s="1"/>
  <c r="AI33" i="8"/>
  <c r="AJ33" i="8" s="1"/>
  <c r="AI42" i="8"/>
  <c r="AI70" i="8" s="1"/>
  <c r="AJ70" i="8" s="1"/>
  <c r="AI19" i="8"/>
  <c r="AI63" i="8" s="1"/>
  <c r="AJ63" i="8" s="1"/>
  <c r="AI22" i="8"/>
  <c r="AJ22" i="8" s="1"/>
  <c r="AI34" i="8"/>
  <c r="AJ34" i="8" s="1"/>
  <c r="AI47" i="8"/>
  <c r="AJ47" i="8" s="1"/>
  <c r="AI17" i="8"/>
  <c r="AJ17" i="8" s="1"/>
  <c r="AI23" i="8"/>
  <c r="AJ23" i="8" s="1"/>
  <c r="AI35" i="8"/>
  <c r="AJ35" i="8" s="1"/>
  <c r="AI58" i="8"/>
  <c r="AG65" i="8"/>
  <c r="AH65" i="8" s="1"/>
  <c r="AI12" i="8"/>
  <c r="AJ12" i="8" s="1"/>
  <c r="AI24" i="8"/>
  <c r="AJ24" i="8" s="1"/>
  <c r="AI36" i="8"/>
  <c r="AJ36" i="8" s="1"/>
  <c r="AI41" i="8"/>
  <c r="AJ41" i="8" s="1"/>
  <c r="AI40" i="8"/>
  <c r="AI26" i="8"/>
  <c r="AJ26" i="8" s="1"/>
  <c r="AI46" i="8"/>
  <c r="AJ46" i="8" s="1"/>
  <c r="AI10" i="8"/>
  <c r="AJ10" i="8" s="1"/>
  <c r="AI27" i="8"/>
  <c r="AJ27" i="8" s="1"/>
  <c r="AI49" i="8"/>
  <c r="AJ49" i="8" s="1"/>
  <c r="AH38" i="8"/>
  <c r="AI16" i="8"/>
  <c r="AJ16" i="8" s="1"/>
  <c r="AI28" i="8"/>
  <c r="AJ28" i="8" s="1"/>
  <c r="AI38" i="8"/>
  <c r="AH20" i="8"/>
  <c r="AI18" i="8"/>
  <c r="AJ18" i="8" s="1"/>
  <c r="AI29" i="8"/>
  <c r="AJ29" i="8" s="1"/>
  <c r="AI45" i="8"/>
  <c r="AJ45" i="8" s="1"/>
  <c r="AI9" i="8"/>
  <c r="AJ9" i="8" s="1"/>
  <c r="AI30" i="8"/>
  <c r="AJ30" i="8" s="1"/>
  <c r="AI37" i="8"/>
  <c r="AJ37" i="8" s="1"/>
  <c r="AK7" i="8" a="1"/>
  <c r="AK7" i="8" s="1"/>
  <c r="AK37" i="8" s="1"/>
  <c r="AI15" i="8"/>
  <c r="AJ15" i="8" s="1"/>
  <c r="AI31" i="8"/>
  <c r="AJ31" i="8" s="1"/>
  <c r="AI44" i="8"/>
  <c r="AJ44" i="8" s="1"/>
  <c r="AI14" i="8"/>
  <c r="AJ14" i="8" s="1"/>
  <c r="AI20" i="8"/>
  <c r="AI64" i="8" s="1"/>
  <c r="AJ64" i="8" s="1"/>
  <c r="AI32" i="8"/>
  <c r="AJ32" i="8" s="1"/>
  <c r="AD52" i="5"/>
  <c r="AG67" i="5"/>
  <c r="AH67" i="5" s="1"/>
  <c r="AH72" i="8"/>
  <c r="AI71" i="8"/>
  <c r="AJ71" i="8" s="1"/>
  <c r="AJ43" i="8"/>
  <c r="AL44" i="7"/>
  <c r="AH72" i="6"/>
  <c r="AG70" i="5"/>
  <c r="AH70" i="5" s="1"/>
  <c r="AG51" i="5"/>
  <c r="AG48" i="5"/>
  <c r="AH48" i="5" s="1"/>
  <c r="AG72" i="5"/>
  <c r="AH72" i="5" s="1"/>
  <c r="AG63" i="5"/>
  <c r="AH63" i="5" s="1"/>
  <c r="AG68" i="5"/>
  <c r="AH68" i="5" s="1"/>
  <c r="AH40" i="5"/>
  <c r="AH44" i="5"/>
  <c r="AH20" i="5"/>
  <c r="AI11" i="5"/>
  <c r="AJ11" i="5" s="1"/>
  <c r="AI40" i="5"/>
  <c r="AJ40" i="5" s="1"/>
  <c r="AI14" i="5"/>
  <c r="AJ14" i="5" s="1"/>
  <c r="AI34" i="5"/>
  <c r="AJ34" i="5" s="1"/>
  <c r="AI38" i="5"/>
  <c r="AJ38" i="5" s="1"/>
  <c r="AI39" i="5"/>
  <c r="AJ39" i="5" s="1"/>
  <c r="AH46" i="5"/>
  <c r="AG60" i="5"/>
  <c r="AH60" i="5" s="1"/>
  <c r="AH37" i="5"/>
  <c r="AI27" i="5"/>
  <c r="AJ27" i="5" s="1"/>
  <c r="AI31" i="5"/>
  <c r="AJ31" i="5" s="1"/>
  <c r="AI46" i="5"/>
  <c r="AJ46" i="5" s="1"/>
  <c r="AK7" i="5" a="1"/>
  <c r="AK7" i="5" s="1"/>
  <c r="AK45" i="5" s="1"/>
  <c r="AL45" i="5" s="1"/>
  <c r="AI30" i="5"/>
  <c r="AJ30" i="5" s="1"/>
  <c r="AI20" i="5"/>
  <c r="AI64" i="5" s="1"/>
  <c r="AJ64" i="5" s="1"/>
  <c r="AI49" i="5"/>
  <c r="AJ49" i="5" s="1"/>
  <c r="AF74" i="5"/>
  <c r="AF75" i="5" s="1"/>
  <c r="AI15" i="5"/>
  <c r="AJ15" i="5" s="1"/>
  <c r="AI13" i="5"/>
  <c r="AJ13" i="5" s="1"/>
  <c r="AI22" i="5"/>
  <c r="AJ22" i="5" s="1"/>
  <c r="AI45" i="5"/>
  <c r="AF51" i="5"/>
  <c r="AF52" i="5" s="1"/>
  <c r="AI9" i="5"/>
  <c r="AJ9" i="5" s="1"/>
  <c r="AI23" i="5"/>
  <c r="AJ23" i="5" s="1"/>
  <c r="AI24" i="5"/>
  <c r="AJ24" i="5" s="1"/>
  <c r="AI44" i="5"/>
  <c r="AI25" i="5"/>
  <c r="AJ25" i="5" s="1"/>
  <c r="AI32" i="5"/>
  <c r="AJ32" i="5" s="1"/>
  <c r="AI26" i="5"/>
  <c r="AJ26" i="5" s="1"/>
  <c r="AI47" i="5"/>
  <c r="AJ47" i="5" s="1"/>
  <c r="AI16" i="5"/>
  <c r="AJ16" i="5" s="1"/>
  <c r="AI58" i="5"/>
  <c r="AI17" i="5"/>
  <c r="AJ17" i="5" s="1"/>
  <c r="AI29" i="5"/>
  <c r="AJ29" i="5" s="1"/>
  <c r="AI12" i="5"/>
  <c r="AJ12" i="5" s="1"/>
  <c r="AI41" i="5"/>
  <c r="AJ41" i="5" s="1"/>
  <c r="AI42" i="5"/>
  <c r="AJ42" i="5" s="1"/>
  <c r="AI10" i="5"/>
  <c r="AJ10" i="5" s="1"/>
  <c r="AI36" i="5"/>
  <c r="AJ36" i="5" s="1"/>
  <c r="AI43" i="5"/>
  <c r="AI71" i="5" s="1"/>
  <c r="AJ71" i="5" s="1"/>
  <c r="AG65" i="5"/>
  <c r="AH65" i="5" s="1"/>
  <c r="AG50" i="5"/>
  <c r="AH51" i="5" s="1"/>
  <c r="AI18" i="5"/>
  <c r="AJ18" i="5" s="1"/>
  <c r="AI37" i="5"/>
  <c r="AJ37" i="5" s="1"/>
  <c r="AI35" i="5"/>
  <c r="AJ35" i="5" s="1"/>
  <c r="AH9" i="5"/>
  <c r="AI28" i="5"/>
  <c r="AJ28" i="5" s="1"/>
  <c r="AI21" i="5"/>
  <c r="AJ21" i="5" s="1"/>
  <c r="AI19" i="5"/>
  <c r="AI63" i="5" s="1"/>
  <c r="AJ63" i="5" s="1"/>
  <c r="AF40" i="1"/>
  <c r="AE67" i="1"/>
  <c r="AF67" i="1" s="1"/>
  <c r="AF20" i="1"/>
  <c r="AE64" i="1"/>
  <c r="AF64" i="1" s="1"/>
  <c r="AJ33" i="5"/>
  <c r="AE68" i="1"/>
  <c r="AF68" i="1" s="1"/>
  <c r="AE72" i="1"/>
  <c r="AF72" i="1" s="1"/>
  <c r="AC74" i="1"/>
  <c r="AD74" i="1"/>
  <c r="AD75" i="1" s="1"/>
  <c r="AD51" i="1"/>
  <c r="AD52" i="1" s="1"/>
  <c r="AF37" i="1"/>
  <c r="AG9" i="1"/>
  <c r="AH9" i="1" s="1"/>
  <c r="AG42" i="1"/>
  <c r="AG16" i="1"/>
  <c r="AH16" i="1" s="1"/>
  <c r="AG47" i="1"/>
  <c r="AH47" i="1" s="1"/>
  <c r="AG17" i="1"/>
  <c r="AH17" i="1" s="1"/>
  <c r="AG49" i="1"/>
  <c r="AH49" i="1" s="1"/>
  <c r="AG33" i="1"/>
  <c r="AH33" i="1" s="1"/>
  <c r="AG28" i="1"/>
  <c r="AG21" i="1"/>
  <c r="AH21" i="1" s="1"/>
  <c r="AG36" i="1"/>
  <c r="AH36" i="1" s="1"/>
  <c r="AG38" i="1"/>
  <c r="AG29" i="1"/>
  <c r="AH29" i="1" s="1"/>
  <c r="AG19" i="1"/>
  <c r="AH19" i="1" s="1"/>
  <c r="AG10" i="1"/>
  <c r="AH10" i="1" s="1"/>
  <c r="AG41" i="1"/>
  <c r="AH41" i="1" s="1"/>
  <c r="AG18" i="1"/>
  <c r="AH18" i="1" s="1"/>
  <c r="AG20" i="1"/>
  <c r="AG46" i="1"/>
  <c r="AH46" i="1" s="1"/>
  <c r="AG12" i="1"/>
  <c r="AH12" i="1" s="1"/>
  <c r="AF43" i="1"/>
  <c r="AG26" i="1"/>
  <c r="AH26" i="1" s="1"/>
  <c r="AG43" i="1"/>
  <c r="AG71" i="1" s="1"/>
  <c r="AH71" i="1" s="1"/>
  <c r="AG22" i="1"/>
  <c r="AH22" i="1" s="1"/>
  <c r="AF19" i="1"/>
  <c r="AG34" i="1"/>
  <c r="AH34" i="1" s="1"/>
  <c r="AG13" i="1"/>
  <c r="AH13" i="1" s="1"/>
  <c r="AG30" i="1"/>
  <c r="AH30" i="1" s="1"/>
  <c r="AE63" i="1"/>
  <c r="AF63" i="1" s="1"/>
  <c r="AI7" i="1" a="1"/>
  <c r="AI7" i="1" s="1"/>
  <c r="AG39" i="1"/>
  <c r="AH39" i="1" s="1"/>
  <c r="AG44" i="1"/>
  <c r="AG23" i="1"/>
  <c r="AH23" i="1" s="1"/>
  <c r="AG37" i="1"/>
  <c r="AG69" i="1" s="1"/>
  <c r="AH69" i="1" s="1"/>
  <c r="AG40" i="1"/>
  <c r="AG25" i="1"/>
  <c r="AH25" i="1" s="1"/>
  <c r="AG11" i="1"/>
  <c r="AH11" i="1" s="1"/>
  <c r="AG31" i="1"/>
  <c r="AH31" i="1" s="1"/>
  <c r="AG24" i="1"/>
  <c r="AH24" i="1" s="1"/>
  <c r="AF38" i="1"/>
  <c r="AG14" i="1"/>
  <c r="AH14" i="1" s="1"/>
  <c r="AG58" i="1"/>
  <c r="AG27" i="1"/>
  <c r="AH27" i="1" s="1"/>
  <c r="AG45" i="1"/>
  <c r="AH45" i="1" s="1"/>
  <c r="AG32" i="1"/>
  <c r="AH32" i="1" s="1"/>
  <c r="AG35" i="1"/>
  <c r="AH35" i="1" s="1"/>
  <c r="AE65" i="1"/>
  <c r="AF65" i="1" s="1"/>
  <c r="AE60" i="1"/>
  <c r="AF60" i="1" s="1"/>
  <c r="AF46" i="1"/>
  <c r="AE48" i="1"/>
  <c r="AF48" i="1" s="1"/>
  <c r="AF42" i="1"/>
  <c r="AG74" i="6" l="1"/>
  <c r="AK68" i="7"/>
  <c r="AL68" i="7" s="1"/>
  <c r="AK67" i="7"/>
  <c r="AL67" i="7" s="1"/>
  <c r="AJ40" i="6"/>
  <c r="AH28" i="1"/>
  <c r="AH42" i="1"/>
  <c r="AG50" i="1"/>
  <c r="AH51" i="1" s="1"/>
  <c r="AG51" i="1"/>
  <c r="AI69" i="6"/>
  <c r="AJ69" i="6" s="1"/>
  <c r="AI49" i="1"/>
  <c r="AJ49" i="1" s="1"/>
  <c r="AK7" i="1" a="1"/>
  <c r="AK7" i="1" s="1"/>
  <c r="AM7" i="1" s="1" a="1"/>
  <c r="AM7" i="1" s="1"/>
  <c r="AM19" i="1" s="1"/>
  <c r="AI68" i="6"/>
  <c r="AJ68" i="6" s="1"/>
  <c r="AJ46" i="6"/>
  <c r="AK64" i="7"/>
  <c r="AL64" i="7" s="1"/>
  <c r="AI48" i="6"/>
  <c r="AJ48" i="6" s="1"/>
  <c r="AH74" i="6"/>
  <c r="AH75" i="6" s="1"/>
  <c r="AH79" i="6" s="1"/>
  <c r="AH51" i="6"/>
  <c r="AH52" i="6" s="1"/>
  <c r="AJ20" i="6"/>
  <c r="AI70" i="6"/>
  <c r="AJ70" i="6" s="1"/>
  <c r="AK23" i="6"/>
  <c r="AL23" i="6" s="1"/>
  <c r="AK69" i="7"/>
  <c r="AL69" i="7" s="1"/>
  <c r="AK27" i="6"/>
  <c r="AL27" i="6" s="1"/>
  <c r="AK22" i="6"/>
  <c r="AL22" i="6" s="1"/>
  <c r="AM7" i="6" a="1"/>
  <c r="AM7" i="6" s="1"/>
  <c r="AM26" i="6" s="1"/>
  <c r="AK44" i="6"/>
  <c r="AL44" i="6" s="1"/>
  <c r="AK47" i="6"/>
  <c r="AL47" i="6" s="1"/>
  <c r="AL40" i="7"/>
  <c r="AI65" i="6"/>
  <c r="AJ65" i="6" s="1"/>
  <c r="AK9" i="6"/>
  <c r="AL9" i="6" s="1"/>
  <c r="AK15" i="6"/>
  <c r="AL15" i="6" s="1"/>
  <c r="AK30" i="6"/>
  <c r="AL30" i="6" s="1"/>
  <c r="AK32" i="6"/>
  <c r="AL32" i="6" s="1"/>
  <c r="AK20" i="6"/>
  <c r="AK64" i="6" s="1"/>
  <c r="AL64" i="6" s="1"/>
  <c r="AI74" i="7"/>
  <c r="I74" i="7" s="1"/>
  <c r="AI71" i="6"/>
  <c r="AJ71" i="6" s="1"/>
  <c r="AI72" i="6"/>
  <c r="AJ72" i="6" s="1"/>
  <c r="AK71" i="7"/>
  <c r="AL71" i="7" s="1"/>
  <c r="AI51" i="6"/>
  <c r="AK50" i="7"/>
  <c r="AL50" i="7" s="1"/>
  <c r="AI50" i="6"/>
  <c r="AJ74" i="6" s="1"/>
  <c r="AK72" i="7"/>
  <c r="AL72" i="7" s="1"/>
  <c r="AK51" i="7"/>
  <c r="AI60" i="6"/>
  <c r="AJ60" i="6" s="1"/>
  <c r="AK16" i="6"/>
  <c r="AL16" i="6" s="1"/>
  <c r="AK46" i="6"/>
  <c r="AK73" i="6" s="1"/>
  <c r="AL73" i="6" s="1"/>
  <c r="AK18" i="6"/>
  <c r="AL18" i="6" s="1"/>
  <c r="AK40" i="6"/>
  <c r="AL40" i="6" s="1"/>
  <c r="AK10" i="6"/>
  <c r="AL10" i="6" s="1"/>
  <c r="AK14" i="6"/>
  <c r="AL14" i="6" s="1"/>
  <c r="AK29" i="6"/>
  <c r="AL29" i="6" s="1"/>
  <c r="AK49" i="6"/>
  <c r="AL49" i="6" s="1"/>
  <c r="AK35" i="6"/>
  <c r="AL35" i="6" s="1"/>
  <c r="AK17" i="6"/>
  <c r="AL17" i="6" s="1"/>
  <c r="AK31" i="6"/>
  <c r="AL31" i="6" s="1"/>
  <c r="AK45" i="6"/>
  <c r="AK21" i="6"/>
  <c r="AL21" i="6" s="1"/>
  <c r="AK25" i="6"/>
  <c r="AL25" i="6" s="1"/>
  <c r="AK33" i="6"/>
  <c r="AL33" i="6" s="1"/>
  <c r="AK58" i="6"/>
  <c r="AJ14" i="6"/>
  <c r="AK12" i="6"/>
  <c r="AL12" i="6" s="1"/>
  <c r="AK36" i="6"/>
  <c r="AL36" i="6" s="1"/>
  <c r="AK37" i="6"/>
  <c r="AK69" i="6" s="1"/>
  <c r="AL69" i="6" s="1"/>
  <c r="AK34" i="6"/>
  <c r="AL34" i="6" s="1"/>
  <c r="AK11" i="6"/>
  <c r="AL11" i="6" s="1"/>
  <c r="AK38" i="6"/>
  <c r="AL38" i="6" s="1"/>
  <c r="AK39" i="6"/>
  <c r="AL39" i="6" s="1"/>
  <c r="AK24" i="6"/>
  <c r="AL24" i="6" s="1"/>
  <c r="AK26" i="6"/>
  <c r="AL26" i="6" s="1"/>
  <c r="AJ19" i="6"/>
  <c r="AK13" i="6"/>
  <c r="AL13" i="6" s="1"/>
  <c r="AK41" i="6"/>
  <c r="AL41" i="6" s="1"/>
  <c r="AK42" i="6"/>
  <c r="AK70" i="6" s="1"/>
  <c r="AL70" i="6" s="1"/>
  <c r="AK28" i="6"/>
  <c r="AL28" i="6" s="1"/>
  <c r="AK19" i="6"/>
  <c r="AL19" i="6" s="1"/>
  <c r="AL42" i="7"/>
  <c r="AL19" i="7"/>
  <c r="AJ74" i="7"/>
  <c r="AJ75" i="7" s="1"/>
  <c r="AK73" i="7"/>
  <c r="AL73" i="7" s="1"/>
  <c r="AJ50" i="7"/>
  <c r="AJ52" i="7" s="1"/>
  <c r="AH50" i="8"/>
  <c r="AH52" i="8" s="1"/>
  <c r="AL38" i="7"/>
  <c r="AK60" i="7"/>
  <c r="AL60" i="7" s="1"/>
  <c r="AH75" i="7"/>
  <c r="AM25" i="7"/>
  <c r="AN25" i="7" s="1"/>
  <c r="AM18" i="7"/>
  <c r="I18" i="7" s="1"/>
  <c r="J18" i="7" s="1"/>
  <c r="AM27" i="7"/>
  <c r="AN27" i="7" s="1"/>
  <c r="AM23" i="7"/>
  <c r="AN23" i="7" s="1"/>
  <c r="AM47" i="7"/>
  <c r="AN47" i="7" s="1"/>
  <c r="AM14" i="7"/>
  <c r="AN14" i="7" s="1"/>
  <c r="AL46" i="7"/>
  <c r="AK48" i="7"/>
  <c r="AL48" i="7" s="1"/>
  <c r="AM15" i="7"/>
  <c r="AN15" i="7" s="1"/>
  <c r="AM29" i="7"/>
  <c r="AN29" i="7" s="1"/>
  <c r="AM42" i="7"/>
  <c r="AM70" i="7" s="1"/>
  <c r="AN70" i="7" s="1"/>
  <c r="AM31" i="7"/>
  <c r="AN31" i="7" s="1"/>
  <c r="AM19" i="7"/>
  <c r="I19" i="7" s="1"/>
  <c r="I63" i="7" s="1"/>
  <c r="J63" i="7" s="1"/>
  <c r="AM41" i="7"/>
  <c r="AN41" i="7" s="1"/>
  <c r="AM20" i="7"/>
  <c r="I20" i="7" s="1"/>
  <c r="I64" i="7" s="1"/>
  <c r="J64" i="7" s="1"/>
  <c r="AM13" i="7"/>
  <c r="AN13" i="7" s="1"/>
  <c r="AM46" i="7"/>
  <c r="AN46" i="7" s="1"/>
  <c r="AM37" i="7"/>
  <c r="I37" i="7" s="1"/>
  <c r="I69" i="7" s="1"/>
  <c r="J69" i="7" s="1"/>
  <c r="AK65" i="7"/>
  <c r="AL65" i="7" s="1"/>
  <c r="AM24" i="7"/>
  <c r="AN24" i="7" s="1"/>
  <c r="AM22" i="7"/>
  <c r="AN22" i="7" s="1"/>
  <c r="AM49" i="7"/>
  <c r="AN49" i="7" s="1"/>
  <c r="AM10" i="7"/>
  <c r="AN10" i="7" s="1"/>
  <c r="AM28" i="7"/>
  <c r="AN28" i="7" s="1"/>
  <c r="AM26" i="7"/>
  <c r="AN26" i="7" s="1"/>
  <c r="AM38" i="7"/>
  <c r="AN38" i="7" s="1"/>
  <c r="AM21" i="7"/>
  <c r="I21" i="7" s="1"/>
  <c r="J21" i="7" s="1"/>
  <c r="AM33" i="7"/>
  <c r="AN33" i="7" s="1"/>
  <c r="AM30" i="7"/>
  <c r="AN30" i="7" s="1"/>
  <c r="AM45" i="7"/>
  <c r="AN45" i="7" s="1"/>
  <c r="AM34" i="7"/>
  <c r="AN34" i="7" s="1"/>
  <c r="AM39" i="7"/>
  <c r="AN39" i="7" s="1"/>
  <c r="AM40" i="7"/>
  <c r="AM9" i="7"/>
  <c r="I9" i="7" s="1"/>
  <c r="J9" i="7" s="1"/>
  <c r="AM12" i="7"/>
  <c r="AN12" i="7" s="1"/>
  <c r="AM44" i="7"/>
  <c r="AM32" i="7"/>
  <c r="AN32" i="7" s="1"/>
  <c r="AM17" i="7"/>
  <c r="AN17" i="7" s="1"/>
  <c r="AM16" i="7"/>
  <c r="AN16" i="7" s="1"/>
  <c r="AM43" i="7"/>
  <c r="AN43" i="7" s="1"/>
  <c r="AM11" i="7"/>
  <c r="AN11" i="7" s="1"/>
  <c r="AM36" i="7"/>
  <c r="AN36" i="7" s="1"/>
  <c r="AM35" i="7"/>
  <c r="AN35" i="7" s="1"/>
  <c r="AH74" i="8"/>
  <c r="AH75" i="8" s="1"/>
  <c r="AH79" i="8" s="1"/>
  <c r="AI68" i="8"/>
  <c r="AJ68" i="8" s="1"/>
  <c r="AG74" i="8"/>
  <c r="AJ42" i="8"/>
  <c r="AJ19" i="8"/>
  <c r="AI67" i="8"/>
  <c r="AJ67" i="8" s="1"/>
  <c r="AJ20" i="8"/>
  <c r="AI73" i="8"/>
  <c r="AJ73" i="8" s="1"/>
  <c r="AI50" i="8"/>
  <c r="AJ74" i="8" s="1"/>
  <c r="AJ38" i="8"/>
  <c r="AI48" i="8"/>
  <c r="AJ48" i="8" s="1"/>
  <c r="AI51" i="8"/>
  <c r="AI72" i="8"/>
  <c r="AJ72" i="8" s="1"/>
  <c r="AK21" i="8"/>
  <c r="AL21" i="8" s="1"/>
  <c r="AJ40" i="8"/>
  <c r="AK34" i="8"/>
  <c r="AL34" i="8" s="1"/>
  <c r="AK13" i="8"/>
  <c r="AL13" i="8" s="1"/>
  <c r="AK35" i="8"/>
  <c r="AL35" i="8" s="1"/>
  <c r="AK41" i="8"/>
  <c r="AL41" i="8" s="1"/>
  <c r="AK39" i="8"/>
  <c r="AL39" i="8" s="1"/>
  <c r="AI69" i="8"/>
  <c r="AJ69" i="8" s="1"/>
  <c r="AK17" i="8"/>
  <c r="AL17" i="8" s="1"/>
  <c r="AK10" i="8"/>
  <c r="AL10" i="8" s="1"/>
  <c r="AK46" i="8"/>
  <c r="AK73" i="8" s="1"/>
  <c r="AL73" i="8" s="1"/>
  <c r="AI60" i="8"/>
  <c r="AJ60" i="8" s="1"/>
  <c r="AK28" i="8"/>
  <c r="AL28" i="8" s="1"/>
  <c r="AK16" i="8"/>
  <c r="AL16" i="8" s="1"/>
  <c r="AK49" i="8"/>
  <c r="AL49" i="8" s="1"/>
  <c r="AK32" i="8"/>
  <c r="AL32" i="8" s="1"/>
  <c r="AK18" i="8"/>
  <c r="AL18" i="8" s="1"/>
  <c r="AK38" i="8"/>
  <c r="AL38" i="8" s="1"/>
  <c r="AM7" i="8" a="1"/>
  <c r="AM7" i="8" s="1"/>
  <c r="AM43" i="8" s="1"/>
  <c r="AK12" i="8"/>
  <c r="AL12" i="8" s="1"/>
  <c r="AK33" i="8"/>
  <c r="AL33" i="8" s="1"/>
  <c r="AK45" i="8"/>
  <c r="AL45" i="8" s="1"/>
  <c r="AK9" i="8"/>
  <c r="AK20" i="8"/>
  <c r="AL20" i="8" s="1"/>
  <c r="AK22" i="8"/>
  <c r="AL22" i="8" s="1"/>
  <c r="AK44" i="8"/>
  <c r="AL44" i="8" s="1"/>
  <c r="AI65" i="8"/>
  <c r="AJ65" i="8" s="1"/>
  <c r="AK14" i="8"/>
  <c r="AL14" i="8" s="1"/>
  <c r="AK30" i="8"/>
  <c r="AL30" i="8" s="1"/>
  <c r="AK23" i="8"/>
  <c r="AL23" i="8" s="1"/>
  <c r="AK43" i="8"/>
  <c r="AK71" i="8" s="1"/>
  <c r="AL71" i="8" s="1"/>
  <c r="AK36" i="8"/>
  <c r="AL36" i="8" s="1"/>
  <c r="AK40" i="8"/>
  <c r="AL40" i="8" s="1"/>
  <c r="AK24" i="8"/>
  <c r="AL24" i="8" s="1"/>
  <c r="AK58" i="8"/>
  <c r="AK31" i="8"/>
  <c r="AL31" i="8" s="1"/>
  <c r="AK29" i="8"/>
  <c r="AL29" i="8" s="1"/>
  <c r="AK25" i="8"/>
  <c r="AL25" i="8" s="1"/>
  <c r="AK42" i="8"/>
  <c r="AL42" i="8" s="1"/>
  <c r="AK15" i="8"/>
  <c r="AL15" i="8" s="1"/>
  <c r="AK11" i="8"/>
  <c r="AL11" i="8" s="1"/>
  <c r="AK26" i="8"/>
  <c r="AL26" i="8" s="1"/>
  <c r="AK47" i="8"/>
  <c r="AL47" i="8" s="1"/>
  <c r="AK19" i="8"/>
  <c r="AL19" i="8" s="1"/>
  <c r="AK27" i="8"/>
  <c r="AL27" i="8" s="1"/>
  <c r="AK69" i="8"/>
  <c r="AL69" i="8" s="1"/>
  <c r="AL37" i="8"/>
  <c r="AL43" i="6"/>
  <c r="AK71" i="6"/>
  <c r="AL71" i="6" s="1"/>
  <c r="AI51" i="5"/>
  <c r="AI69" i="5"/>
  <c r="AJ69" i="5" s="1"/>
  <c r="AG74" i="5"/>
  <c r="AI73" i="5"/>
  <c r="AJ73" i="5" s="1"/>
  <c r="AJ20" i="5"/>
  <c r="AI70" i="5"/>
  <c r="AJ70" i="5" s="1"/>
  <c r="AI67" i="5"/>
  <c r="AJ67" i="5" s="1"/>
  <c r="AI68" i="5"/>
  <c r="AJ68" i="5" s="1"/>
  <c r="AH74" i="5"/>
  <c r="AH75" i="5" s="1"/>
  <c r="AH50" i="5"/>
  <c r="AH52" i="5" s="1"/>
  <c r="AJ43" i="5"/>
  <c r="AI48" i="5"/>
  <c r="AJ48" i="5" s="1"/>
  <c r="AJ44" i="5"/>
  <c r="AK33" i="5"/>
  <c r="AL33" i="5" s="1"/>
  <c r="AI72" i="5"/>
  <c r="AJ72" i="5" s="1"/>
  <c r="AK25" i="5"/>
  <c r="AL25" i="5" s="1"/>
  <c r="AK27" i="5"/>
  <c r="AL27" i="5" s="1"/>
  <c r="AK13" i="5"/>
  <c r="AL13" i="5" s="1"/>
  <c r="AK43" i="5"/>
  <c r="AK71" i="5" s="1"/>
  <c r="AL71" i="5" s="1"/>
  <c r="AK44" i="5"/>
  <c r="AL44" i="5" s="1"/>
  <c r="AK16" i="5"/>
  <c r="AL16" i="5" s="1"/>
  <c r="AK23" i="5"/>
  <c r="AL23" i="5" s="1"/>
  <c r="AK32" i="5"/>
  <c r="AL32" i="5" s="1"/>
  <c r="AK42" i="5"/>
  <c r="AL42" i="5" s="1"/>
  <c r="AK17" i="5"/>
  <c r="AL17" i="5" s="1"/>
  <c r="AK14" i="5"/>
  <c r="AL14" i="5" s="1"/>
  <c r="AK35" i="5"/>
  <c r="AL35" i="5" s="1"/>
  <c r="AK47" i="5"/>
  <c r="AL47" i="5" s="1"/>
  <c r="AK31" i="5"/>
  <c r="AL31" i="5" s="1"/>
  <c r="AI60" i="5"/>
  <c r="AJ60" i="5" s="1"/>
  <c r="AK18" i="5"/>
  <c r="AL18" i="5" s="1"/>
  <c r="AK26" i="5"/>
  <c r="AL26" i="5" s="1"/>
  <c r="AK37" i="5"/>
  <c r="AL37" i="5" s="1"/>
  <c r="AJ45" i="5"/>
  <c r="AK28" i="5"/>
  <c r="AL28" i="5" s="1"/>
  <c r="AK29" i="5"/>
  <c r="AL29" i="5" s="1"/>
  <c r="AK41" i="5"/>
  <c r="AL41" i="5" s="1"/>
  <c r="AJ19" i="5"/>
  <c r="AK10" i="5"/>
  <c r="AL10" i="5" s="1"/>
  <c r="AK36" i="5"/>
  <c r="AL36" i="5" s="1"/>
  <c r="AK40" i="5"/>
  <c r="AL40" i="5" s="1"/>
  <c r="AK21" i="5"/>
  <c r="AL21" i="5" s="1"/>
  <c r="AK19" i="5"/>
  <c r="AL19" i="5" s="1"/>
  <c r="AK39" i="5"/>
  <c r="AL39" i="5" s="1"/>
  <c r="AK20" i="5"/>
  <c r="AK64" i="5" s="1"/>
  <c r="AL64" i="5" s="1"/>
  <c r="AK11" i="5"/>
  <c r="AL11" i="5" s="1"/>
  <c r="AK30" i="5"/>
  <c r="AL30" i="5" s="1"/>
  <c r="AK46" i="5"/>
  <c r="AK73" i="5" s="1"/>
  <c r="AL73" i="5" s="1"/>
  <c r="AI65" i="5"/>
  <c r="AJ65" i="5" s="1"/>
  <c r="AI50" i="5"/>
  <c r="AJ74" i="5" s="1"/>
  <c r="AK24" i="5"/>
  <c r="AL24" i="5" s="1"/>
  <c r="AK58" i="5"/>
  <c r="AK49" i="5"/>
  <c r="AL49" i="5" s="1"/>
  <c r="AM7" i="5" a="1"/>
  <c r="AM7" i="5" s="1"/>
  <c r="AM19" i="5" s="1"/>
  <c r="AK34" i="5"/>
  <c r="AL34" i="5" s="1"/>
  <c r="AK9" i="5"/>
  <c r="AL9" i="5" s="1"/>
  <c r="AK38" i="5"/>
  <c r="AK22" i="5"/>
  <c r="AL22" i="5" s="1"/>
  <c r="AK12" i="5"/>
  <c r="AL12" i="5" s="1"/>
  <c r="AK15" i="5"/>
  <c r="AL15" i="5" s="1"/>
  <c r="AH40" i="1"/>
  <c r="AG67" i="1"/>
  <c r="AH67" i="1" s="1"/>
  <c r="AH20" i="1"/>
  <c r="AG64" i="1"/>
  <c r="AH64" i="1" s="1"/>
  <c r="AG68" i="1"/>
  <c r="AH68" i="1" s="1"/>
  <c r="AE74" i="1"/>
  <c r="AG70" i="1"/>
  <c r="AH70" i="1" s="1"/>
  <c r="AG63" i="1"/>
  <c r="AH63" i="1" s="1"/>
  <c r="AF74" i="1"/>
  <c r="AF75" i="1" s="1"/>
  <c r="AF51" i="1"/>
  <c r="AF52" i="1" s="1"/>
  <c r="AG73" i="1"/>
  <c r="AH73" i="1" s="1"/>
  <c r="AG48" i="1"/>
  <c r="AH48" i="1" s="1"/>
  <c r="AH38" i="1"/>
  <c r="AH37" i="1"/>
  <c r="AH44" i="1"/>
  <c r="AG72" i="1"/>
  <c r="AH43" i="1"/>
  <c r="AI20" i="1"/>
  <c r="AI25" i="1"/>
  <c r="AJ25" i="1" s="1"/>
  <c r="AI38" i="1"/>
  <c r="AI12" i="1"/>
  <c r="AJ12" i="1" s="1"/>
  <c r="AI26" i="1"/>
  <c r="AJ26" i="1" s="1"/>
  <c r="AI22" i="1"/>
  <c r="AJ22" i="1" s="1"/>
  <c r="AI47" i="1"/>
  <c r="AJ47" i="1" s="1"/>
  <c r="AI41" i="1"/>
  <c r="AJ41" i="1" s="1"/>
  <c r="AI11" i="1"/>
  <c r="AJ11" i="1" s="1"/>
  <c r="AI18" i="1"/>
  <c r="AJ18" i="1" s="1"/>
  <c r="AI58" i="1"/>
  <c r="AG60" i="1"/>
  <c r="AH60" i="1" s="1"/>
  <c r="AI10" i="1"/>
  <c r="AJ10" i="1" s="1"/>
  <c r="AI36" i="1"/>
  <c r="AJ36" i="1" s="1"/>
  <c r="AI19" i="1"/>
  <c r="AI63" i="1" s="1"/>
  <c r="AJ63" i="1" s="1"/>
  <c r="AJ43" i="1"/>
  <c r="AI27" i="1"/>
  <c r="AJ27" i="1" s="1"/>
  <c r="AG65" i="1"/>
  <c r="AH65" i="1" s="1"/>
  <c r="AI29" i="1"/>
  <c r="AJ29" i="1" s="1"/>
  <c r="AI32" i="1"/>
  <c r="AJ32" i="1" s="1"/>
  <c r="AI35" i="1"/>
  <c r="AJ35" i="1" s="1"/>
  <c r="AI30" i="1"/>
  <c r="AJ30" i="1" s="1"/>
  <c r="AI17" i="1"/>
  <c r="AJ17" i="1" s="1"/>
  <c r="AI23" i="1"/>
  <c r="AJ23" i="1" s="1"/>
  <c r="AI13" i="1"/>
  <c r="AJ13" i="1" s="1"/>
  <c r="AI31" i="1"/>
  <c r="AJ31" i="1" s="1"/>
  <c r="AI44" i="1"/>
  <c r="AI9" i="1"/>
  <c r="AJ9" i="1" s="1"/>
  <c r="AI37" i="1"/>
  <c r="AJ37" i="1" s="1"/>
  <c r="AI40" i="1"/>
  <c r="AI45" i="1"/>
  <c r="AJ45" i="1" s="1"/>
  <c r="AI33" i="1"/>
  <c r="AJ33" i="1" s="1"/>
  <c r="AI46" i="1"/>
  <c r="AJ46" i="1" s="1"/>
  <c r="AI34" i="1"/>
  <c r="AJ34" i="1" s="1"/>
  <c r="AI14" i="1"/>
  <c r="AJ14" i="1" s="1"/>
  <c r="AI39" i="1"/>
  <c r="AJ39" i="1" s="1"/>
  <c r="AI15" i="1"/>
  <c r="AI21" i="1"/>
  <c r="AJ21" i="1" s="1"/>
  <c r="AI24" i="1"/>
  <c r="AJ24" i="1" s="1"/>
  <c r="AI28" i="1"/>
  <c r="AJ28" i="1" s="1"/>
  <c r="AI16" i="1"/>
  <c r="AJ16" i="1" s="1"/>
  <c r="AI42" i="1"/>
  <c r="AJ15" i="1" l="1"/>
  <c r="AI70" i="1"/>
  <c r="AJ70" i="1" s="1"/>
  <c r="AI50" i="1"/>
  <c r="AJ74" i="1" s="1"/>
  <c r="AI51" i="1"/>
  <c r="AK46" i="1"/>
  <c r="AK15" i="1"/>
  <c r="AL15" i="1" s="1"/>
  <c r="AK49" i="1"/>
  <c r="AL49" i="1" s="1"/>
  <c r="AK36" i="1"/>
  <c r="AL36" i="1" s="1"/>
  <c r="AK21" i="1"/>
  <c r="AK40" i="1"/>
  <c r="AK9" i="1"/>
  <c r="AK43" i="1"/>
  <c r="AK30" i="1"/>
  <c r="AL30" i="1" s="1"/>
  <c r="AK11" i="1"/>
  <c r="AL11" i="1" s="1"/>
  <c r="AK34" i="1"/>
  <c r="AL34" i="1" s="1"/>
  <c r="AK44" i="1"/>
  <c r="AK37" i="1"/>
  <c r="AK24" i="1"/>
  <c r="AL24" i="1" s="1"/>
  <c r="AK28" i="1"/>
  <c r="AL28" i="1" s="1"/>
  <c r="AK38" i="1"/>
  <c r="AK31" i="1"/>
  <c r="AL31" i="1" s="1"/>
  <c r="AK18" i="1"/>
  <c r="AL18" i="1" s="1"/>
  <c r="AK22" i="1"/>
  <c r="AL22" i="1" s="1"/>
  <c r="AK32" i="1"/>
  <c r="AL32" i="1" s="1"/>
  <c r="AK25" i="1"/>
  <c r="AL25" i="1" s="1"/>
  <c r="AK12" i="1"/>
  <c r="AL12" i="1" s="1"/>
  <c r="AK16" i="1"/>
  <c r="AL16" i="1" s="1"/>
  <c r="AK26" i="1"/>
  <c r="AL26" i="1" s="1"/>
  <c r="AK19" i="1"/>
  <c r="AK10" i="1"/>
  <c r="AL10" i="1" s="1"/>
  <c r="AK20" i="1"/>
  <c r="AK13" i="1"/>
  <c r="AL13" i="1" s="1"/>
  <c r="AK45" i="1"/>
  <c r="AL45" i="1" s="1"/>
  <c r="AK14" i="1"/>
  <c r="AL14" i="1" s="1"/>
  <c r="AK17" i="1"/>
  <c r="AL17" i="1" s="1"/>
  <c r="AK42" i="1"/>
  <c r="AK39" i="1"/>
  <c r="AL39" i="1" s="1"/>
  <c r="AK41" i="1"/>
  <c r="AL41" i="1" s="1"/>
  <c r="AK58" i="1"/>
  <c r="AK33" i="1"/>
  <c r="AL33" i="1" s="1"/>
  <c r="AK35" i="1"/>
  <c r="AL35" i="1" s="1"/>
  <c r="AK47" i="1"/>
  <c r="AL47" i="1" s="1"/>
  <c r="AK27" i="1"/>
  <c r="AL27" i="1" s="1"/>
  <c r="AK23" i="1"/>
  <c r="AL23" i="1" s="1"/>
  <c r="AK29" i="1"/>
  <c r="AL29" i="1" s="1"/>
  <c r="AM69" i="7"/>
  <c r="AN69" i="7" s="1"/>
  <c r="I66" i="7"/>
  <c r="J66" i="7" s="1"/>
  <c r="AN37" i="7"/>
  <c r="AM12" i="6"/>
  <c r="AN12" i="6" s="1"/>
  <c r="AM15" i="6"/>
  <c r="AN15" i="6" s="1"/>
  <c r="AM28" i="6"/>
  <c r="AN28" i="6" s="1"/>
  <c r="AM17" i="6"/>
  <c r="AN17" i="6" s="1"/>
  <c r="AL42" i="6"/>
  <c r="AK63" i="6"/>
  <c r="AL63" i="6" s="1"/>
  <c r="AL37" i="6"/>
  <c r="AM34" i="6"/>
  <c r="AN34" i="6" s="1"/>
  <c r="AL74" i="7"/>
  <c r="AL75" i="7" s="1"/>
  <c r="AM37" i="6"/>
  <c r="AN37" i="6" s="1"/>
  <c r="AL51" i="7"/>
  <c r="AL52" i="7" s="1"/>
  <c r="AM41" i="6"/>
  <c r="AN41" i="6" s="1"/>
  <c r="AM47" i="6"/>
  <c r="AN47" i="6" s="1"/>
  <c r="AI74" i="6"/>
  <c r="I74" i="6" s="1"/>
  <c r="AM14" i="6"/>
  <c r="AN14" i="6" s="1"/>
  <c r="AM39" i="6"/>
  <c r="AM35" i="6"/>
  <c r="AN35" i="6" s="1"/>
  <c r="AM42" i="6"/>
  <c r="AN42" i="6" s="1"/>
  <c r="AM38" i="6"/>
  <c r="AN38" i="6" s="1"/>
  <c r="AM49" i="6"/>
  <c r="AN49" i="6" s="1"/>
  <c r="AM24" i="6"/>
  <c r="AN24" i="6" s="1"/>
  <c r="AM58" i="6"/>
  <c r="AJ51" i="6"/>
  <c r="AM21" i="6"/>
  <c r="AN21" i="6" s="1"/>
  <c r="AM43" i="6"/>
  <c r="I43" i="6" s="1"/>
  <c r="I71" i="6" s="1"/>
  <c r="J71" i="6" s="1"/>
  <c r="AJ50" i="6"/>
  <c r="AM9" i="6"/>
  <c r="I9" i="6" s="1"/>
  <c r="AM19" i="6"/>
  <c r="AN19" i="6" s="1"/>
  <c r="I33" i="7"/>
  <c r="J33" i="7" s="1"/>
  <c r="AM16" i="6"/>
  <c r="AN16" i="6" s="1"/>
  <c r="AM29" i="6"/>
  <c r="AN29" i="6" s="1"/>
  <c r="AM18" i="6"/>
  <c r="AN18" i="6" s="1"/>
  <c r="AM33" i="6"/>
  <c r="AN33" i="6" s="1"/>
  <c r="AL20" i="6"/>
  <c r="AM13" i="6"/>
  <c r="AN13" i="6" s="1"/>
  <c r="AM23" i="6"/>
  <c r="AN23" i="6" s="1"/>
  <c r="AM45" i="6"/>
  <c r="AN45" i="6" s="1"/>
  <c r="AM10" i="6"/>
  <c r="AN10" i="6" s="1"/>
  <c r="AM36" i="6"/>
  <c r="AN36" i="6" s="1"/>
  <c r="AM27" i="6"/>
  <c r="AN27" i="6" s="1"/>
  <c r="AM40" i="6"/>
  <c r="I40" i="6" s="1"/>
  <c r="J40" i="6" s="1"/>
  <c r="AM20" i="6"/>
  <c r="I20" i="6" s="1"/>
  <c r="I64" i="6" s="1"/>
  <c r="J64" i="6" s="1"/>
  <c r="AM25" i="6"/>
  <c r="AM31" i="6"/>
  <c r="AN31" i="6" s="1"/>
  <c r="AM46" i="6"/>
  <c r="AN46" i="6" s="1"/>
  <c r="AM44" i="6"/>
  <c r="I44" i="6" s="1"/>
  <c r="J44" i="6" s="1"/>
  <c r="AM30" i="6"/>
  <c r="AN30" i="6" s="1"/>
  <c r="AM22" i="6"/>
  <c r="AN22" i="6" s="1"/>
  <c r="AM11" i="6"/>
  <c r="AN11" i="6" s="1"/>
  <c r="AM32" i="6"/>
  <c r="AN32" i="6" s="1"/>
  <c r="AK65" i="6"/>
  <c r="AL65" i="6" s="1"/>
  <c r="AK60" i="6"/>
  <c r="AL60" i="6" s="1"/>
  <c r="I29" i="7"/>
  <c r="J29" i="7" s="1"/>
  <c r="AK67" i="6"/>
  <c r="AL67" i="6" s="1"/>
  <c r="AL46" i="6"/>
  <c r="AK51" i="6"/>
  <c r="AK74" i="7"/>
  <c r="AL45" i="6"/>
  <c r="AK72" i="6"/>
  <c r="AK74" i="6" s="1"/>
  <c r="AK48" i="6"/>
  <c r="AL48" i="6" s="1"/>
  <c r="AK50" i="6"/>
  <c r="AL51" i="6" s="1"/>
  <c r="I45" i="7"/>
  <c r="J45" i="7" s="1"/>
  <c r="I47" i="7"/>
  <c r="J47" i="7" s="1"/>
  <c r="AK68" i="6"/>
  <c r="AL68" i="6" s="1"/>
  <c r="AN9" i="7"/>
  <c r="I38" i="7"/>
  <c r="J38" i="7" s="1"/>
  <c r="J37" i="7"/>
  <c r="I12" i="7"/>
  <c r="J12" i="7" s="1"/>
  <c r="AN18" i="7"/>
  <c r="AN19" i="7"/>
  <c r="I26" i="7"/>
  <c r="J26" i="7" s="1"/>
  <c r="AM63" i="7"/>
  <c r="AN63" i="7" s="1"/>
  <c r="I25" i="7"/>
  <c r="J25" i="7" s="1"/>
  <c r="J20" i="7"/>
  <c r="AN20" i="7"/>
  <c r="AM67" i="7"/>
  <c r="AN67" i="7" s="1"/>
  <c r="I32" i="7"/>
  <c r="J32" i="7" s="1"/>
  <c r="I27" i="7"/>
  <c r="J27" i="7" s="1"/>
  <c r="I41" i="7"/>
  <c r="J41" i="7" s="1"/>
  <c r="J19" i="7"/>
  <c r="I23" i="7"/>
  <c r="J23" i="7" s="1"/>
  <c r="I11" i="7"/>
  <c r="J11" i="7" s="1"/>
  <c r="AM71" i="7"/>
  <c r="AN71" i="7" s="1"/>
  <c r="I10" i="7"/>
  <c r="J10" i="7" s="1"/>
  <c r="I42" i="7"/>
  <c r="I70" i="7" s="1"/>
  <c r="J70" i="7" s="1"/>
  <c r="I30" i="7"/>
  <c r="J30" i="7" s="1"/>
  <c r="AN42" i="7"/>
  <c r="I46" i="7"/>
  <c r="J46" i="7" s="1"/>
  <c r="AM73" i="7"/>
  <c r="AN73" i="7" s="1"/>
  <c r="I43" i="7"/>
  <c r="J43" i="7" s="1"/>
  <c r="AM68" i="7"/>
  <c r="AN68" i="7" s="1"/>
  <c r="I39" i="7"/>
  <c r="J39" i="7" s="1"/>
  <c r="I24" i="7"/>
  <c r="J24" i="7" s="1"/>
  <c r="AN21" i="7"/>
  <c r="I16" i="7"/>
  <c r="J16" i="7" s="1"/>
  <c r="AM64" i="7"/>
  <c r="AN64" i="7" s="1"/>
  <c r="I14" i="7"/>
  <c r="J14" i="7" s="1"/>
  <c r="I17" i="7"/>
  <c r="J17" i="7" s="1"/>
  <c r="AM65" i="7"/>
  <c r="AN65" i="7" s="1"/>
  <c r="I34" i="7"/>
  <c r="J34" i="7" s="1"/>
  <c r="I35" i="7"/>
  <c r="J35" i="7" s="1"/>
  <c r="I40" i="7"/>
  <c r="J40" i="7" s="1"/>
  <c r="AN40" i="7"/>
  <c r="AM60" i="7"/>
  <c r="AN60" i="7" s="1"/>
  <c r="I36" i="7"/>
  <c r="J36" i="7" s="1"/>
  <c r="AM48" i="7"/>
  <c r="AN48" i="7" s="1"/>
  <c r="J48" i="7" s="1"/>
  <c r="I48" i="7" s="1"/>
  <c r="I15" i="7"/>
  <c r="J15" i="7" s="1"/>
  <c r="I22" i="7"/>
  <c r="J22" i="7" s="1"/>
  <c r="I13" i="7"/>
  <c r="J13" i="7" s="1"/>
  <c r="AM51" i="7"/>
  <c r="I51" i="7" s="1"/>
  <c r="I31" i="7"/>
  <c r="J31" i="7" s="1"/>
  <c r="I28" i="7"/>
  <c r="J28" i="7" s="1"/>
  <c r="I44" i="7"/>
  <c r="J44" i="7" s="1"/>
  <c r="AM50" i="7"/>
  <c r="I50" i="7" s="1"/>
  <c r="J50" i="7" s="1"/>
  <c r="AN44" i="7"/>
  <c r="AM72" i="7"/>
  <c r="I49" i="7"/>
  <c r="J49" i="7" s="1"/>
  <c r="AK68" i="8"/>
  <c r="AL68" i="8" s="1"/>
  <c r="AJ50" i="8"/>
  <c r="AJ51" i="8"/>
  <c r="AK63" i="8"/>
  <c r="AL63" i="8" s="1"/>
  <c r="AI74" i="8"/>
  <c r="I74" i="8" s="1"/>
  <c r="AK70" i="8"/>
  <c r="AL70" i="8" s="1"/>
  <c r="AK64" i="8"/>
  <c r="AL64" i="8" s="1"/>
  <c r="AL46" i="8"/>
  <c r="AK67" i="8"/>
  <c r="AL67" i="8" s="1"/>
  <c r="AK60" i="8"/>
  <c r="AL60" i="8" s="1"/>
  <c r="AK72" i="8"/>
  <c r="AK74" i="8" s="1"/>
  <c r="AL9" i="8"/>
  <c r="AJ75" i="8"/>
  <c r="AJ79" i="8" s="1"/>
  <c r="AK50" i="8"/>
  <c r="AL51" i="8" s="1"/>
  <c r="AK65" i="8"/>
  <c r="AL65" i="8" s="1"/>
  <c r="AK51" i="8"/>
  <c r="AL43" i="8"/>
  <c r="AM33" i="8"/>
  <c r="AN33" i="8" s="1"/>
  <c r="AM17" i="8"/>
  <c r="AN17" i="8" s="1"/>
  <c r="AM37" i="8"/>
  <c r="AM69" i="8" s="1"/>
  <c r="AN69" i="8" s="1"/>
  <c r="AM58" i="8"/>
  <c r="AM10" i="8"/>
  <c r="AN10" i="8" s="1"/>
  <c r="AM28" i="8"/>
  <c r="AN28" i="8" s="1"/>
  <c r="AM42" i="8"/>
  <c r="AN42" i="8" s="1"/>
  <c r="AM9" i="8"/>
  <c r="I9" i="8" s="1"/>
  <c r="J9" i="8" s="1"/>
  <c r="AM22" i="8"/>
  <c r="AN22" i="8" s="1"/>
  <c r="AM32" i="8"/>
  <c r="AN32" i="8" s="1"/>
  <c r="AM47" i="8"/>
  <c r="AN47" i="8" s="1"/>
  <c r="AM24" i="8"/>
  <c r="AN24" i="8" s="1"/>
  <c r="AM12" i="8"/>
  <c r="AN12" i="8" s="1"/>
  <c r="AM41" i="8"/>
  <c r="AN41" i="8" s="1"/>
  <c r="AM13" i="8"/>
  <c r="AN13" i="8" s="1"/>
  <c r="AM26" i="8"/>
  <c r="AN26" i="8" s="1"/>
  <c r="AM20" i="8"/>
  <c r="I20" i="8" s="1"/>
  <c r="I64" i="8" s="1"/>
  <c r="J64" i="8" s="1"/>
  <c r="AM39" i="8"/>
  <c r="AN39" i="8" s="1"/>
  <c r="AM16" i="8"/>
  <c r="AN16" i="8" s="1"/>
  <c r="AM40" i="8"/>
  <c r="I40" i="8" s="1"/>
  <c r="J40" i="8" s="1"/>
  <c r="AM46" i="8"/>
  <c r="AN46" i="8" s="1"/>
  <c r="AM36" i="8"/>
  <c r="AN36" i="8" s="1"/>
  <c r="AM30" i="8"/>
  <c r="AN30" i="8" s="1"/>
  <c r="AM49" i="8"/>
  <c r="AM15" i="8"/>
  <c r="AN15" i="8" s="1"/>
  <c r="AM14" i="8"/>
  <c r="AN14" i="8" s="1"/>
  <c r="AM11" i="8"/>
  <c r="I11" i="8" s="1"/>
  <c r="J11" i="8" s="1"/>
  <c r="AM38" i="8"/>
  <c r="I38" i="8" s="1"/>
  <c r="J38" i="8" s="1"/>
  <c r="AM21" i="8"/>
  <c r="I21" i="8" s="1"/>
  <c r="J21" i="8" s="1"/>
  <c r="AM23" i="8"/>
  <c r="AN23" i="8" s="1"/>
  <c r="AM29" i="8"/>
  <c r="AN29" i="8" s="1"/>
  <c r="AM27" i="8"/>
  <c r="AN27" i="8" s="1"/>
  <c r="AM45" i="8"/>
  <c r="AN45" i="8" s="1"/>
  <c r="AK48" i="8"/>
  <c r="AL48" i="8" s="1"/>
  <c r="AM25" i="8"/>
  <c r="AN25" i="8" s="1"/>
  <c r="AM19" i="8"/>
  <c r="I19" i="8" s="1"/>
  <c r="I63" i="8" s="1"/>
  <c r="J63" i="8" s="1"/>
  <c r="AM35" i="8"/>
  <c r="AN35" i="8" s="1"/>
  <c r="AM44" i="8"/>
  <c r="I44" i="8" s="1"/>
  <c r="J44" i="8" s="1"/>
  <c r="AM18" i="8"/>
  <c r="AN18" i="8" s="1"/>
  <c r="AM34" i="8"/>
  <c r="AN34" i="8" s="1"/>
  <c r="AM31" i="8"/>
  <c r="AN31" i="8" s="1"/>
  <c r="AK68" i="5"/>
  <c r="AL68" i="5" s="1"/>
  <c r="AJ75" i="6"/>
  <c r="AJ79" i="6" s="1"/>
  <c r="AM71" i="8"/>
  <c r="AN71" i="8" s="1"/>
  <c r="AN43" i="8"/>
  <c r="I43" i="8"/>
  <c r="AN26" i="6"/>
  <c r="I26" i="6"/>
  <c r="J26" i="6" s="1"/>
  <c r="I28" i="6"/>
  <c r="J28" i="6" s="1"/>
  <c r="AK72" i="5"/>
  <c r="AK74" i="5" s="1"/>
  <c r="AK69" i="5"/>
  <c r="AL69" i="5" s="1"/>
  <c r="AL43" i="5"/>
  <c r="AL20" i="5"/>
  <c r="AK70" i="5"/>
  <c r="AL70" i="5" s="1"/>
  <c r="AK63" i="5"/>
  <c r="AL63" i="5" s="1"/>
  <c r="AL38" i="5"/>
  <c r="AJ50" i="5"/>
  <c r="AJ51" i="5"/>
  <c r="AI74" i="5"/>
  <c r="I74" i="5" s="1"/>
  <c r="AK65" i="5"/>
  <c r="AL65" i="5" s="1"/>
  <c r="AK48" i="5"/>
  <c r="AL48" i="5" s="1"/>
  <c r="AK51" i="5"/>
  <c r="AK50" i="5"/>
  <c r="AL51" i="5" s="1"/>
  <c r="AM42" i="5"/>
  <c r="I42" i="5" s="1"/>
  <c r="AM25" i="5"/>
  <c r="AN25" i="5" s="1"/>
  <c r="AM32" i="5"/>
  <c r="AN32" i="5" s="1"/>
  <c r="AM47" i="5"/>
  <c r="AN47" i="5" s="1"/>
  <c r="AJ75" i="5"/>
  <c r="AM18" i="5"/>
  <c r="AN18" i="5" s="1"/>
  <c r="AM13" i="5"/>
  <c r="AN13" i="5" s="1"/>
  <c r="AM41" i="5"/>
  <c r="AN41" i="5" s="1"/>
  <c r="AM28" i="5"/>
  <c r="AN28" i="5" s="1"/>
  <c r="AM23" i="5"/>
  <c r="AN23" i="5" s="1"/>
  <c r="AM39" i="5"/>
  <c r="AN39" i="5" s="1"/>
  <c r="AM35" i="5"/>
  <c r="AN35" i="5" s="1"/>
  <c r="AK60" i="5"/>
  <c r="AL60" i="5" s="1"/>
  <c r="AM40" i="5"/>
  <c r="I40" i="5" s="1"/>
  <c r="J40" i="5" s="1"/>
  <c r="AM10" i="5"/>
  <c r="AN10" i="5" s="1"/>
  <c r="AM46" i="5"/>
  <c r="AM73" i="5" s="1"/>
  <c r="AN73" i="5" s="1"/>
  <c r="AM12" i="5"/>
  <c r="AM17" i="5"/>
  <c r="AN17" i="5" s="1"/>
  <c r="AM16" i="5"/>
  <c r="AN16" i="5" s="1"/>
  <c r="AM49" i="5"/>
  <c r="AN49" i="5" s="1"/>
  <c r="AM26" i="5"/>
  <c r="I26" i="5" s="1"/>
  <c r="J26" i="5" s="1"/>
  <c r="AM21" i="5"/>
  <c r="I21" i="5" s="1"/>
  <c r="J21" i="5" s="1"/>
  <c r="AM30" i="5"/>
  <c r="AN30" i="5" s="1"/>
  <c r="AM45" i="5"/>
  <c r="AM33" i="5"/>
  <c r="AN33" i="5" s="1"/>
  <c r="AK67" i="5"/>
  <c r="AL67" i="5" s="1"/>
  <c r="AM15" i="5"/>
  <c r="I15" i="5" s="1"/>
  <c r="J15" i="5" s="1"/>
  <c r="AM11" i="5"/>
  <c r="AN11" i="5" s="1"/>
  <c r="AM37" i="5"/>
  <c r="I37" i="5" s="1"/>
  <c r="AM43" i="5"/>
  <c r="I43" i="5" s="1"/>
  <c r="AM29" i="5"/>
  <c r="AN29" i="5" s="1"/>
  <c r="AM14" i="5"/>
  <c r="AN14" i="5" s="1"/>
  <c r="AM22" i="5"/>
  <c r="AN22" i="5" s="1"/>
  <c r="AM34" i="5"/>
  <c r="AN34" i="5" s="1"/>
  <c r="AM36" i="5"/>
  <c r="AN36" i="5" s="1"/>
  <c r="AM58" i="5"/>
  <c r="AM24" i="5"/>
  <c r="AN24" i="5" s="1"/>
  <c r="AM44" i="5"/>
  <c r="I44" i="5" s="1"/>
  <c r="AM9" i="5"/>
  <c r="I9" i="5" s="1"/>
  <c r="J9" i="5" s="1"/>
  <c r="AM20" i="5"/>
  <c r="I20" i="5" s="1"/>
  <c r="J20" i="5" s="1"/>
  <c r="AM38" i="5"/>
  <c r="AN38" i="5" s="1"/>
  <c r="AL46" i="5"/>
  <c r="AM31" i="5"/>
  <c r="AN31" i="5" s="1"/>
  <c r="AM27" i="5"/>
  <c r="AN27" i="5" s="1"/>
  <c r="AJ40" i="1"/>
  <c r="AI67" i="1"/>
  <c r="AJ67" i="1" s="1"/>
  <c r="AJ20" i="1"/>
  <c r="AI64" i="1"/>
  <c r="AJ64" i="1" s="1"/>
  <c r="AM63" i="5"/>
  <c r="AN63" i="5" s="1"/>
  <c r="AN19" i="5"/>
  <c r="I19" i="5"/>
  <c r="AJ38" i="1"/>
  <c r="AI68" i="1"/>
  <c r="AJ68" i="1" s="1"/>
  <c r="AH50" i="1"/>
  <c r="AH52" i="1" s="1"/>
  <c r="AH74" i="1"/>
  <c r="AG74" i="1"/>
  <c r="AI69" i="1"/>
  <c r="AJ69" i="1" s="1"/>
  <c r="AI48" i="1"/>
  <c r="AJ42" i="1"/>
  <c r="AI73" i="1"/>
  <c r="AJ73" i="1" s="1"/>
  <c r="AI71" i="1"/>
  <c r="AJ71" i="1" s="1"/>
  <c r="AH72" i="1"/>
  <c r="AI72" i="1"/>
  <c r="AJ72" i="1" s="1"/>
  <c r="AJ19" i="1"/>
  <c r="AJ44" i="1"/>
  <c r="AM41" i="1"/>
  <c r="AN41" i="1" s="1"/>
  <c r="AM20" i="1"/>
  <c r="AM46" i="1"/>
  <c r="AN46" i="1" s="1"/>
  <c r="AM38" i="1"/>
  <c r="AM15" i="1"/>
  <c r="AN15" i="1" s="1"/>
  <c r="AM18" i="1"/>
  <c r="AN18" i="1" s="1"/>
  <c r="AM26" i="1"/>
  <c r="AN26" i="1" s="1"/>
  <c r="AM11" i="1"/>
  <c r="AN11" i="1" s="1"/>
  <c r="AM23" i="1"/>
  <c r="AN23" i="1" s="1"/>
  <c r="AM44" i="1"/>
  <c r="AN44" i="1" s="1"/>
  <c r="AM43" i="1"/>
  <c r="AM71" i="1" s="1"/>
  <c r="AN71" i="1" s="1"/>
  <c r="AM39" i="1"/>
  <c r="AN39" i="1" s="1"/>
  <c r="AM13" i="1"/>
  <c r="AN13" i="1" s="1"/>
  <c r="AM31" i="1"/>
  <c r="AN31" i="1" s="1"/>
  <c r="AM21" i="1"/>
  <c r="AN21" i="1" s="1"/>
  <c r="AM29" i="1"/>
  <c r="AN29" i="1" s="1"/>
  <c r="AM40" i="1"/>
  <c r="AM24" i="1"/>
  <c r="AN24" i="1" s="1"/>
  <c r="AM49" i="1"/>
  <c r="AN49" i="1" s="1"/>
  <c r="AO7" i="1" a="1"/>
  <c r="AO7" i="1" s="1"/>
  <c r="AO20" i="1" s="1"/>
  <c r="AM42" i="1"/>
  <c r="AM32" i="1"/>
  <c r="AN32" i="1" s="1"/>
  <c r="AM36" i="1"/>
  <c r="AN36" i="1" s="1"/>
  <c r="AM47" i="1"/>
  <c r="AN47" i="1" s="1"/>
  <c r="AM16" i="1"/>
  <c r="AN16" i="1" s="1"/>
  <c r="AM58" i="1"/>
  <c r="AI65" i="1"/>
  <c r="AJ65" i="1" s="1"/>
  <c r="AM14" i="1"/>
  <c r="AN14" i="1" s="1"/>
  <c r="AM45" i="1"/>
  <c r="AN45" i="1" s="1"/>
  <c r="AM9" i="1"/>
  <c r="AN9" i="1" s="1"/>
  <c r="AM34" i="1"/>
  <c r="AN34" i="1" s="1"/>
  <c r="AI60" i="1"/>
  <c r="AJ60" i="1" s="1"/>
  <c r="AM22" i="1"/>
  <c r="AN22" i="1" s="1"/>
  <c r="AM17" i="1"/>
  <c r="AN17" i="1" s="1"/>
  <c r="AM10" i="1"/>
  <c r="AN10" i="1" s="1"/>
  <c r="AM33" i="1"/>
  <c r="AN33" i="1" s="1"/>
  <c r="AM12" i="1"/>
  <c r="AN12" i="1" s="1"/>
  <c r="AM27" i="1"/>
  <c r="AN27" i="1" s="1"/>
  <c r="AM35" i="1"/>
  <c r="AN35" i="1" s="1"/>
  <c r="AM28" i="1"/>
  <c r="AN28" i="1" s="1"/>
  <c r="AM30" i="1"/>
  <c r="AN30" i="1" s="1"/>
  <c r="AM25" i="1"/>
  <c r="AN25" i="1" s="1"/>
  <c r="AM37" i="1"/>
  <c r="AM69" i="1" s="1"/>
  <c r="AN69" i="1" s="1"/>
  <c r="AN19" i="1"/>
  <c r="AM63" i="1"/>
  <c r="AN63" i="1" s="1"/>
  <c r="AK50" i="1" l="1"/>
  <c r="I47" i="6"/>
  <c r="J47" i="6" s="1"/>
  <c r="AN9" i="6"/>
  <c r="I34" i="6"/>
  <c r="J34" i="6" s="1"/>
  <c r="J20" i="6"/>
  <c r="AM64" i="6"/>
  <c r="AN64" i="6" s="1"/>
  <c r="AN40" i="6"/>
  <c r="I15" i="6"/>
  <c r="J15" i="6" s="1"/>
  <c r="AN20" i="6"/>
  <c r="I12" i="6"/>
  <c r="J12" i="6" s="1"/>
  <c r="I38" i="6"/>
  <c r="I29" i="6"/>
  <c r="J29" i="6" s="1"/>
  <c r="I20" i="1"/>
  <c r="AM68" i="6"/>
  <c r="AN68" i="6" s="1"/>
  <c r="AN42" i="1"/>
  <c r="AM50" i="1"/>
  <c r="AN74" i="1" s="1"/>
  <c r="AM51" i="1"/>
  <c r="AK51" i="1"/>
  <c r="AM70" i="6"/>
  <c r="AN70" i="6" s="1"/>
  <c r="I42" i="6"/>
  <c r="I70" i="6" s="1"/>
  <c r="J70" i="6" s="1"/>
  <c r="AJ48" i="1"/>
  <c r="I11" i="6"/>
  <c r="J11" i="6" s="1"/>
  <c r="I14" i="6"/>
  <c r="J14" i="6" s="1"/>
  <c r="I41" i="6"/>
  <c r="J41" i="6" s="1"/>
  <c r="AM63" i="6"/>
  <c r="AN63" i="6" s="1"/>
  <c r="AL44" i="1"/>
  <c r="AK72" i="1"/>
  <c r="AK48" i="1"/>
  <c r="AL48" i="1" s="1"/>
  <c r="I39" i="6"/>
  <c r="J39" i="6" s="1"/>
  <c r="AN39" i="6"/>
  <c r="AL42" i="1"/>
  <c r="AK70" i="1"/>
  <c r="AL70" i="1" s="1"/>
  <c r="AL43" i="1"/>
  <c r="AK71" i="1"/>
  <c r="AL71" i="1" s="1"/>
  <c r="I36" i="6"/>
  <c r="J36" i="6" s="1"/>
  <c r="AK60" i="1"/>
  <c r="AL60" i="1" s="1"/>
  <c r="AL9" i="1"/>
  <c r="AL40" i="1"/>
  <c r="AK67" i="1"/>
  <c r="AL67" i="1" s="1"/>
  <c r="I17" i="6"/>
  <c r="J17" i="6" s="1"/>
  <c r="AL21" i="1"/>
  <c r="AK65" i="1"/>
  <c r="AL65" i="1" s="1"/>
  <c r="AK68" i="1"/>
  <c r="AL68" i="1" s="1"/>
  <c r="AL38" i="1"/>
  <c r="AL20" i="1"/>
  <c r="AK64" i="1"/>
  <c r="AL64" i="1" s="1"/>
  <c r="I19" i="6"/>
  <c r="I63" i="6" s="1"/>
  <c r="J63" i="6" s="1"/>
  <c r="AK63" i="1"/>
  <c r="AL63" i="1" s="1"/>
  <c r="AL19" i="1"/>
  <c r="AK69" i="1"/>
  <c r="AL69" i="1" s="1"/>
  <c r="AL37" i="1"/>
  <c r="AL46" i="1"/>
  <c r="AK73" i="1"/>
  <c r="AL73" i="1" s="1"/>
  <c r="I16" i="6"/>
  <c r="J16" i="6" s="1"/>
  <c r="I49" i="6"/>
  <c r="J49" i="6" s="1"/>
  <c r="I31" i="6"/>
  <c r="J31" i="6" s="1"/>
  <c r="I37" i="6"/>
  <c r="I66" i="6" s="1"/>
  <c r="J66" i="6" s="1"/>
  <c r="I24" i="6"/>
  <c r="J24" i="6" s="1"/>
  <c r="I18" i="6"/>
  <c r="J18" i="6" s="1"/>
  <c r="I21" i="6"/>
  <c r="J21" i="6" s="1"/>
  <c r="AM69" i="6"/>
  <c r="AN69" i="6" s="1"/>
  <c r="I13" i="6"/>
  <c r="J13" i="6" s="1"/>
  <c r="AM67" i="6"/>
  <c r="AN67" i="6" s="1"/>
  <c r="I30" i="6"/>
  <c r="J30" i="6" s="1"/>
  <c r="AJ52" i="6"/>
  <c r="I45" i="6"/>
  <c r="J45" i="6" s="1"/>
  <c r="AM60" i="6"/>
  <c r="AN60" i="6" s="1"/>
  <c r="I32" i="6"/>
  <c r="J32" i="6" s="1"/>
  <c r="I10" i="6"/>
  <c r="J10" i="6" s="1"/>
  <c r="I27" i="6"/>
  <c r="J27" i="6" s="1"/>
  <c r="I35" i="6"/>
  <c r="J35" i="6" s="1"/>
  <c r="I22" i="6"/>
  <c r="J22" i="6" s="1"/>
  <c r="AL72" i="6"/>
  <c r="AM65" i="6"/>
  <c r="AN65" i="6" s="1"/>
  <c r="J43" i="6"/>
  <c r="I33" i="6"/>
  <c r="J33" i="6" s="1"/>
  <c r="AN43" i="6"/>
  <c r="I23" i="6"/>
  <c r="J23" i="6" s="1"/>
  <c r="AM71" i="6"/>
  <c r="AN71" i="6" s="1"/>
  <c r="I46" i="6"/>
  <c r="J46" i="6" s="1"/>
  <c r="AM73" i="6"/>
  <c r="AN73" i="6" s="1"/>
  <c r="I25" i="6"/>
  <c r="J25" i="6" s="1"/>
  <c r="AN25" i="6"/>
  <c r="AN44" i="6"/>
  <c r="AM51" i="6"/>
  <c r="I51" i="6" s="1"/>
  <c r="AM48" i="6"/>
  <c r="AN48" i="6" s="1"/>
  <c r="J48" i="6" s="1"/>
  <c r="I48" i="6" s="1"/>
  <c r="AM50" i="6"/>
  <c r="AN50" i="6" s="1"/>
  <c r="AM72" i="6"/>
  <c r="AL50" i="6"/>
  <c r="AL52" i="6" s="1"/>
  <c r="AL74" i="6"/>
  <c r="I60" i="7"/>
  <c r="J60" i="7" s="1"/>
  <c r="G4" i="7"/>
  <c r="K4" i="7" s="1"/>
  <c r="I72" i="7"/>
  <c r="J72" i="7" s="1"/>
  <c r="J42" i="7"/>
  <c r="AM74" i="7"/>
  <c r="I71" i="7"/>
  <c r="J71" i="7" s="1"/>
  <c r="J74" i="7"/>
  <c r="AN50" i="7"/>
  <c r="I4" i="7"/>
  <c r="J51" i="7"/>
  <c r="I73" i="7"/>
  <c r="J73" i="7" s="1"/>
  <c r="AN74" i="7"/>
  <c r="AN51" i="7"/>
  <c r="AJ52" i="8"/>
  <c r="I67" i="7"/>
  <c r="J67" i="7" s="1"/>
  <c r="I68" i="7"/>
  <c r="J68" i="7" s="1"/>
  <c r="AN72" i="7"/>
  <c r="I12" i="8"/>
  <c r="J12" i="8" s="1"/>
  <c r="I65" i="7"/>
  <c r="J65" i="7" s="1"/>
  <c r="I33" i="8"/>
  <c r="J33" i="8" s="1"/>
  <c r="AN44" i="8"/>
  <c r="I35" i="8"/>
  <c r="J35" i="8" s="1"/>
  <c r="AM73" i="8"/>
  <c r="AN73" i="8" s="1"/>
  <c r="AN40" i="8"/>
  <c r="I22" i="8"/>
  <c r="J22" i="8" s="1"/>
  <c r="AL72" i="8"/>
  <c r="AL74" i="8"/>
  <c r="AL50" i="8"/>
  <c r="AL52" i="8" s="1"/>
  <c r="AM48" i="8"/>
  <c r="AN48" i="8" s="1"/>
  <c r="J48" i="8" s="1"/>
  <c r="I48" i="8" s="1"/>
  <c r="AM51" i="8"/>
  <c r="I51" i="8" s="1"/>
  <c r="I16" i="8"/>
  <c r="J16" i="8" s="1"/>
  <c r="AN9" i="8"/>
  <c r="AN19" i="8"/>
  <c r="AM63" i="8"/>
  <c r="AN63" i="8" s="1"/>
  <c r="I30" i="8"/>
  <c r="J30" i="8" s="1"/>
  <c r="I46" i="8"/>
  <c r="J46" i="8" s="1"/>
  <c r="AN11" i="8"/>
  <c r="J19" i="8"/>
  <c r="I37" i="8"/>
  <c r="J37" i="8" s="1"/>
  <c r="AM72" i="8"/>
  <c r="I24" i="8"/>
  <c r="J24" i="8" s="1"/>
  <c r="I27" i="8"/>
  <c r="J27" i="8" s="1"/>
  <c r="J20" i="8"/>
  <c r="AM64" i="8"/>
  <c r="AN64" i="8" s="1"/>
  <c r="AM60" i="8"/>
  <c r="AN60" i="8" s="1"/>
  <c r="I18" i="8"/>
  <c r="J18" i="8" s="1"/>
  <c r="I14" i="8"/>
  <c r="J14" i="8" s="1"/>
  <c r="AN21" i="8"/>
  <c r="I17" i="8"/>
  <c r="J17" i="8" s="1"/>
  <c r="I42" i="8"/>
  <c r="J42" i="8" s="1"/>
  <c r="AM70" i="8"/>
  <c r="AN70" i="8" s="1"/>
  <c r="AN20" i="8"/>
  <c r="I34" i="8"/>
  <c r="J34" i="8" s="1"/>
  <c r="I26" i="8"/>
  <c r="J26" i="8" s="1"/>
  <c r="I41" i="8"/>
  <c r="AN38" i="8"/>
  <c r="AM50" i="8"/>
  <c r="AN51" i="8" s="1"/>
  <c r="AM68" i="8"/>
  <c r="AN68" i="8" s="1"/>
  <c r="AN37" i="8"/>
  <c r="I47" i="8"/>
  <c r="J47" i="8" s="1"/>
  <c r="AM67" i="8"/>
  <c r="AN67" i="8" s="1"/>
  <c r="I28" i="8"/>
  <c r="J28" i="8" s="1"/>
  <c r="I25" i="8"/>
  <c r="J25" i="8" s="1"/>
  <c r="I32" i="8"/>
  <c r="J32" i="8" s="1"/>
  <c r="I36" i="8"/>
  <c r="J36" i="8" s="1"/>
  <c r="I29" i="8"/>
  <c r="J29" i="8" s="1"/>
  <c r="AM65" i="8"/>
  <c r="AN65" i="8" s="1"/>
  <c r="I45" i="8"/>
  <c r="J45" i="8" s="1"/>
  <c r="I31" i="8"/>
  <c r="J31" i="8" s="1"/>
  <c r="AN49" i="8"/>
  <c r="I49" i="8"/>
  <c r="J49" i="8" s="1"/>
  <c r="I39" i="8"/>
  <c r="J39" i="8" s="1"/>
  <c r="I10" i="8"/>
  <c r="J10" i="8" s="1"/>
  <c r="I13" i="8"/>
  <c r="J13" i="8" s="1"/>
  <c r="I15" i="8"/>
  <c r="J15" i="8" s="1"/>
  <c r="I23" i="8"/>
  <c r="J23" i="8" s="1"/>
  <c r="AL72" i="5"/>
  <c r="I71" i="8"/>
  <c r="J71" i="8" s="1"/>
  <c r="J43" i="8"/>
  <c r="J38" i="6"/>
  <c r="J9" i="6"/>
  <c r="AJ52" i="5"/>
  <c r="I39" i="5"/>
  <c r="J39" i="5" s="1"/>
  <c r="I64" i="5"/>
  <c r="J64" i="5" s="1"/>
  <c r="AN42" i="5"/>
  <c r="AM70" i="5"/>
  <c r="AN70" i="5" s="1"/>
  <c r="I25" i="5"/>
  <c r="J25" i="5" s="1"/>
  <c r="I46" i="5"/>
  <c r="I73" i="5" s="1"/>
  <c r="J73" i="5" s="1"/>
  <c r="AN46" i="5"/>
  <c r="I10" i="5"/>
  <c r="J10" i="5" s="1"/>
  <c r="AN40" i="5"/>
  <c r="AL74" i="5"/>
  <c r="I47" i="5"/>
  <c r="J47" i="5" s="1"/>
  <c r="AN20" i="5"/>
  <c r="I33" i="5"/>
  <c r="J33" i="5" s="1"/>
  <c r="I24" i="5"/>
  <c r="J24" i="5" s="1"/>
  <c r="AL50" i="5"/>
  <c r="AL52" i="5" s="1"/>
  <c r="I36" i="5"/>
  <c r="J36" i="5" s="1"/>
  <c r="AN26" i="5"/>
  <c r="AN15" i="5"/>
  <c r="AM60" i="5"/>
  <c r="AN60" i="5" s="1"/>
  <c r="I16" i="5"/>
  <c r="J16" i="5" s="1"/>
  <c r="I13" i="5"/>
  <c r="J13" i="5" s="1"/>
  <c r="AN44" i="5"/>
  <c r="AN9" i="5"/>
  <c r="I12" i="5"/>
  <c r="J12" i="5" s="1"/>
  <c r="AN12" i="5"/>
  <c r="AM68" i="5"/>
  <c r="AN68" i="5" s="1"/>
  <c r="I18" i="5"/>
  <c r="J18" i="5" s="1"/>
  <c r="I41" i="5"/>
  <c r="J41" i="5" s="1"/>
  <c r="I49" i="5"/>
  <c r="J49" i="5" s="1"/>
  <c r="AM71" i="5"/>
  <c r="AN71" i="5" s="1"/>
  <c r="AN37" i="5"/>
  <c r="I38" i="5"/>
  <c r="J38" i="5" s="1"/>
  <c r="I11" i="5"/>
  <c r="J11" i="5" s="1"/>
  <c r="I32" i="5"/>
  <c r="J32" i="5" s="1"/>
  <c r="I28" i="5"/>
  <c r="J28" i="5" s="1"/>
  <c r="I29" i="5"/>
  <c r="J29" i="5" s="1"/>
  <c r="AN43" i="5"/>
  <c r="I14" i="5"/>
  <c r="J14" i="5" s="1"/>
  <c r="AM69" i="5"/>
  <c r="AN69" i="5" s="1"/>
  <c r="I31" i="5"/>
  <c r="J31" i="5" s="1"/>
  <c r="AM51" i="5"/>
  <c r="I51" i="5" s="1"/>
  <c r="AM67" i="5"/>
  <c r="AN67" i="5" s="1"/>
  <c r="I17" i="5"/>
  <c r="J17" i="5" s="1"/>
  <c r="AM64" i="5"/>
  <c r="AN64" i="5" s="1"/>
  <c r="I35" i="5"/>
  <c r="J35" i="5" s="1"/>
  <c r="AM50" i="5"/>
  <c r="I50" i="5" s="1"/>
  <c r="J74" i="5" s="1"/>
  <c r="I45" i="5"/>
  <c r="J45" i="5" s="1"/>
  <c r="AM72" i="5"/>
  <c r="AM74" i="5" s="1"/>
  <c r="I34" i="5"/>
  <c r="J34" i="5" s="1"/>
  <c r="AN45" i="5"/>
  <c r="I23" i="5"/>
  <c r="J23" i="5" s="1"/>
  <c r="AM48" i="5"/>
  <c r="AN48" i="5" s="1"/>
  <c r="J48" i="5" s="1"/>
  <c r="I48" i="5" s="1"/>
  <c r="I30" i="5"/>
  <c r="J30" i="5" s="1"/>
  <c r="AN21" i="5"/>
  <c r="AM65" i="5"/>
  <c r="AN65" i="5" s="1"/>
  <c r="I22" i="5"/>
  <c r="J22" i="5" s="1"/>
  <c r="I27" i="5"/>
  <c r="J27" i="5" s="1"/>
  <c r="AH75" i="1"/>
  <c r="AN40" i="1"/>
  <c r="AM67" i="1"/>
  <c r="AN67" i="1" s="1"/>
  <c r="AN20" i="1"/>
  <c r="AM64" i="1"/>
  <c r="AN64" i="1" s="1"/>
  <c r="AP20" i="1"/>
  <c r="AO64" i="1"/>
  <c r="I71" i="5"/>
  <c r="J71" i="5" s="1"/>
  <c r="J43" i="5"/>
  <c r="I70" i="5"/>
  <c r="J70" i="5" s="1"/>
  <c r="J42" i="5"/>
  <c r="J44" i="5"/>
  <c r="I63" i="5"/>
  <c r="J63" i="5" s="1"/>
  <c r="J19" i="5"/>
  <c r="I69" i="5"/>
  <c r="J69" i="5" s="1"/>
  <c r="I66" i="5"/>
  <c r="J66" i="5" s="1"/>
  <c r="J37" i="5"/>
  <c r="AN38" i="1"/>
  <c r="AM68" i="1"/>
  <c r="AN68" i="1" s="1"/>
  <c r="AM70" i="1"/>
  <c r="AN70" i="1" s="1"/>
  <c r="AI74" i="1"/>
  <c r="AJ51" i="1"/>
  <c r="AJ50" i="1"/>
  <c r="AM72" i="1"/>
  <c r="AN72" i="1" s="1"/>
  <c r="AM48" i="1"/>
  <c r="AN48" i="1" s="1"/>
  <c r="AM73" i="1"/>
  <c r="AN73" i="1" s="1"/>
  <c r="AO58" i="1"/>
  <c r="AO24" i="1"/>
  <c r="AO11" i="1"/>
  <c r="AP11" i="1" s="1"/>
  <c r="AO32" i="1"/>
  <c r="AP32" i="1" s="1"/>
  <c r="AO29" i="1"/>
  <c r="AP29" i="1" s="1"/>
  <c r="AO25" i="1"/>
  <c r="AP25" i="1" s="1"/>
  <c r="AO45" i="1"/>
  <c r="I45" i="1" s="1"/>
  <c r="AO44" i="1"/>
  <c r="I44" i="1" s="1"/>
  <c r="AO28" i="1"/>
  <c r="I28" i="1" s="1"/>
  <c r="AO22" i="1"/>
  <c r="AP22" i="1" s="1"/>
  <c r="AO49" i="1"/>
  <c r="I49" i="1" s="1"/>
  <c r="AO14" i="1"/>
  <c r="AP14" i="1" s="1"/>
  <c r="AM60" i="1"/>
  <c r="AN60" i="1" s="1"/>
  <c r="AO42" i="1"/>
  <c r="AO30" i="1"/>
  <c r="I30" i="1" s="1"/>
  <c r="AO47" i="1"/>
  <c r="AP47" i="1" s="1"/>
  <c r="AO15" i="1"/>
  <c r="I15" i="1" s="1"/>
  <c r="AM65" i="1"/>
  <c r="AN65" i="1" s="1"/>
  <c r="AJ75" i="1"/>
  <c r="AO9" i="1"/>
  <c r="AO46" i="1"/>
  <c r="AO18" i="1"/>
  <c r="AP18" i="1" s="1"/>
  <c r="AO21" i="1"/>
  <c r="AO12" i="1"/>
  <c r="AO40" i="1"/>
  <c r="I40" i="1" s="1"/>
  <c r="AO26" i="1"/>
  <c r="AP26" i="1" s="1"/>
  <c r="AO41" i="1"/>
  <c r="I41" i="1" s="1"/>
  <c r="AO37" i="1"/>
  <c r="AO69" i="1" s="1"/>
  <c r="AP69" i="1" s="1"/>
  <c r="AO36" i="1"/>
  <c r="AP36" i="1" s="1"/>
  <c r="AO33" i="1"/>
  <c r="AP33" i="1" s="1"/>
  <c r="AN43" i="1"/>
  <c r="AO17" i="1"/>
  <c r="AP17" i="1" s="1"/>
  <c r="AO13" i="1"/>
  <c r="AP13" i="1" s="1"/>
  <c r="AN37" i="1"/>
  <c r="AO43" i="1"/>
  <c r="AP43" i="1" s="1"/>
  <c r="AO19" i="1"/>
  <c r="I19" i="1" s="1"/>
  <c r="AO38" i="1"/>
  <c r="I38" i="1" s="1"/>
  <c r="AO39" i="1"/>
  <c r="AP39" i="1" s="1"/>
  <c r="AO16" i="1"/>
  <c r="AP16" i="1" s="1"/>
  <c r="AO34" i="1"/>
  <c r="AP34" i="1" s="1"/>
  <c r="AO27" i="1"/>
  <c r="I27" i="1" s="1"/>
  <c r="AO23" i="1"/>
  <c r="AO35" i="1"/>
  <c r="AP35" i="1" s="1"/>
  <c r="AO10" i="1"/>
  <c r="I10" i="1" s="1"/>
  <c r="AO31" i="1"/>
  <c r="AP31" i="1" s="1"/>
  <c r="I68" i="6" l="1"/>
  <c r="J68" i="6" s="1"/>
  <c r="I67" i="6"/>
  <c r="J67" i="6" s="1"/>
  <c r="J42" i="6"/>
  <c r="I22" i="1"/>
  <c r="J22" i="1" s="1"/>
  <c r="I32" i="1"/>
  <c r="I34" i="1"/>
  <c r="J34" i="1" s="1"/>
  <c r="I33" i="1"/>
  <c r="J33" i="1" s="1"/>
  <c r="J10" i="1"/>
  <c r="I36" i="1"/>
  <c r="J36" i="1" s="1"/>
  <c r="I18" i="1"/>
  <c r="J18" i="1" s="1"/>
  <c r="I35" i="1"/>
  <c r="J35" i="1" s="1"/>
  <c r="I16" i="1"/>
  <c r="J16" i="1" s="1"/>
  <c r="I47" i="1"/>
  <c r="J47" i="1" s="1"/>
  <c r="I25" i="1"/>
  <c r="J25" i="1" s="1"/>
  <c r="I17" i="1"/>
  <c r="J17" i="1" s="1"/>
  <c r="J15" i="1"/>
  <c r="I24" i="1"/>
  <c r="J24" i="1" s="1"/>
  <c r="I26" i="1"/>
  <c r="J26" i="1" s="1"/>
  <c r="I37" i="1"/>
  <c r="I66" i="1" s="1"/>
  <c r="J66" i="1" s="1"/>
  <c r="I13" i="1"/>
  <c r="J13" i="1" s="1"/>
  <c r="J30" i="1"/>
  <c r="I39" i="1"/>
  <c r="J39" i="1" s="1"/>
  <c r="J49" i="1"/>
  <c r="I11" i="1"/>
  <c r="J11" i="1" s="1"/>
  <c r="I12" i="1"/>
  <c r="J12" i="1" s="1"/>
  <c r="I21" i="1"/>
  <c r="J21" i="1" s="1"/>
  <c r="J27" i="1"/>
  <c r="I29" i="1"/>
  <c r="J29" i="1" s="1"/>
  <c r="I31" i="1"/>
  <c r="J31" i="1" s="1"/>
  <c r="J28" i="1"/>
  <c r="I23" i="1"/>
  <c r="J23" i="1" s="1"/>
  <c r="I14" i="1"/>
  <c r="J14" i="1" s="1"/>
  <c r="I9" i="1"/>
  <c r="J9" i="1" s="1"/>
  <c r="AP42" i="1"/>
  <c r="AO50" i="1"/>
  <c r="I50" i="1" s="1"/>
  <c r="I4" i="1" s="1"/>
  <c r="AO51" i="1"/>
  <c r="I51" i="1" s="1"/>
  <c r="I46" i="1"/>
  <c r="I73" i="1" s="1"/>
  <c r="J73" i="1" s="1"/>
  <c r="I42" i="1"/>
  <c r="I43" i="1"/>
  <c r="I71" i="1" s="1"/>
  <c r="J71" i="1" s="1"/>
  <c r="J37" i="6"/>
  <c r="I69" i="6"/>
  <c r="J69" i="6" s="1"/>
  <c r="J19" i="6"/>
  <c r="AK74" i="1"/>
  <c r="AL72" i="1"/>
  <c r="AL74" i="1"/>
  <c r="AL51" i="1"/>
  <c r="AL50" i="1"/>
  <c r="AL75" i="6"/>
  <c r="AL79" i="6" s="1"/>
  <c r="I50" i="6"/>
  <c r="J50" i="6" s="1"/>
  <c r="I72" i="6"/>
  <c r="J72" i="6" s="1"/>
  <c r="I73" i="6"/>
  <c r="J73" i="6" s="1"/>
  <c r="I60" i="6"/>
  <c r="J60" i="6" s="1"/>
  <c r="G4" i="6"/>
  <c r="K4" i="6" s="1"/>
  <c r="AN74" i="6"/>
  <c r="AM74" i="6"/>
  <c r="I65" i="6"/>
  <c r="J65" i="6" s="1"/>
  <c r="AN72" i="6"/>
  <c r="AN51" i="6"/>
  <c r="AN52" i="6" s="1"/>
  <c r="J52" i="7"/>
  <c r="L56" i="7" s="1"/>
  <c r="AN52" i="7"/>
  <c r="AN75" i="7"/>
  <c r="J75" i="7"/>
  <c r="I73" i="8"/>
  <c r="J73" i="8" s="1"/>
  <c r="AM74" i="8"/>
  <c r="I70" i="8"/>
  <c r="J70" i="8" s="1"/>
  <c r="AL75" i="8"/>
  <c r="AL79" i="8" s="1"/>
  <c r="I68" i="8"/>
  <c r="J68" i="8" s="1"/>
  <c r="AN50" i="8"/>
  <c r="AN52" i="8" s="1"/>
  <c r="AN72" i="8"/>
  <c r="AN74" i="8"/>
  <c r="I72" i="8"/>
  <c r="J72" i="8" s="1"/>
  <c r="I66" i="8"/>
  <c r="J66" i="8" s="1"/>
  <c r="I69" i="8"/>
  <c r="J69" i="8" s="1"/>
  <c r="I50" i="8"/>
  <c r="I4" i="8" s="1"/>
  <c r="AL75" i="5"/>
  <c r="I65" i="8"/>
  <c r="J65" i="8" s="1"/>
  <c r="G4" i="8"/>
  <c r="K4" i="8" s="1"/>
  <c r="J41" i="8"/>
  <c r="I67" i="8"/>
  <c r="J67" i="8" s="1"/>
  <c r="I60" i="8"/>
  <c r="J60" i="8" s="1"/>
  <c r="J46" i="5"/>
  <c r="I68" i="5"/>
  <c r="J68" i="5" s="1"/>
  <c r="L79" i="6"/>
  <c r="N79" i="6"/>
  <c r="R79" i="6"/>
  <c r="P79" i="6"/>
  <c r="T79" i="6"/>
  <c r="I72" i="5"/>
  <c r="J72" i="5" s="1"/>
  <c r="AJ52" i="1"/>
  <c r="I67" i="5"/>
  <c r="J67" i="5" s="1"/>
  <c r="I60" i="5"/>
  <c r="J60" i="5" s="1"/>
  <c r="I65" i="5"/>
  <c r="J65" i="5" s="1"/>
  <c r="AN74" i="5"/>
  <c r="AN51" i="5"/>
  <c r="I4" i="5"/>
  <c r="AN50" i="5"/>
  <c r="J50" i="5"/>
  <c r="J51" i="5"/>
  <c r="AN72" i="5"/>
  <c r="AP44" i="1"/>
  <c r="AP64" i="1"/>
  <c r="G4" i="5"/>
  <c r="K4" i="5" s="1"/>
  <c r="AP40" i="1"/>
  <c r="AO67" i="1"/>
  <c r="AP67" i="1" s="1"/>
  <c r="AP38" i="1"/>
  <c r="AO68" i="1"/>
  <c r="AP68" i="1" s="1"/>
  <c r="AO71" i="1"/>
  <c r="AP71" i="1" s="1"/>
  <c r="AP49" i="1"/>
  <c r="AN51" i="1"/>
  <c r="AO70" i="1"/>
  <c r="AP70" i="1" s="1"/>
  <c r="AM74" i="1"/>
  <c r="AN50" i="1"/>
  <c r="AP24" i="1"/>
  <c r="J38" i="1"/>
  <c r="AP27" i="1"/>
  <c r="J40" i="1"/>
  <c r="AP30" i="1"/>
  <c r="AO65" i="1"/>
  <c r="AP65" i="1" s="1"/>
  <c r="AN75" i="1"/>
  <c r="AP23" i="1"/>
  <c r="AO72" i="1"/>
  <c r="AP72" i="1" s="1"/>
  <c r="AP45" i="1"/>
  <c r="AO48" i="1"/>
  <c r="AP48" i="1" s="1"/>
  <c r="J48" i="1" s="1"/>
  <c r="AP37" i="1"/>
  <c r="J32" i="1"/>
  <c r="AP15" i="1"/>
  <c r="AP12" i="1"/>
  <c r="AO60" i="1"/>
  <c r="AP60" i="1" s="1"/>
  <c r="AP28" i="1"/>
  <c r="AP10" i="1"/>
  <c r="I63" i="1"/>
  <c r="J63" i="1" s="1"/>
  <c r="AP9" i="1"/>
  <c r="AO63" i="1"/>
  <c r="AP63" i="1" s="1"/>
  <c r="AP41" i="1"/>
  <c r="AO73" i="1"/>
  <c r="AP73" i="1" s="1"/>
  <c r="AP19" i="1"/>
  <c r="AP21" i="1"/>
  <c r="AP46" i="1"/>
  <c r="I64" i="1"/>
  <c r="J64" i="1" s="1"/>
  <c r="J20" i="1"/>
  <c r="J44" i="1"/>
  <c r="I72" i="1"/>
  <c r="J72" i="1" s="1"/>
  <c r="J45" i="1"/>
  <c r="J46" i="1" l="1"/>
  <c r="AL52" i="1"/>
  <c r="AN75" i="6"/>
  <c r="AN79" i="6" s="1"/>
  <c r="AL75" i="1"/>
  <c r="J42" i="1"/>
  <c r="G4" i="1"/>
  <c r="G11" i="2" s="1"/>
  <c r="I44" i="2" s="1"/>
  <c r="I48" i="1"/>
  <c r="AN79" i="7"/>
  <c r="I4" i="6"/>
  <c r="J74" i="6"/>
  <c r="J75" i="6" s="1"/>
  <c r="J76" i="6" s="1"/>
  <c r="J77" i="6" s="1"/>
  <c r="J78" i="6" s="1"/>
  <c r="J51" i="6"/>
  <c r="J52" i="6" s="1"/>
  <c r="AL56" i="6" s="1"/>
  <c r="AJ79" i="7"/>
  <c r="AL79" i="7"/>
  <c r="AN56" i="7"/>
  <c r="Z79" i="7"/>
  <c r="AH79" i="7"/>
  <c r="AD56" i="7"/>
  <c r="AB56" i="7"/>
  <c r="AF56" i="7"/>
  <c r="AL56" i="7"/>
  <c r="AF79" i="7"/>
  <c r="AJ56" i="7"/>
  <c r="P56" i="7"/>
  <c r="L79" i="7"/>
  <c r="X56" i="7"/>
  <c r="Z56" i="7"/>
  <c r="N56" i="7"/>
  <c r="AH56" i="7"/>
  <c r="R56" i="7"/>
  <c r="G12" i="2"/>
  <c r="V56" i="7"/>
  <c r="T56" i="7"/>
  <c r="R79" i="7"/>
  <c r="J53" i="7"/>
  <c r="J54" i="7" s="1"/>
  <c r="J55" i="7" s="1"/>
  <c r="X79" i="7"/>
  <c r="V79" i="7"/>
  <c r="T79" i="7"/>
  <c r="P79" i="7"/>
  <c r="N79" i="7"/>
  <c r="AD79" i="7"/>
  <c r="J76" i="7"/>
  <c r="J77" i="7" s="1"/>
  <c r="J78" i="7" s="1"/>
  <c r="AB79" i="7"/>
  <c r="J51" i="8"/>
  <c r="J50" i="8"/>
  <c r="AN75" i="8"/>
  <c r="AN79" i="8" s="1"/>
  <c r="J74" i="8"/>
  <c r="J75" i="8" s="1"/>
  <c r="J76" i="8" s="1"/>
  <c r="J77" i="8" s="1"/>
  <c r="AN52" i="5"/>
  <c r="AN75" i="5"/>
  <c r="AN79" i="5" s="1"/>
  <c r="P79" i="8"/>
  <c r="R79" i="8"/>
  <c r="T79" i="8"/>
  <c r="J75" i="5"/>
  <c r="J52" i="5"/>
  <c r="AJ56" i="5" s="1"/>
  <c r="AN52" i="1"/>
  <c r="I69" i="1"/>
  <c r="J69" i="1" s="1"/>
  <c r="I70" i="1"/>
  <c r="J70" i="1" s="1"/>
  <c r="AP74" i="1"/>
  <c r="AP75" i="1" s="1"/>
  <c r="J43" i="1"/>
  <c r="J51" i="1"/>
  <c r="J50" i="1"/>
  <c r="J74" i="1"/>
  <c r="AP51" i="1"/>
  <c r="AP50" i="1"/>
  <c r="I68" i="1"/>
  <c r="J68" i="1" s="1"/>
  <c r="I60" i="1"/>
  <c r="J60" i="1" s="1"/>
  <c r="J37" i="1"/>
  <c r="J19" i="1"/>
  <c r="AO74" i="1"/>
  <c r="I74" i="1" s="1"/>
  <c r="I65" i="1"/>
  <c r="J65" i="1" s="1"/>
  <c r="J41" i="1"/>
  <c r="I67" i="1"/>
  <c r="J67" i="1" s="1"/>
  <c r="J76" i="5" l="1"/>
  <c r="J77" i="5" s="1"/>
  <c r="J78" i="5" s="1"/>
  <c r="AJ79" i="5"/>
  <c r="AL79" i="5"/>
  <c r="AH79" i="5"/>
  <c r="AF79" i="5"/>
  <c r="AD79" i="5"/>
  <c r="K4" i="1"/>
  <c r="Z79" i="5"/>
  <c r="X79" i="5"/>
  <c r="V79" i="5"/>
  <c r="AB79" i="5"/>
  <c r="J53" i="6"/>
  <c r="J54" i="6" s="1"/>
  <c r="J55" i="6" s="1"/>
  <c r="L42" i="2" s="1"/>
  <c r="AF56" i="6"/>
  <c r="AH56" i="6"/>
  <c r="AJ56" i="6"/>
  <c r="N56" i="6"/>
  <c r="N79" i="8"/>
  <c r="L79" i="8"/>
  <c r="AN56" i="6"/>
  <c r="AB56" i="6"/>
  <c r="AD56" i="6"/>
  <c r="L56" i="6"/>
  <c r="X56" i="6"/>
  <c r="V56" i="6"/>
  <c r="P56" i="6"/>
  <c r="R56" i="6"/>
  <c r="T56" i="6"/>
  <c r="Z56" i="6"/>
  <c r="G77" i="6"/>
  <c r="J52" i="8"/>
  <c r="P56" i="8" s="1"/>
  <c r="N41" i="2"/>
  <c r="G77" i="7"/>
  <c r="N42" i="2"/>
  <c r="J47" i="2"/>
  <c r="I47" i="2"/>
  <c r="P56" i="5"/>
  <c r="AP52" i="1"/>
  <c r="P79" i="5"/>
  <c r="N79" i="5"/>
  <c r="L79" i="5"/>
  <c r="N56" i="5"/>
  <c r="R56" i="5"/>
  <c r="T79" i="5"/>
  <c r="R79" i="5"/>
  <c r="J53" i="5"/>
  <c r="J54" i="5" s="1"/>
  <c r="J55" i="5" s="1"/>
  <c r="T56" i="5"/>
  <c r="L56" i="5"/>
  <c r="V56" i="5"/>
  <c r="AL56" i="5"/>
  <c r="J78" i="8"/>
  <c r="G77" i="8"/>
  <c r="AN56" i="5"/>
  <c r="AD56" i="5"/>
  <c r="AB56" i="5"/>
  <c r="AF56" i="5"/>
  <c r="X56" i="5"/>
  <c r="Z56" i="5"/>
  <c r="AH56" i="5"/>
  <c r="J52" i="1"/>
  <c r="J75" i="1"/>
  <c r="AP79" i="1" s="1"/>
  <c r="G77" i="5" l="1"/>
  <c r="L41" i="2"/>
  <c r="AF56" i="8"/>
  <c r="Z56" i="8"/>
  <c r="AD56" i="8"/>
  <c r="X56" i="8"/>
  <c r="N56" i="8"/>
  <c r="AN79" i="1"/>
  <c r="AL79" i="1"/>
  <c r="T56" i="1"/>
  <c r="AL56" i="1"/>
  <c r="AN56" i="8"/>
  <c r="AH56" i="8"/>
  <c r="V56" i="8"/>
  <c r="J53" i="8"/>
  <c r="J54" i="8" s="1"/>
  <c r="J55" i="8" s="1"/>
  <c r="L56" i="8"/>
  <c r="R56" i="8"/>
  <c r="AJ56" i="8"/>
  <c r="AL56" i="8"/>
  <c r="T56" i="8"/>
  <c r="AB56" i="8"/>
  <c r="N79" i="1"/>
  <c r="AJ79" i="1"/>
  <c r="X56" i="1"/>
  <c r="V56" i="1"/>
  <c r="L56" i="1"/>
  <c r="AN56" i="1"/>
  <c r="AP56" i="1"/>
  <c r="N56" i="1"/>
  <c r="J53" i="1"/>
  <c r="J54" i="1" s="1"/>
  <c r="I41" i="2" s="1"/>
  <c r="AD56" i="1"/>
  <c r="P56" i="1"/>
  <c r="R56" i="1"/>
  <c r="AJ56" i="1"/>
  <c r="AB56" i="1"/>
  <c r="Z56" i="1"/>
  <c r="AH56" i="1"/>
  <c r="AF56" i="1"/>
  <c r="L79" i="1"/>
  <c r="J76" i="1"/>
  <c r="J77" i="1" s="1"/>
  <c r="J41" i="2" s="1"/>
  <c r="R79" i="1"/>
  <c r="T79" i="1"/>
  <c r="X79" i="1"/>
  <c r="P79" i="1"/>
  <c r="Z79" i="1"/>
  <c r="AH79" i="1"/>
  <c r="AD79" i="1"/>
  <c r="AF79" i="1"/>
  <c r="V79" i="1"/>
  <c r="AB79" i="1"/>
  <c r="G77" i="1" l="1"/>
  <c r="J55" i="1"/>
  <c r="J78" i="1"/>
  <c r="J42" i="2" l="1"/>
  <c r="J43" i="2" s="1"/>
  <c r="I42" i="2"/>
  <c r="I4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<sst xmlns="http://schemas.openxmlformats.org/spreadsheetml/2006/main" count="1704" uniqueCount="270">
  <si>
    <t>Components</t>
  </si>
  <si>
    <t>Type</t>
  </si>
  <si>
    <t>Description</t>
  </si>
  <si>
    <t>CLTD (°F)</t>
  </si>
  <si>
    <t>U-Value (Btu/hr-sf-°F)</t>
  </si>
  <si>
    <t>Cooling Load Factor</t>
  </si>
  <si>
    <t>Btu/hr-sf</t>
  </si>
  <si>
    <t>G1</t>
  </si>
  <si>
    <t>Right</t>
  </si>
  <si>
    <t>(E)</t>
  </si>
  <si>
    <t>(SE)</t>
  </si>
  <si>
    <t>(S)</t>
  </si>
  <si>
    <t>(SW)</t>
  </si>
  <si>
    <t>(W)</t>
  </si>
  <si>
    <t>(NW)</t>
  </si>
  <si>
    <t>(N)</t>
  </si>
  <si>
    <t>(NE)</t>
  </si>
  <si>
    <t>Front</t>
  </si>
  <si>
    <t>Left</t>
  </si>
  <si>
    <t>Back</t>
  </si>
  <si>
    <t>Shaded</t>
  </si>
  <si>
    <t>Sky Light</t>
  </si>
  <si>
    <t>NorthEast</t>
  </si>
  <si>
    <t>North</t>
  </si>
  <si>
    <t>East</t>
  </si>
  <si>
    <t>SouthEast</t>
  </si>
  <si>
    <t>South</t>
  </si>
  <si>
    <t>SouthWest</t>
  </si>
  <si>
    <t>West</t>
  </si>
  <si>
    <t>Entire House</t>
  </si>
  <si>
    <t>Qty</t>
  </si>
  <si>
    <t>Btu/hr</t>
  </si>
  <si>
    <t>Ceiling Height</t>
  </si>
  <si>
    <t>D1</t>
  </si>
  <si>
    <t>D2</t>
  </si>
  <si>
    <t>Laundry</t>
  </si>
  <si>
    <t>Garage</t>
  </si>
  <si>
    <t>Door</t>
  </si>
  <si>
    <t>W1</t>
  </si>
  <si>
    <t>W2</t>
  </si>
  <si>
    <t>W3</t>
  </si>
  <si>
    <t>R1</t>
  </si>
  <si>
    <t>R2</t>
  </si>
  <si>
    <t>F1</t>
  </si>
  <si>
    <t>F2</t>
  </si>
  <si>
    <t>Grade</t>
  </si>
  <si>
    <t>Partition</t>
  </si>
  <si>
    <t>Attic</t>
  </si>
  <si>
    <t>Kneewall</t>
  </si>
  <si>
    <t>Ceiling</t>
  </si>
  <si>
    <t>Vaulted</t>
  </si>
  <si>
    <t>Crawl/Uncon.</t>
  </si>
  <si>
    <t>Slab</t>
  </si>
  <si>
    <t>People</t>
  </si>
  <si>
    <t>Volume</t>
  </si>
  <si>
    <t>Infiltration (Tight)</t>
  </si>
  <si>
    <t>ACH</t>
  </si>
  <si>
    <t>CF</t>
  </si>
  <si>
    <t>Subtotal (Btu/hr)</t>
  </si>
  <si>
    <t>Safety Factor</t>
  </si>
  <si>
    <t>Sensible Cooling Load (Btu/hr)</t>
  </si>
  <si>
    <t>Nominal Tons Required (75% sens. Cap.)</t>
  </si>
  <si>
    <t>System Selection</t>
  </si>
  <si>
    <t>Tons</t>
  </si>
  <si>
    <t>Space CFM</t>
  </si>
  <si>
    <t>G2</t>
  </si>
  <si>
    <t>G3</t>
  </si>
  <si>
    <t>Infiltration</t>
  </si>
  <si>
    <t>Subtotal</t>
  </si>
  <si>
    <t>Heat Loss</t>
  </si>
  <si>
    <t>Minimum Heater Size</t>
  </si>
  <si>
    <t>Detla T (°F)</t>
  </si>
  <si>
    <t>Heating Load Factor</t>
  </si>
  <si>
    <t>%</t>
  </si>
  <si>
    <t>kW</t>
  </si>
  <si>
    <t>Htg CFM</t>
  </si>
  <si>
    <t>Internal</t>
  </si>
  <si>
    <t>Glass</t>
  </si>
  <si>
    <t>Basement Walls</t>
  </si>
  <si>
    <t>Above Grade Walls</t>
  </si>
  <si>
    <t>Other</t>
  </si>
  <si>
    <t>Roof</t>
  </si>
  <si>
    <t>Floor</t>
  </si>
  <si>
    <t>Walls</t>
  </si>
  <si>
    <t>Location</t>
  </si>
  <si>
    <t>Project</t>
  </si>
  <si>
    <t>Square Feet</t>
  </si>
  <si>
    <t>Date:</t>
  </si>
  <si>
    <t>By:</t>
  </si>
  <si>
    <t>Level(s):</t>
  </si>
  <si>
    <t>SEER</t>
  </si>
  <si>
    <t>First Floor</t>
  </si>
  <si>
    <t>Sf/Ton</t>
  </si>
  <si>
    <t>Typical Ceiling Height</t>
  </si>
  <si>
    <t>Kneewall Height</t>
  </si>
  <si>
    <t>House Faces:</t>
  </si>
  <si>
    <t>Worst</t>
  </si>
  <si>
    <t>BUILDING DATA</t>
  </si>
  <si>
    <t>DESIGN CONDITIONS</t>
  </si>
  <si>
    <t>ENERGY CALCULATIONS</t>
  </si>
  <si>
    <t>Floor Area</t>
  </si>
  <si>
    <t>Building Tightness</t>
  </si>
  <si>
    <t>ft</t>
  </si>
  <si>
    <t>ft2</t>
  </si>
  <si>
    <t>ft3</t>
  </si>
  <si>
    <t>Outdoor</t>
  </si>
  <si>
    <t>Indoor</t>
  </si>
  <si>
    <t>Delta T</t>
  </si>
  <si>
    <t>Range</t>
  </si>
  <si>
    <t>Summer</t>
  </si>
  <si>
    <t>°Fdb</t>
  </si>
  <si>
    <t>Winter</t>
  </si>
  <si>
    <t>Tight</t>
  </si>
  <si>
    <t>Construction Descriptions</t>
  </si>
  <si>
    <t>Doors</t>
  </si>
  <si>
    <t>Roofs</t>
  </si>
  <si>
    <t>Floors</t>
  </si>
  <si>
    <t>Walls / Partitions</t>
  </si>
  <si>
    <t>#</t>
  </si>
  <si>
    <t>U-Value</t>
  </si>
  <si>
    <t>Glass Type</t>
  </si>
  <si>
    <t>Double Insulated</t>
  </si>
  <si>
    <t>Windows</t>
  </si>
  <si>
    <t>All Types</t>
  </si>
  <si>
    <t>Internal Shading</t>
  </si>
  <si>
    <t>Blinds/ Draperies</t>
  </si>
  <si>
    <t>Notes</t>
  </si>
  <si>
    <t>SHGC</t>
  </si>
  <si>
    <t>Above Grade</t>
  </si>
  <si>
    <t>2x4</t>
  </si>
  <si>
    <t>R-13 batt</t>
  </si>
  <si>
    <t>Basement</t>
  </si>
  <si>
    <t>Concrete + 2x4</t>
  </si>
  <si>
    <t>2x6</t>
  </si>
  <si>
    <t>R19 batt</t>
  </si>
  <si>
    <t>Description / Notes</t>
  </si>
  <si>
    <t>Exterior Door</t>
  </si>
  <si>
    <t>R-2</t>
  </si>
  <si>
    <t>Garage Door</t>
  </si>
  <si>
    <t>Flat Ceiling</t>
  </si>
  <si>
    <t>Truss</t>
  </si>
  <si>
    <t>R-38 Blown</t>
  </si>
  <si>
    <t>Load Summary</t>
  </si>
  <si>
    <t>I-Joist</t>
  </si>
  <si>
    <t>Framed</t>
  </si>
  <si>
    <t>None</t>
  </si>
  <si>
    <t>R-19 batt</t>
  </si>
  <si>
    <t>Heating</t>
  </si>
  <si>
    <t>Cooling</t>
  </si>
  <si>
    <t>tons</t>
  </si>
  <si>
    <t>sf/ton</t>
  </si>
  <si>
    <t>°f</t>
  </si>
  <si>
    <t>btu/hr</t>
  </si>
  <si>
    <t>W/sf</t>
  </si>
  <si>
    <t>sf</t>
  </si>
  <si>
    <t>Oakwood</t>
  </si>
  <si>
    <t>Sally - A Slab</t>
  </si>
  <si>
    <t>Window</t>
  </si>
  <si>
    <t>Wall</t>
  </si>
  <si>
    <t>Hawthorn II - Slab</t>
  </si>
  <si>
    <t>Pembrooke</t>
  </si>
  <si>
    <t>Chestnut</t>
  </si>
  <si>
    <t>Jefferson</t>
  </si>
  <si>
    <t>Hoschton</t>
  </si>
  <si>
    <t>Sidney</t>
  </si>
  <si>
    <t>Chelsea</t>
  </si>
  <si>
    <t>Homer</t>
  </si>
  <si>
    <t>Nicklaus</t>
  </si>
  <si>
    <t>Abbeyville</t>
  </si>
  <si>
    <t>Englemoore</t>
  </si>
  <si>
    <t>Nelson</t>
  </si>
  <si>
    <t>Dakota D</t>
  </si>
  <si>
    <t>Buford</t>
  </si>
  <si>
    <t>Sienna</t>
  </si>
  <si>
    <t>Gainesville</t>
  </si>
  <si>
    <t>Chadwick</t>
  </si>
  <si>
    <t>Statham</t>
  </si>
  <si>
    <t>Finley</t>
  </si>
  <si>
    <t>Reed</t>
  </si>
  <si>
    <t>R-7</t>
  </si>
  <si>
    <t>Nassick</t>
  </si>
  <si>
    <t>Devon Gales</t>
  </si>
  <si>
    <t>Dacula</t>
  </si>
  <si>
    <t>Ruth Ann</t>
  </si>
  <si>
    <t>Bethlehem</t>
  </si>
  <si>
    <t>Bradley</t>
  </si>
  <si>
    <t>Monroe</t>
  </si>
  <si>
    <t>U</t>
  </si>
  <si>
    <t>Ellijay</t>
  </si>
  <si>
    <t>CLTD</t>
  </si>
  <si>
    <t xml:space="preserve">U </t>
  </si>
  <si>
    <t>GLF correction</t>
  </si>
  <si>
    <t>SCa</t>
  </si>
  <si>
    <t>GLFt</t>
  </si>
  <si>
    <t>Ut</t>
  </si>
  <si>
    <t>Dt</t>
  </si>
  <si>
    <t>Ua</t>
  </si>
  <si>
    <t>DR</t>
  </si>
  <si>
    <t>To</t>
  </si>
  <si>
    <t>Ta</t>
  </si>
  <si>
    <t>Corrected</t>
  </si>
  <si>
    <t>TableGLF</t>
  </si>
  <si>
    <t>CLF</t>
  </si>
  <si>
    <t>NorthWest</t>
  </si>
  <si>
    <t>Applied GLF</t>
  </si>
  <si>
    <t>Mystery CF</t>
  </si>
  <si>
    <t>Master Bath</t>
  </si>
  <si>
    <t>Master WIC</t>
  </si>
  <si>
    <t>Bed 3</t>
  </si>
  <si>
    <t>Attic Insulation Types</t>
  </si>
  <si>
    <t>R-30 Blown</t>
  </si>
  <si>
    <t>R-30 Batt</t>
  </si>
  <si>
    <t>R-45 Blown</t>
  </si>
  <si>
    <t>R-49 Blown</t>
  </si>
  <si>
    <t>R-50 Blown</t>
  </si>
  <si>
    <t>R-21 Spray Foam</t>
  </si>
  <si>
    <t>Nominal Size</t>
  </si>
  <si>
    <t>WHM</t>
  </si>
  <si>
    <t>SCt</t>
  </si>
  <si>
    <t xml:space="preserve">Left </t>
  </si>
  <si>
    <t>Direction</t>
  </si>
  <si>
    <t>Front Faces:</t>
  </si>
  <si>
    <t>Unit 1</t>
  </si>
  <si>
    <t>Unit 2</t>
  </si>
  <si>
    <t>Unit 3</t>
  </si>
  <si>
    <t>Unit 4</t>
  </si>
  <si>
    <t>Unit 5</t>
  </si>
  <si>
    <t>Master Bed</t>
  </si>
  <si>
    <t>Facing</t>
  </si>
  <si>
    <t>Room Name</t>
  </si>
  <si>
    <t>Glass &amp; Doors</t>
  </si>
  <si>
    <t>Exterior Perimeter</t>
  </si>
  <si>
    <t>Other Walls</t>
  </si>
  <si>
    <t>O</t>
  </si>
  <si>
    <t>Roofs &amp; Floors</t>
  </si>
  <si>
    <t>Lights</t>
  </si>
  <si>
    <t>Appliances</t>
  </si>
  <si>
    <t>Door 1</t>
  </si>
  <si>
    <t>Door 2</t>
  </si>
  <si>
    <t>Unit 1 b</t>
  </si>
  <si>
    <t>Unit 1 a</t>
  </si>
  <si>
    <t>Unit 2 a</t>
  </si>
  <si>
    <t>Unit 3 b</t>
  </si>
  <si>
    <t>Unit 3 a</t>
  </si>
  <si>
    <t>Unit 2 b</t>
  </si>
  <si>
    <t xml:space="preserve">Sensible Load    </t>
  </si>
  <si>
    <t xml:space="preserve">Minimum Nominal Capacity   </t>
  </si>
  <si>
    <t xml:space="preserve">Load Density    </t>
  </si>
  <si>
    <t xml:space="preserve">Floor Area Served    </t>
  </si>
  <si>
    <t xml:space="preserve">System Size      </t>
  </si>
  <si>
    <t xml:space="preserve">Leaving Air Temperature  </t>
  </si>
  <si>
    <t xml:space="preserve">Installed Capacity   </t>
  </si>
  <si>
    <t>w/sf</t>
  </si>
  <si>
    <t>Carillon</t>
  </si>
  <si>
    <t>Lawrenceville, GA</t>
  </si>
  <si>
    <t>Millhaven GL</t>
  </si>
  <si>
    <t>Entry</t>
  </si>
  <si>
    <t>Family</t>
  </si>
  <si>
    <t>PS WIC</t>
  </si>
  <si>
    <t>PS Bath</t>
  </si>
  <si>
    <t>PS Bed</t>
  </si>
  <si>
    <t>Breakfast / Kitchen</t>
  </si>
  <si>
    <t>Powder</t>
  </si>
  <si>
    <t>Stairs</t>
  </si>
  <si>
    <t>Loft</t>
  </si>
  <si>
    <t>Bed 4</t>
  </si>
  <si>
    <t>Bed 3 WIC</t>
  </si>
  <si>
    <t>Bath2</t>
  </si>
  <si>
    <t>Hallway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</si>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</sst>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 Narrow"/>
      <family val="2"/>
    </font>
    <font>
      <sz val="9"/>
      <color theme="1"/>
      <name val="Arial Nova Cond"/>
      <family val="2"/>
    </font>
    <font>
      <b/>
      <sz val="9"/>
      <color theme="1"/>
      <name val="Arial Nova Cond"/>
      <family val="2"/>
    </font>
    <font>
      <b/>
      <sz val="11"/>
      <color theme="1"/>
      <name val="Arial Nova Cond"/>
      <family val="2"/>
    </font>
    <font>
      <b/>
      <sz val="14"/>
      <color theme="1"/>
      <name val="Arial Nova Cond"/>
      <family val="2"/>
    </font>
    <font>
      <sz val="18"/>
      <color theme="1"/>
      <name val="Calibri"/>
      <family val="2"/>
      <scheme val="minor"/>
    </font>
    <font>
      <sz val="8"/>
      <color theme="1"/>
      <name val="Arial Nova Cond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22" xfId="0" applyFont="1" applyBorder="1"/>
    <xf numFmtId="0" fontId="3" fillId="0" borderId="26" xfId="0" applyFont="1" applyBorder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37" xfId="0" applyFont="1" applyBorder="1"/>
    <xf numFmtId="0" fontId="3" fillId="0" borderId="13" xfId="0" applyFont="1" applyBorder="1"/>
    <xf numFmtId="0" fontId="3" fillId="2" borderId="15" xfId="0" applyFont="1" applyFill="1" applyBorder="1"/>
    <xf numFmtId="0" fontId="3" fillId="0" borderId="15" xfId="0" applyFont="1" applyBorder="1"/>
    <xf numFmtId="2" fontId="3" fillId="0" borderId="15" xfId="0" applyNumberFormat="1" applyFont="1" applyBorder="1"/>
    <xf numFmtId="0" fontId="3" fillId="2" borderId="1" xfId="0" applyFont="1" applyFill="1" applyBorder="1"/>
    <xf numFmtId="0" fontId="3" fillId="0" borderId="1" xfId="0" applyFont="1" applyBorder="1"/>
    <xf numFmtId="0" fontId="3" fillId="2" borderId="20" xfId="0" applyFont="1" applyFill="1" applyBorder="1"/>
    <xf numFmtId="0" fontId="3" fillId="0" borderId="20" xfId="0" applyFont="1" applyBorder="1"/>
    <xf numFmtId="0" fontId="3" fillId="0" borderId="10" xfId="0" applyFont="1" applyBorder="1"/>
    <xf numFmtId="0" fontId="3" fillId="0" borderId="28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2" fontId="3" fillId="0" borderId="5" xfId="0" applyNumberFormat="1" applyFont="1" applyBorder="1"/>
    <xf numFmtId="0" fontId="3" fillId="0" borderId="6" xfId="0" applyFont="1" applyBorder="1"/>
    <xf numFmtId="9" fontId="3" fillId="2" borderId="35" xfId="0" applyNumberFormat="1" applyFont="1" applyFill="1" applyBorder="1" applyAlignment="1">
      <alignment horizontal="right"/>
    </xf>
    <xf numFmtId="0" fontId="3" fillId="0" borderId="36" xfId="0" applyFont="1" applyBorder="1" applyAlignment="1">
      <alignment horizontal="left"/>
    </xf>
    <xf numFmtId="0" fontId="3" fillId="0" borderId="36" xfId="0" applyFont="1" applyBorder="1"/>
    <xf numFmtId="0" fontId="3" fillId="2" borderId="35" xfId="0" applyFont="1" applyFill="1" applyBorder="1"/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/>
    <xf numFmtId="0" fontId="3" fillId="0" borderId="18" xfId="0" applyFont="1" applyBorder="1"/>
    <xf numFmtId="0" fontId="3" fillId="0" borderId="21" xfId="0" applyFont="1" applyBorder="1"/>
    <xf numFmtId="0" fontId="3" fillId="2" borderId="29" xfId="0" applyFont="1" applyFill="1" applyBorder="1"/>
    <xf numFmtId="0" fontId="3" fillId="0" borderId="46" xfId="0" applyFont="1" applyBorder="1"/>
    <xf numFmtId="0" fontId="3" fillId="2" borderId="30" xfId="0" applyFont="1" applyFill="1" applyBorder="1"/>
    <xf numFmtId="0" fontId="3" fillId="0" borderId="30" xfId="0" applyFont="1" applyBorder="1"/>
    <xf numFmtId="1" fontId="3" fillId="0" borderId="0" xfId="0" applyNumberFormat="1" applyFont="1"/>
    <xf numFmtId="0" fontId="3" fillId="0" borderId="19" xfId="0" applyFont="1" applyBorder="1"/>
    <xf numFmtId="0" fontId="3" fillId="0" borderId="20" xfId="0" applyFont="1" applyBorder="1" applyAlignment="1">
      <alignment horizontal="center" vertical="center"/>
    </xf>
    <xf numFmtId="0" fontId="4" fillId="0" borderId="0" xfId="0" applyFont="1"/>
    <xf numFmtId="0" fontId="4" fillId="0" borderId="8" xfId="0" applyFont="1" applyBorder="1"/>
    <xf numFmtId="0" fontId="4" fillId="0" borderId="29" xfId="0" applyFont="1" applyBorder="1"/>
    <xf numFmtId="0" fontId="4" fillId="0" borderId="23" xfId="0" applyFont="1" applyBorder="1"/>
    <xf numFmtId="0" fontId="4" fillId="0" borderId="56" xfId="0" applyFont="1" applyBorder="1"/>
    <xf numFmtId="0" fontId="4" fillId="0" borderId="24" xfId="0" applyFont="1" applyBorder="1"/>
    <xf numFmtId="0" fontId="4" fillId="0" borderId="30" xfId="0" applyFont="1" applyBorder="1"/>
    <xf numFmtId="0" fontId="4" fillId="0" borderId="44" xfId="0" applyFont="1" applyBorder="1"/>
    <xf numFmtId="166" fontId="4" fillId="0" borderId="0" xfId="1" applyNumberFormat="1" applyFont="1" applyBorder="1"/>
    <xf numFmtId="0" fontId="4" fillId="2" borderId="0" xfId="0" applyFont="1" applyFill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165" fontId="4" fillId="2" borderId="1" xfId="0" applyNumberFormat="1" applyFont="1" applyFill="1" applyBorder="1"/>
    <xf numFmtId="0" fontId="4" fillId="0" borderId="12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" fontId="3" fillId="0" borderId="15" xfId="0" applyNumberFormat="1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" fontId="3" fillId="3" borderId="15" xfId="0" applyNumberFormat="1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1" fontId="3" fillId="3" borderId="20" xfId="0" applyNumberFormat="1" applyFont="1" applyFill="1" applyBorder="1" applyAlignment="1">
      <alignment horizontal="center" vertical="center"/>
    </xf>
    <xf numFmtId="1" fontId="3" fillId="3" borderId="21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1" fontId="3" fillId="3" borderId="16" xfId="0" applyNumberFormat="1" applyFont="1" applyFill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1" fontId="3" fillId="0" borderId="43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1" fontId="3" fillId="0" borderId="15" xfId="0" applyNumberFormat="1" applyFont="1" applyBorder="1"/>
    <xf numFmtId="1" fontId="3" fillId="0" borderId="20" xfId="0" applyNumberFormat="1" applyFont="1" applyBorder="1"/>
    <xf numFmtId="1" fontId="3" fillId="5" borderId="1" xfId="0" applyNumberFormat="1" applyFont="1" applyFill="1" applyBorder="1"/>
    <xf numFmtId="1" fontId="3" fillId="0" borderId="0" xfId="0" applyNumberFormat="1" applyFont="1" applyAlignment="1">
      <alignment horizontal="left"/>
    </xf>
    <xf numFmtId="0" fontId="3" fillId="0" borderId="49" xfId="0" applyFont="1" applyBorder="1"/>
    <xf numFmtId="0" fontId="3" fillId="0" borderId="8" xfId="0" applyFont="1" applyBorder="1"/>
    <xf numFmtId="0" fontId="3" fillId="0" borderId="48" xfId="0" applyFont="1" applyBorder="1"/>
    <xf numFmtId="2" fontId="3" fillId="0" borderId="8" xfId="0" applyNumberFormat="1" applyFont="1" applyBorder="1"/>
    <xf numFmtId="0" fontId="0" fillId="7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12" xfId="0" applyBorder="1"/>
    <xf numFmtId="0" fontId="0" fillId="0" borderId="11" xfId="0" applyBorder="1"/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10" borderId="1" xfId="0" applyFill="1" applyBorder="1"/>
    <xf numFmtId="0" fontId="8" fillId="6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165" fontId="4" fillId="2" borderId="0" xfId="0" applyNumberFormat="1" applyFont="1" applyFill="1"/>
    <xf numFmtId="0" fontId="4" fillId="0" borderId="5" xfId="0" applyFont="1" applyBorder="1"/>
    <xf numFmtId="0" fontId="4" fillId="0" borderId="0" xfId="0" applyFont="1" applyAlignment="1">
      <alignment horizontal="right"/>
    </xf>
    <xf numFmtId="2" fontId="4" fillId="0" borderId="12" xfId="0" applyNumberFormat="1" applyFont="1" applyBorder="1" applyAlignment="1">
      <alignment horizontal="center"/>
    </xf>
    <xf numFmtId="0" fontId="9" fillId="0" borderId="11" xfId="0" applyFont="1" applyBorder="1"/>
    <xf numFmtId="165" fontId="9" fillId="0" borderId="11" xfId="0" applyNumberFormat="1" applyFont="1" applyBorder="1"/>
    <xf numFmtId="1" fontId="4" fillId="0" borderId="12" xfId="0" applyNumberFormat="1" applyFont="1" applyBorder="1" applyAlignment="1">
      <alignment horizontal="center"/>
    </xf>
    <xf numFmtId="166" fontId="5" fillId="0" borderId="12" xfId="1" applyNumberFormat="1" applyFont="1" applyBorder="1" applyAlignment="1">
      <alignment horizontal="center"/>
    </xf>
    <xf numFmtId="165" fontId="4" fillId="0" borderId="12" xfId="0" applyNumberFormat="1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1" fontId="9" fillId="0" borderId="11" xfId="0" applyNumberFormat="1" applyFont="1" applyBorder="1" applyAlignment="1">
      <alignment horizontal="left"/>
    </xf>
    <xf numFmtId="43" fontId="4" fillId="0" borderId="0" xfId="1" applyFont="1" applyBorder="1" applyAlignment="1"/>
    <xf numFmtId="0" fontId="4" fillId="0" borderId="0" xfId="0" applyFont="1" applyAlignment="1">
      <alignment horizontal="center"/>
    </xf>
    <xf numFmtId="166" fontId="4" fillId="0" borderId="0" xfId="1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2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left"/>
    </xf>
    <xf numFmtId="0" fontId="4" fillId="2" borderId="29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166" fontId="5" fillId="0" borderId="12" xfId="1" applyNumberFormat="1" applyFont="1" applyBorder="1" applyAlignment="1">
      <alignment horizontal="center"/>
    </xf>
    <xf numFmtId="166" fontId="5" fillId="0" borderId="11" xfId="1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2" fontId="4" fillId="2" borderId="29" xfId="0" applyNumberFormat="1" applyFont="1" applyFill="1" applyBorder="1" applyAlignment="1">
      <alignment horizontal="center"/>
    </xf>
    <xf numFmtId="2" fontId="4" fillId="2" borderId="11" xfId="0" applyNumberFormat="1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29" xfId="0" applyFont="1" applyFill="1" applyBorder="1"/>
    <xf numFmtId="0" fontId="4" fillId="0" borderId="12" xfId="0" applyFont="1" applyBorder="1" applyAlignment="1">
      <alignment horizontal="center" vertical="center"/>
    </xf>
    <xf numFmtId="0" fontId="4" fillId="2" borderId="11" xfId="0" applyFont="1" applyFill="1" applyBorder="1"/>
    <xf numFmtId="0" fontId="4" fillId="0" borderId="2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9" xfId="0" applyFont="1" applyBorder="1" applyAlignment="1">
      <alignment horizontal="center" vertical="center" textRotation="90" wrapText="1"/>
    </xf>
    <xf numFmtId="0" fontId="4" fillId="0" borderId="24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4" fillId="0" borderId="23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8" fillId="6" borderId="12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right"/>
    </xf>
    <xf numFmtId="0" fontId="0" fillId="0" borderId="29" xfId="0" applyBorder="1" applyAlignment="1">
      <alignment horizontal="right"/>
    </xf>
    <xf numFmtId="0" fontId="0" fillId="0" borderId="11" xfId="0" applyBorder="1" applyAlignment="1">
      <alignment horizontal="right"/>
    </xf>
    <xf numFmtId="0" fontId="3" fillId="2" borderId="15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50" xfId="0" applyFont="1" applyBorder="1" applyAlignment="1">
      <alignment horizontal="center" vertical="center" textRotation="90"/>
    </xf>
    <xf numFmtId="0" fontId="3" fillId="0" borderId="52" xfId="0" applyFont="1" applyBorder="1" applyAlignment="1">
      <alignment horizontal="center" vertical="center" textRotation="90"/>
    </xf>
    <xf numFmtId="0" fontId="3" fillId="0" borderId="51" xfId="0" applyFont="1" applyBorder="1" applyAlignment="1">
      <alignment horizontal="center" vertical="center" textRotation="90"/>
    </xf>
    <xf numFmtId="0" fontId="3" fillId="0" borderId="34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42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4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0" borderId="58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24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50" xfId="0" applyFont="1" applyBorder="1" applyAlignment="1">
      <alignment horizontal="center" textRotation="90"/>
    </xf>
    <xf numFmtId="0" fontId="3" fillId="0" borderId="51" xfId="0" applyFont="1" applyBorder="1" applyAlignment="1">
      <alignment horizontal="center" textRotation="90"/>
    </xf>
    <xf numFmtId="0" fontId="3" fillId="0" borderId="45" xfId="0" applyFont="1" applyBorder="1" applyAlignment="1">
      <alignment horizontal="center" textRotation="90"/>
    </xf>
    <xf numFmtId="0" fontId="3" fillId="0" borderId="47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3" fillId="0" borderId="3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35" xfId="0" applyFont="1" applyBorder="1" applyAlignment="1">
      <alignment horizontal="right"/>
    </xf>
    <xf numFmtId="0" fontId="3" fillId="0" borderId="57" xfId="0" applyFont="1" applyBorder="1" applyAlignment="1">
      <alignment horizontal="right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textRotation="90" wrapText="1"/>
    </xf>
    <xf numFmtId="0" fontId="3" fillId="0" borderId="13" xfId="0" applyFont="1" applyBorder="1" applyAlignment="1">
      <alignment horizontal="center" textRotation="90" wrapText="1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textRotation="90" wrapText="1"/>
    </xf>
    <xf numFmtId="0" fontId="3" fillId="0" borderId="20" xfId="0" applyFont="1" applyBorder="1" applyAlignment="1">
      <alignment horizontal="center" textRotation="90" wrapText="1"/>
    </xf>
    <xf numFmtId="0" fontId="3" fillId="0" borderId="2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0" fillId="0" borderId="0" xfId="0" applyAlignment="1">
      <alignment horizontal="right"/>
    </xf>
    <xf numFmtId="2" fontId="3" fillId="8" borderId="20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5C93-7C94-467C-BF60-6CBB543AC36F}">
  <dimension ref="A3:Z47"/>
  <sheetViews>
    <sheetView tabSelected="1" topLeftCell="B1" zoomScale="160" zoomScaleNormal="160" workbookViewId="0">
      <selection activeCell="AJ25" sqref="AJ24:AJ25"/>
    </sheetView>
  </sheetViews>
  <sheetFormatPr baseColWidth="10" defaultColWidth="3.5" defaultRowHeight="11" x14ac:dyDescent="0.15"/>
  <cols>
    <col min="1" max="1" width="0.6640625" style="42" hidden="1" customWidth="1"/>
    <col min="2" max="2" width="2.6640625" style="42" customWidth="1"/>
    <col min="3" max="3" width="3.5" style="42"/>
    <col min="4" max="4" width="5.5" style="42" customWidth="1"/>
    <col min="5" max="5" width="0.5" style="42" hidden="1" customWidth="1"/>
    <col min="6" max="6" width="6.5" style="42" customWidth="1"/>
    <col min="7" max="7" width="7.33203125" style="42" customWidth="1"/>
    <col min="8" max="8" width="4.5" style="42" customWidth="1"/>
    <col min="9" max="9" width="7.5" style="42" bestFit="1" customWidth="1"/>
    <col min="10" max="10" width="6.83203125" style="42" customWidth="1"/>
    <col min="11" max="11" width="3" style="42" customWidth="1"/>
    <col min="12" max="12" width="4.1640625" style="42" customWidth="1"/>
    <col min="13" max="13" width="4.5" style="42" customWidth="1"/>
    <col min="14" max="14" width="5.1640625" style="42" customWidth="1"/>
    <col min="15" max="15" width="3" style="42" customWidth="1"/>
    <col min="16" max="17" width="1.5" style="42" customWidth="1"/>
    <col min="18" max="18" width="1.1640625" style="42" customWidth="1"/>
    <col min="19" max="19" width="2.5" style="42" customWidth="1"/>
    <col min="20" max="20" width="3.5" style="42"/>
    <col min="21" max="21" width="3.5" style="42" customWidth="1"/>
    <col min="22" max="22" width="1.6640625" style="42" customWidth="1"/>
    <col min="23" max="23" width="3" style="42" customWidth="1"/>
    <col min="24" max="24" width="4" style="42" bestFit="1" customWidth="1"/>
    <col min="25" max="25" width="1.33203125" style="42" customWidth="1"/>
    <col min="26" max="26" width="1.1640625" style="42" customWidth="1"/>
    <col min="27" max="27" width="0.5" style="42" customWidth="1"/>
    <col min="28" max="28" width="1.5" style="42" customWidth="1"/>
    <col min="29" max="33" width="3.5" style="42"/>
    <col min="34" max="34" width="7" style="42" bestFit="1" customWidth="1"/>
    <col min="35" max="16384" width="3.5" style="42"/>
  </cols>
  <sheetData>
    <row r="3" spans="2:26" x14ac:dyDescent="0.15">
      <c r="B3" s="42" t="s">
        <v>85</v>
      </c>
      <c r="F3" s="43" t="s">
        <v>253</v>
      </c>
      <c r="G3" s="43"/>
      <c r="H3" s="43"/>
      <c r="I3" s="43"/>
      <c r="J3" s="43"/>
      <c r="K3" s="43"/>
      <c r="L3" s="43"/>
      <c r="M3" s="43"/>
      <c r="N3" s="43"/>
      <c r="O3" s="43"/>
      <c r="P3" s="43"/>
      <c r="S3" s="42" t="s">
        <v>87</v>
      </c>
      <c r="U3" s="143">
        <v>42998</v>
      </c>
      <c r="V3" s="143"/>
      <c r="W3" s="143"/>
      <c r="X3" s="143"/>
      <c r="Y3" s="43"/>
      <c r="Z3" s="43"/>
    </row>
    <row r="4" spans="2:26" x14ac:dyDescent="0.15">
      <c r="B4" s="42" t="s">
        <v>84</v>
      </c>
      <c r="F4" s="44" t="s">
        <v>254</v>
      </c>
      <c r="G4" s="44"/>
      <c r="H4" s="44"/>
      <c r="I4" s="44"/>
      <c r="J4" s="44"/>
      <c r="K4" s="44"/>
      <c r="L4" s="44"/>
      <c r="M4" s="44"/>
      <c r="N4" s="44"/>
      <c r="O4" s="44"/>
      <c r="P4" s="44"/>
      <c r="S4" s="42" t="s">
        <v>88</v>
      </c>
      <c r="U4" s="43" t="s">
        <v>217</v>
      </c>
      <c r="V4" s="43"/>
      <c r="W4" s="43"/>
      <c r="X4" s="43"/>
      <c r="Y4" s="43"/>
      <c r="Z4" s="43"/>
    </row>
    <row r="5" spans="2:26" x14ac:dyDescent="0.15">
      <c r="B5" s="42" t="s">
        <v>2</v>
      </c>
      <c r="F5" s="44" t="s">
        <v>255</v>
      </c>
      <c r="G5" s="44"/>
      <c r="H5" s="44"/>
      <c r="I5" s="44"/>
      <c r="J5" s="44"/>
      <c r="K5" s="44"/>
      <c r="L5" s="44"/>
      <c r="M5" s="44"/>
      <c r="N5" s="44"/>
      <c r="O5" s="44"/>
      <c r="P5" s="44"/>
      <c r="S5" s="42" t="s">
        <v>95</v>
      </c>
      <c r="V5" s="42" t="s">
        <v>96</v>
      </c>
      <c r="X5" s="42" t="s">
        <v>26</v>
      </c>
    </row>
    <row r="8" spans="2:26" ht="12" thickBot="1" x14ac:dyDescent="0.2"/>
    <row r="9" spans="2:26" ht="15" customHeight="1" x14ac:dyDescent="0.15">
      <c r="B9" s="185" t="s">
        <v>97</v>
      </c>
      <c r="C9" s="186"/>
      <c r="D9" s="186"/>
      <c r="E9" s="186"/>
      <c r="F9" s="186"/>
      <c r="G9" s="186"/>
      <c r="H9" s="187"/>
      <c r="J9" s="184" t="s">
        <v>98</v>
      </c>
      <c r="K9" s="184"/>
      <c r="L9" s="184"/>
      <c r="M9" s="184"/>
      <c r="N9" s="184"/>
      <c r="O9" s="184"/>
      <c r="P9" s="184"/>
      <c r="T9" s="185" t="s">
        <v>99</v>
      </c>
      <c r="U9" s="186"/>
      <c r="V9" s="186"/>
      <c r="W9" s="186"/>
      <c r="X9" s="186"/>
      <c r="Y9" s="187"/>
    </row>
    <row r="10" spans="2:26" ht="15" customHeight="1" x14ac:dyDescent="0.15">
      <c r="B10" s="188" t="s">
        <v>93</v>
      </c>
      <c r="C10" s="138"/>
      <c r="D10" s="138"/>
      <c r="E10" s="138"/>
      <c r="F10" s="138"/>
      <c r="G10" s="124">
        <v>8.5</v>
      </c>
      <c r="H10" s="46" t="s">
        <v>102</v>
      </c>
      <c r="J10" s="182"/>
      <c r="K10" s="182"/>
      <c r="L10" s="182" t="s">
        <v>109</v>
      </c>
      <c r="M10" s="182"/>
      <c r="N10" s="182" t="s">
        <v>111</v>
      </c>
      <c r="O10" s="182"/>
      <c r="P10" s="182"/>
      <c r="T10" s="45"/>
      <c r="Y10" s="46"/>
    </row>
    <row r="11" spans="2:26" x14ac:dyDescent="0.15">
      <c r="B11" s="188" t="s">
        <v>100</v>
      </c>
      <c r="C11" s="138"/>
      <c r="D11" s="138"/>
      <c r="E11" s="138"/>
      <c r="F11" s="138"/>
      <c r="G11" s="42">
        <f>'Unit 1 a'!G4+'Unit 1 b'!G4</f>
        <v>2512</v>
      </c>
      <c r="H11" s="46" t="s">
        <v>103</v>
      </c>
      <c r="J11" s="53" t="s">
        <v>105</v>
      </c>
      <c r="K11" s="53"/>
      <c r="L11" s="54">
        <v>95</v>
      </c>
      <c r="M11" s="53" t="s">
        <v>110</v>
      </c>
      <c r="N11" s="54">
        <v>18</v>
      </c>
      <c r="O11" s="139" t="s">
        <v>110</v>
      </c>
      <c r="P11" s="141"/>
      <c r="T11" s="45"/>
      <c r="Y11" s="46"/>
    </row>
    <row r="12" spans="2:26" x14ac:dyDescent="0.15">
      <c r="B12" s="188" t="s">
        <v>54</v>
      </c>
      <c r="C12" s="138"/>
      <c r="D12" s="138"/>
      <c r="E12" s="138"/>
      <c r="F12" s="138"/>
      <c r="G12" s="50">
        <f>'Unit 1 a'!I4+'Unit 1 b'!I4</f>
        <v>21928</v>
      </c>
      <c r="H12" s="46" t="s">
        <v>104</v>
      </c>
      <c r="J12" s="53" t="s">
        <v>106</v>
      </c>
      <c r="K12" s="53"/>
      <c r="L12" s="53">
        <v>75</v>
      </c>
      <c r="M12" s="53" t="s">
        <v>110</v>
      </c>
      <c r="N12" s="53">
        <v>72</v>
      </c>
      <c r="O12" s="139" t="s">
        <v>110</v>
      </c>
      <c r="P12" s="141"/>
      <c r="T12" s="45"/>
      <c r="Y12" s="46"/>
    </row>
    <row r="13" spans="2:26" x14ac:dyDescent="0.15">
      <c r="B13" s="188" t="s">
        <v>101</v>
      </c>
      <c r="C13" s="138"/>
      <c r="D13" s="138"/>
      <c r="E13" s="138"/>
      <c r="F13" s="138"/>
      <c r="G13" s="51" t="s">
        <v>112</v>
      </c>
      <c r="H13" s="46">
        <v>0.25</v>
      </c>
      <c r="J13" s="53" t="s">
        <v>107</v>
      </c>
      <c r="K13" s="53"/>
      <c r="L13" s="53">
        <v>20</v>
      </c>
      <c r="M13" s="53" t="s">
        <v>110</v>
      </c>
      <c r="N13" s="53">
        <v>54</v>
      </c>
      <c r="O13" s="139" t="s">
        <v>110</v>
      </c>
      <c r="P13" s="141"/>
      <c r="T13" s="45"/>
      <c r="Y13" s="46"/>
    </row>
    <row r="14" spans="2:26" ht="15.75" customHeight="1" thickBot="1" x14ac:dyDescent="0.2">
      <c r="B14" s="180"/>
      <c r="C14" s="181"/>
      <c r="D14" s="181"/>
      <c r="E14" s="181"/>
      <c r="F14" s="181"/>
      <c r="G14" s="48"/>
      <c r="H14" s="49"/>
      <c r="J14" s="53" t="s">
        <v>108</v>
      </c>
      <c r="K14" s="53"/>
      <c r="L14" s="55">
        <v>17.3</v>
      </c>
      <c r="M14" s="53" t="s">
        <v>110</v>
      </c>
      <c r="N14" s="53"/>
      <c r="O14" s="139"/>
      <c r="P14" s="141"/>
      <c r="T14" s="47"/>
      <c r="U14" s="48"/>
      <c r="V14" s="48"/>
      <c r="W14" s="48"/>
      <c r="X14" s="48"/>
      <c r="Y14" s="49"/>
    </row>
    <row r="17" spans="2:26" ht="15.75" customHeight="1" x14ac:dyDescent="0.15">
      <c r="B17" s="183" t="s">
        <v>113</v>
      </c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</row>
    <row r="18" spans="2:26" ht="12" customHeight="1" x14ac:dyDescent="0.15">
      <c r="B18" s="174" t="s">
        <v>117</v>
      </c>
      <c r="C18" s="175"/>
      <c r="D18" s="139" t="s">
        <v>118</v>
      </c>
      <c r="E18" s="141"/>
      <c r="F18" s="56" t="s">
        <v>119</v>
      </c>
      <c r="G18" s="145" t="s">
        <v>135</v>
      </c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6"/>
      <c r="Z18" s="57"/>
    </row>
    <row r="19" spans="2:26" ht="12" customHeight="1" x14ac:dyDescent="0.15">
      <c r="B19" s="176"/>
      <c r="C19" s="177"/>
      <c r="D19" s="58" t="s">
        <v>38</v>
      </c>
      <c r="E19" s="60"/>
      <c r="F19" s="62">
        <v>7.6999999999999999E-2</v>
      </c>
      <c r="G19" s="147" t="s">
        <v>128</v>
      </c>
      <c r="H19" s="148"/>
      <c r="I19" s="148"/>
      <c r="J19" s="148"/>
      <c r="K19" s="148"/>
      <c r="L19" s="148" t="s">
        <v>129</v>
      </c>
      <c r="M19" s="148"/>
      <c r="N19" s="148"/>
      <c r="O19" s="148"/>
      <c r="P19" s="148" t="s">
        <v>130</v>
      </c>
      <c r="Q19" s="148"/>
      <c r="R19" s="148"/>
      <c r="S19" s="148"/>
      <c r="T19" s="148"/>
      <c r="U19" s="148"/>
      <c r="V19" s="148"/>
      <c r="W19" s="148"/>
      <c r="X19" s="148"/>
      <c r="Y19" s="149"/>
    </row>
    <row r="20" spans="2:26" ht="12" customHeight="1" x14ac:dyDescent="0.15">
      <c r="B20" s="176"/>
      <c r="C20" s="177"/>
      <c r="D20" s="58" t="s">
        <v>39</v>
      </c>
      <c r="E20" s="60"/>
      <c r="F20" s="62">
        <v>6.7000000000000004E-2</v>
      </c>
      <c r="G20" s="147" t="s">
        <v>131</v>
      </c>
      <c r="H20" s="148"/>
      <c r="I20" s="148"/>
      <c r="J20" s="148"/>
      <c r="K20" s="148"/>
      <c r="L20" s="148" t="s">
        <v>132</v>
      </c>
      <c r="M20" s="148"/>
      <c r="N20" s="148"/>
      <c r="O20" s="148"/>
      <c r="P20" s="148" t="s">
        <v>130</v>
      </c>
      <c r="Q20" s="148"/>
      <c r="R20" s="148"/>
      <c r="S20" s="148"/>
      <c r="T20" s="148"/>
      <c r="U20" s="148"/>
      <c r="V20" s="148"/>
      <c r="W20" s="148"/>
      <c r="X20" s="148"/>
      <c r="Y20" s="149"/>
    </row>
    <row r="21" spans="2:26" ht="12" customHeight="1" x14ac:dyDescent="0.15">
      <c r="B21" s="178"/>
      <c r="C21" s="179"/>
      <c r="D21" s="58" t="s">
        <v>40</v>
      </c>
      <c r="E21" s="60"/>
      <c r="F21" s="62">
        <v>5.2999999999999999E-2</v>
      </c>
      <c r="G21" s="147" t="s">
        <v>47</v>
      </c>
      <c r="H21" s="148"/>
      <c r="I21" s="148"/>
      <c r="J21" s="148"/>
      <c r="K21" s="148"/>
      <c r="L21" s="148" t="s">
        <v>133</v>
      </c>
      <c r="M21" s="148"/>
      <c r="N21" s="148"/>
      <c r="O21" s="148"/>
      <c r="P21" s="148" t="s">
        <v>134</v>
      </c>
      <c r="Q21" s="148"/>
      <c r="R21" s="148"/>
      <c r="S21" s="148"/>
      <c r="T21" s="148"/>
      <c r="U21" s="148"/>
      <c r="V21" s="148"/>
      <c r="W21" s="148"/>
      <c r="X21" s="148"/>
      <c r="Y21" s="149"/>
    </row>
    <row r="22" spans="2:26" ht="12" customHeight="1" x14ac:dyDescent="0.15">
      <c r="B22" s="168" t="s">
        <v>114</v>
      </c>
      <c r="C22" s="169"/>
      <c r="D22" s="58" t="s">
        <v>118</v>
      </c>
      <c r="E22" s="60"/>
      <c r="F22" s="52" t="s">
        <v>119</v>
      </c>
      <c r="G22" s="166" t="s">
        <v>135</v>
      </c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6"/>
      <c r="Z22" s="57"/>
    </row>
    <row r="23" spans="2:26" ht="12" customHeight="1" x14ac:dyDescent="0.15">
      <c r="B23" s="170"/>
      <c r="C23" s="171"/>
      <c r="D23" s="58" t="s">
        <v>33</v>
      </c>
      <c r="E23" s="60"/>
      <c r="F23" s="63">
        <v>0.5</v>
      </c>
      <c r="G23" s="147" t="s">
        <v>136</v>
      </c>
      <c r="H23" s="148"/>
      <c r="I23" s="148"/>
      <c r="J23" s="148"/>
      <c r="K23" s="148"/>
      <c r="L23" s="148"/>
      <c r="M23" s="148"/>
      <c r="N23" s="148"/>
      <c r="O23" s="148"/>
      <c r="P23" s="148" t="s">
        <v>137</v>
      </c>
      <c r="Q23" s="148"/>
      <c r="R23" s="148"/>
      <c r="S23" s="148"/>
      <c r="T23" s="148"/>
      <c r="U23" s="148"/>
      <c r="V23" s="148"/>
      <c r="W23" s="148"/>
      <c r="X23" s="148"/>
      <c r="Y23" s="149"/>
    </row>
    <row r="24" spans="2:26" ht="12" customHeight="1" x14ac:dyDescent="0.15">
      <c r="B24" s="172"/>
      <c r="C24" s="173"/>
      <c r="D24" s="58" t="s">
        <v>34</v>
      </c>
      <c r="E24" s="60"/>
      <c r="F24" s="63">
        <v>0.5</v>
      </c>
      <c r="G24" s="147" t="s">
        <v>138</v>
      </c>
      <c r="H24" s="148"/>
      <c r="I24" s="148"/>
      <c r="J24" s="148"/>
      <c r="K24" s="148"/>
      <c r="L24" s="148"/>
      <c r="M24" s="148"/>
      <c r="N24" s="148"/>
      <c r="O24" s="148"/>
      <c r="P24" s="148" t="s">
        <v>137</v>
      </c>
      <c r="Q24" s="148"/>
      <c r="R24" s="148"/>
      <c r="S24" s="148"/>
      <c r="T24" s="148"/>
      <c r="U24" s="148"/>
      <c r="V24" s="148"/>
      <c r="W24" s="148"/>
      <c r="X24" s="148"/>
      <c r="Y24" s="149"/>
    </row>
    <row r="25" spans="2:26" ht="12" customHeight="1" x14ac:dyDescent="0.15">
      <c r="B25" s="168" t="s">
        <v>115</v>
      </c>
      <c r="C25" s="169"/>
      <c r="D25" s="58" t="s">
        <v>118</v>
      </c>
      <c r="E25" s="60"/>
      <c r="F25" s="52" t="s">
        <v>119</v>
      </c>
      <c r="G25" s="166" t="s">
        <v>135</v>
      </c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6"/>
      <c r="Z25" s="57"/>
    </row>
    <row r="26" spans="2:26" ht="12" customHeight="1" x14ac:dyDescent="0.15">
      <c r="B26" s="170"/>
      <c r="C26" s="171"/>
      <c r="D26" s="58" t="s">
        <v>41</v>
      </c>
      <c r="E26" s="60"/>
      <c r="F26" s="64">
        <v>2.5999999999999999E-2</v>
      </c>
      <c r="G26" s="147" t="s">
        <v>139</v>
      </c>
      <c r="H26" s="148"/>
      <c r="I26" s="148"/>
      <c r="J26" s="148"/>
      <c r="K26" s="148"/>
      <c r="L26" s="148" t="s">
        <v>140</v>
      </c>
      <c r="M26" s="148"/>
      <c r="N26" s="148"/>
      <c r="O26" s="148"/>
      <c r="P26" s="165" t="s">
        <v>141</v>
      </c>
      <c r="Q26" s="165"/>
      <c r="R26" s="165"/>
      <c r="S26" s="165"/>
      <c r="T26" s="165"/>
      <c r="U26" s="165"/>
      <c r="V26" s="165"/>
      <c r="W26" s="165"/>
      <c r="X26" s="165"/>
      <c r="Y26" s="167"/>
    </row>
    <row r="27" spans="2:26" ht="12" customHeight="1" x14ac:dyDescent="0.15">
      <c r="B27" s="172"/>
      <c r="C27" s="173"/>
      <c r="D27" s="58" t="s">
        <v>42</v>
      </c>
      <c r="E27" s="60"/>
      <c r="F27" s="64">
        <v>0.26</v>
      </c>
      <c r="G27" s="147" t="s">
        <v>50</v>
      </c>
      <c r="H27" s="148"/>
      <c r="I27" s="148"/>
      <c r="J27" s="148"/>
      <c r="K27" s="148"/>
      <c r="L27" s="148" t="s">
        <v>140</v>
      </c>
      <c r="M27" s="148"/>
      <c r="N27" s="148"/>
      <c r="O27" s="148"/>
      <c r="P27" s="165" t="s">
        <v>141</v>
      </c>
      <c r="Q27" s="165"/>
      <c r="R27" s="165"/>
      <c r="S27" s="165"/>
      <c r="T27" s="165"/>
      <c r="U27" s="165"/>
      <c r="V27" s="165"/>
      <c r="W27" s="165"/>
      <c r="X27" s="165"/>
      <c r="Y27" s="167"/>
    </row>
    <row r="28" spans="2:26" ht="12" customHeight="1" x14ac:dyDescent="0.15">
      <c r="B28" s="168" t="s">
        <v>116</v>
      </c>
      <c r="C28" s="169"/>
      <c r="D28" s="58" t="s">
        <v>118</v>
      </c>
      <c r="E28" s="60"/>
      <c r="F28" s="52" t="s">
        <v>119</v>
      </c>
      <c r="G28" s="166" t="s">
        <v>135</v>
      </c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6"/>
      <c r="Z28" s="57"/>
    </row>
    <row r="29" spans="2:26" ht="12" customHeight="1" x14ac:dyDescent="0.15">
      <c r="B29" s="170"/>
      <c r="C29" s="171"/>
      <c r="D29" s="58" t="s">
        <v>43</v>
      </c>
      <c r="E29" s="60"/>
      <c r="F29" s="64">
        <v>5.2999999999999999E-2</v>
      </c>
      <c r="G29" s="147" t="s">
        <v>144</v>
      </c>
      <c r="H29" s="148"/>
      <c r="I29" s="148"/>
      <c r="J29" s="148"/>
      <c r="K29" s="148"/>
      <c r="L29" s="148" t="s">
        <v>143</v>
      </c>
      <c r="M29" s="148"/>
      <c r="N29" s="148"/>
      <c r="O29" s="148"/>
      <c r="P29" s="148" t="s">
        <v>146</v>
      </c>
      <c r="Q29" s="148"/>
      <c r="R29" s="148"/>
      <c r="S29" s="148"/>
      <c r="T29" s="148"/>
      <c r="U29" s="148"/>
      <c r="V29" s="148"/>
      <c r="W29" s="148"/>
      <c r="X29" s="148"/>
      <c r="Y29" s="149"/>
    </row>
    <row r="30" spans="2:26" ht="12" customHeight="1" x14ac:dyDescent="0.15">
      <c r="B30" s="172"/>
      <c r="C30" s="173"/>
      <c r="D30" s="58" t="s">
        <v>44</v>
      </c>
      <c r="E30" s="60"/>
      <c r="F30" s="62">
        <v>0.1</v>
      </c>
      <c r="G30" s="147" t="s">
        <v>52</v>
      </c>
      <c r="H30" s="148"/>
      <c r="I30" s="148"/>
      <c r="J30" s="148"/>
      <c r="K30" s="148"/>
      <c r="L30" s="148"/>
      <c r="M30" s="148"/>
      <c r="N30" s="148"/>
      <c r="O30" s="148"/>
      <c r="P30" s="148" t="s">
        <v>145</v>
      </c>
      <c r="Q30" s="148"/>
      <c r="R30" s="148"/>
      <c r="S30" s="148"/>
      <c r="T30" s="148"/>
      <c r="U30" s="148"/>
      <c r="V30" s="148"/>
      <c r="W30" s="148"/>
      <c r="X30" s="148"/>
      <c r="Y30" s="149"/>
    </row>
    <row r="31" spans="2:26" ht="12" customHeight="1" x14ac:dyDescent="0.15">
      <c r="B31" s="170" t="s">
        <v>77</v>
      </c>
      <c r="C31" s="171"/>
      <c r="D31" s="59" t="s">
        <v>118</v>
      </c>
      <c r="E31" s="61"/>
      <c r="F31" s="162" t="s">
        <v>120</v>
      </c>
      <c r="G31" s="144"/>
      <c r="H31" s="144"/>
      <c r="I31" s="144"/>
      <c r="J31" s="163"/>
      <c r="K31" s="136" t="s">
        <v>122</v>
      </c>
      <c r="L31" s="136"/>
      <c r="M31" s="136"/>
      <c r="N31" s="162" t="s">
        <v>119</v>
      </c>
      <c r="O31" s="163"/>
      <c r="P31" s="162" t="s">
        <v>124</v>
      </c>
      <c r="Q31" s="144"/>
      <c r="R31" s="144"/>
      <c r="S31" s="144"/>
      <c r="T31" s="144"/>
      <c r="U31" s="163"/>
      <c r="V31" s="162" t="s">
        <v>126</v>
      </c>
      <c r="W31" s="144"/>
      <c r="X31" s="144"/>
      <c r="Y31" s="163"/>
    </row>
    <row r="32" spans="2:26" ht="12" customHeight="1" x14ac:dyDescent="0.15">
      <c r="B32" s="170"/>
      <c r="C32" s="171"/>
      <c r="D32" s="58" t="s">
        <v>7</v>
      </c>
      <c r="E32" s="60"/>
      <c r="F32" s="164" t="s">
        <v>121</v>
      </c>
      <c r="G32" s="160"/>
      <c r="H32" s="160"/>
      <c r="I32" s="160"/>
      <c r="J32" s="161"/>
      <c r="K32" s="160" t="s">
        <v>123</v>
      </c>
      <c r="L32" s="160"/>
      <c r="M32" s="160"/>
      <c r="N32" s="164">
        <v>0.35</v>
      </c>
      <c r="O32" s="161"/>
      <c r="P32" s="164" t="s">
        <v>125</v>
      </c>
      <c r="Q32" s="160"/>
      <c r="R32" s="160"/>
      <c r="S32" s="160"/>
      <c r="T32" s="160"/>
      <c r="U32" s="161"/>
      <c r="V32" s="164" t="s">
        <v>127</v>
      </c>
      <c r="W32" s="160"/>
      <c r="X32" s="158">
        <v>0.22</v>
      </c>
      <c r="Y32" s="159"/>
    </row>
    <row r="33" spans="2:25" ht="12" customHeight="1" x14ac:dyDescent="0.15">
      <c r="B33" s="170"/>
      <c r="C33" s="171"/>
      <c r="D33" s="58" t="s">
        <v>65</v>
      </c>
      <c r="E33" s="60"/>
      <c r="F33" s="164"/>
      <c r="G33" s="160"/>
      <c r="H33" s="160"/>
      <c r="I33" s="160"/>
      <c r="J33" s="161"/>
      <c r="K33" s="160"/>
      <c r="L33" s="160"/>
      <c r="M33" s="160"/>
      <c r="N33" s="164"/>
      <c r="O33" s="161"/>
      <c r="P33" s="164"/>
      <c r="Q33" s="160"/>
      <c r="R33" s="160"/>
      <c r="S33" s="160"/>
      <c r="T33" s="160"/>
      <c r="U33" s="161"/>
      <c r="V33" s="164"/>
      <c r="W33" s="160"/>
      <c r="X33" s="160"/>
      <c r="Y33" s="161"/>
    </row>
    <row r="34" spans="2:25" x14ac:dyDescent="0.15">
      <c r="B34" s="172"/>
      <c r="C34" s="173"/>
      <c r="D34" s="58" t="s">
        <v>66</v>
      </c>
      <c r="E34" s="60"/>
      <c r="F34" s="164"/>
      <c r="G34" s="160"/>
      <c r="H34" s="160"/>
      <c r="I34" s="160"/>
      <c r="J34" s="161"/>
      <c r="K34" s="164"/>
      <c r="L34" s="160"/>
      <c r="M34" s="160"/>
      <c r="N34" s="164"/>
      <c r="O34" s="161"/>
      <c r="P34" s="164"/>
      <c r="Q34" s="160"/>
      <c r="R34" s="160"/>
      <c r="S34" s="160"/>
      <c r="T34" s="160"/>
      <c r="U34" s="161"/>
      <c r="V34" s="164"/>
      <c r="W34" s="160"/>
      <c r="X34" s="160"/>
      <c r="Y34" s="161"/>
    </row>
    <row r="37" spans="2:25" x14ac:dyDescent="0.15">
      <c r="B37" s="152" t="s">
        <v>142</v>
      </c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4"/>
    </row>
    <row r="38" spans="2:25" x14ac:dyDescent="0.15">
      <c r="B38" s="155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7"/>
    </row>
    <row r="39" spans="2:25" x14ac:dyDescent="0.15">
      <c r="B39" s="125"/>
      <c r="I39" s="144" t="s">
        <v>222</v>
      </c>
      <c r="J39" s="144"/>
      <c r="K39" s="144"/>
      <c r="L39" s="144" t="s">
        <v>223</v>
      </c>
      <c r="M39" s="144"/>
      <c r="N39" s="144"/>
      <c r="O39" s="144"/>
      <c r="P39" s="144"/>
      <c r="Q39" s="144" t="s">
        <v>224</v>
      </c>
      <c r="R39" s="144"/>
      <c r="S39" s="144"/>
      <c r="T39" s="144"/>
      <c r="U39" s="144"/>
      <c r="V39" s="144"/>
      <c r="W39" s="144"/>
    </row>
    <row r="40" spans="2:25" x14ac:dyDescent="0.15">
      <c r="I40" s="42" t="s">
        <v>148</v>
      </c>
      <c r="J40" s="136" t="s">
        <v>147</v>
      </c>
      <c r="K40" s="136"/>
      <c r="L40" s="136" t="s">
        <v>148</v>
      </c>
      <c r="M40" s="136"/>
      <c r="N40" s="136" t="s">
        <v>147</v>
      </c>
      <c r="O40" s="136"/>
      <c r="P40" s="136"/>
      <c r="Q40" s="136" t="s">
        <v>148</v>
      </c>
      <c r="R40" s="136"/>
      <c r="S40" s="136"/>
      <c r="T40" s="136"/>
      <c r="U40" s="136" t="s">
        <v>147</v>
      </c>
      <c r="V40" s="136"/>
      <c r="W40" s="136"/>
    </row>
    <row r="41" spans="2:25" x14ac:dyDescent="0.15">
      <c r="B41" s="138" t="s">
        <v>245</v>
      </c>
      <c r="C41" s="138"/>
      <c r="D41" s="138"/>
      <c r="E41" s="138"/>
      <c r="F41" s="138"/>
      <c r="G41" s="138"/>
      <c r="H41" s="126" t="s">
        <v>152</v>
      </c>
      <c r="I41" s="131">
        <f>'Unit 1 a'!J54+'Unit 1 b'!J54</f>
        <v>24842.335295555553</v>
      </c>
      <c r="J41" s="150">
        <f>'Unit 1 a'!J77+'Unit 1 b'!J77</f>
        <v>30169.221899999997</v>
      </c>
      <c r="K41" s="151"/>
      <c r="L41" s="137">
        <f>'Unit 2 a'!J54+'Unit 2 b'!J54</f>
        <v>0</v>
      </c>
      <c r="M41" s="137"/>
      <c r="N41" s="137">
        <f>'Unit 2 a'!J77+'Unit 2 b'!J77</f>
        <v>0</v>
      </c>
      <c r="O41" s="137"/>
      <c r="P41" s="137"/>
      <c r="Q41" s="136"/>
      <c r="R41" s="136"/>
      <c r="S41" s="136"/>
      <c r="T41" s="136"/>
      <c r="U41" s="136"/>
      <c r="V41" s="136"/>
      <c r="W41" s="136"/>
      <c r="X41" s="138"/>
      <c r="Y41" s="138"/>
    </row>
    <row r="42" spans="2:25" x14ac:dyDescent="0.15">
      <c r="B42" s="138" t="s">
        <v>246</v>
      </c>
      <c r="C42" s="138"/>
      <c r="D42" s="138"/>
      <c r="E42" s="138"/>
      <c r="F42" s="138"/>
      <c r="G42" s="138"/>
      <c r="H42" s="126" t="s">
        <v>149</v>
      </c>
      <c r="I42" s="127">
        <f>'Unit 1 a'!J55+'Unit 1 b'!J55</f>
        <v>2.7602594772839506</v>
      </c>
      <c r="J42" s="127">
        <f>'Unit 1 a'!J78+'Unit 1 b'!J78</f>
        <v>8.8395024611778492</v>
      </c>
      <c r="K42" s="128" t="s">
        <v>74</v>
      </c>
      <c r="L42" s="142">
        <f>'Unit 2 a'!J55+'Unit 2 b'!J55</f>
        <v>0</v>
      </c>
      <c r="M42" s="136"/>
      <c r="N42" s="135">
        <f>'Unit 2 a'!J78+'Unit 2 b'!J78</f>
        <v>0</v>
      </c>
      <c r="O42" s="136" t="s">
        <v>74</v>
      </c>
      <c r="P42" s="136"/>
      <c r="Q42" s="136"/>
      <c r="R42" s="136"/>
      <c r="S42" s="136"/>
      <c r="T42" s="136"/>
      <c r="U42" s="136"/>
      <c r="V42" s="136"/>
      <c r="W42" s="136"/>
      <c r="X42" s="138"/>
      <c r="Y42" s="138"/>
    </row>
    <row r="43" spans="2:25" x14ac:dyDescent="0.15">
      <c r="B43" s="138" t="s">
        <v>247</v>
      </c>
      <c r="C43" s="138"/>
      <c r="D43" s="138"/>
      <c r="E43" s="138"/>
      <c r="F43" s="138"/>
      <c r="G43" s="138"/>
      <c r="H43" s="126" t="s">
        <v>150</v>
      </c>
      <c r="I43" s="130">
        <f>I44/I42</f>
        <v>910.0593696617849</v>
      </c>
      <c r="J43" s="132">
        <f>J42*1000/G11</f>
        <v>3.518910215437042</v>
      </c>
      <c r="K43" s="129" t="s">
        <v>153</v>
      </c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8"/>
      <c r="Y43" s="138"/>
    </row>
    <row r="44" spans="2:25" x14ac:dyDescent="0.15">
      <c r="B44" s="138" t="s">
        <v>248</v>
      </c>
      <c r="C44" s="138"/>
      <c r="D44" s="138"/>
      <c r="E44" s="138"/>
      <c r="F44" s="138"/>
      <c r="G44" s="138"/>
      <c r="H44" s="126" t="s">
        <v>154</v>
      </c>
      <c r="I44" s="139">
        <f>G11</f>
        <v>2512</v>
      </c>
      <c r="J44" s="140"/>
      <c r="K44" s="141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8"/>
      <c r="Y44" s="138"/>
    </row>
    <row r="45" spans="2:25" x14ac:dyDescent="0.15">
      <c r="B45" s="138" t="s">
        <v>249</v>
      </c>
      <c r="C45" s="138"/>
      <c r="D45" s="138"/>
      <c r="E45" s="138"/>
      <c r="F45" s="138"/>
      <c r="G45" s="138"/>
      <c r="H45" s="126" t="s">
        <v>149</v>
      </c>
      <c r="I45" s="56">
        <f>'Unit 1 a'!E56+'Unit 1 b'!E56</f>
        <v>3.5</v>
      </c>
      <c r="J45" s="56">
        <f>'Unit 1 a'!E79+'Unit 1 b'!E79</f>
        <v>10</v>
      </c>
      <c r="K45" s="133" t="s">
        <v>74</v>
      </c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8"/>
      <c r="Y45" s="138"/>
    </row>
    <row r="46" spans="2:25" x14ac:dyDescent="0.15">
      <c r="B46" s="138" t="s">
        <v>250</v>
      </c>
      <c r="C46" s="138"/>
      <c r="D46" s="138"/>
      <c r="E46" s="138"/>
      <c r="F46" s="138"/>
      <c r="G46" s="138"/>
      <c r="H46" s="126" t="s">
        <v>151</v>
      </c>
      <c r="I46" s="56">
        <v>57.2</v>
      </c>
      <c r="J46" s="139">
        <v>96.3</v>
      </c>
      <c r="K46" s="141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8"/>
      <c r="Y46" s="138"/>
    </row>
    <row r="47" spans="2:25" x14ac:dyDescent="0.15">
      <c r="B47" s="138" t="s">
        <v>251</v>
      </c>
      <c r="C47" s="138"/>
      <c r="D47" s="138"/>
      <c r="E47" s="138"/>
      <c r="F47" s="138"/>
      <c r="G47" s="138"/>
      <c r="H47" s="126" t="s">
        <v>150</v>
      </c>
      <c r="I47" s="130">
        <f>I44/I45</f>
        <v>717.71428571428567</v>
      </c>
      <c r="J47" s="130">
        <f>J45*1000/I44</f>
        <v>3.9808917197452227</v>
      </c>
      <c r="K47" s="134" t="s">
        <v>252</v>
      </c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8"/>
      <c r="Y47" s="138"/>
    </row>
  </sheetData>
  <mergeCells count="140">
    <mergeCell ref="J9:P9"/>
    <mergeCell ref="J10:K10"/>
    <mergeCell ref="O11:P11"/>
    <mergeCell ref="O12:P12"/>
    <mergeCell ref="O13:P13"/>
    <mergeCell ref="B9:H9"/>
    <mergeCell ref="O14:P14"/>
    <mergeCell ref="T9:Y9"/>
    <mergeCell ref="B10:F10"/>
    <mergeCell ref="B11:F11"/>
    <mergeCell ref="B12:F12"/>
    <mergeCell ref="B13:F13"/>
    <mergeCell ref="L10:M10"/>
    <mergeCell ref="N10:P10"/>
    <mergeCell ref="B17:Y17"/>
    <mergeCell ref="P20:U20"/>
    <mergeCell ref="P21:U21"/>
    <mergeCell ref="G25:Y25"/>
    <mergeCell ref="P19:U19"/>
    <mergeCell ref="V19:Y19"/>
    <mergeCell ref="V20:Y20"/>
    <mergeCell ref="V21:Y21"/>
    <mergeCell ref="G22:Y22"/>
    <mergeCell ref="G19:K19"/>
    <mergeCell ref="L19:O19"/>
    <mergeCell ref="L20:O20"/>
    <mergeCell ref="L21:O21"/>
    <mergeCell ref="G20:K20"/>
    <mergeCell ref="V26:Y26"/>
    <mergeCell ref="G26:K26"/>
    <mergeCell ref="B28:C30"/>
    <mergeCell ref="B31:C34"/>
    <mergeCell ref="D18:E18"/>
    <mergeCell ref="B18:C21"/>
    <mergeCell ref="B22:C24"/>
    <mergeCell ref="B25:C27"/>
    <mergeCell ref="B14:F14"/>
    <mergeCell ref="G27:K27"/>
    <mergeCell ref="G30:K30"/>
    <mergeCell ref="G29:K29"/>
    <mergeCell ref="V32:W32"/>
    <mergeCell ref="V33:W33"/>
    <mergeCell ref="V34:W34"/>
    <mergeCell ref="V31:Y31"/>
    <mergeCell ref="P26:U26"/>
    <mergeCell ref="N34:O34"/>
    <mergeCell ref="K34:M34"/>
    <mergeCell ref="F31:J31"/>
    <mergeCell ref="F32:J32"/>
    <mergeCell ref="F33:J33"/>
    <mergeCell ref="F34:J34"/>
    <mergeCell ref="N31:O31"/>
    <mergeCell ref="N32:O32"/>
    <mergeCell ref="K31:M31"/>
    <mergeCell ref="K32:M32"/>
    <mergeCell ref="K33:M33"/>
    <mergeCell ref="N33:O33"/>
    <mergeCell ref="L26:O26"/>
    <mergeCell ref="L27:O27"/>
    <mergeCell ref="G28:Y28"/>
    <mergeCell ref="V27:Y27"/>
    <mergeCell ref="P27:U27"/>
    <mergeCell ref="L29:O29"/>
    <mergeCell ref="L30:O30"/>
    <mergeCell ref="P29:U29"/>
    <mergeCell ref="P30:U30"/>
    <mergeCell ref="V29:Y29"/>
    <mergeCell ref="V30:Y30"/>
    <mergeCell ref="X32:Y32"/>
    <mergeCell ref="X33:Y33"/>
    <mergeCell ref="X34:Y34"/>
    <mergeCell ref="P31:U31"/>
    <mergeCell ref="P32:U32"/>
    <mergeCell ref="P33:U33"/>
    <mergeCell ref="P34:U34"/>
    <mergeCell ref="B46:G46"/>
    <mergeCell ref="B47:G47"/>
    <mergeCell ref="Q41:T41"/>
    <mergeCell ref="Q42:T42"/>
    <mergeCell ref="Q43:T43"/>
    <mergeCell ref="Q44:T44"/>
    <mergeCell ref="Q45:T45"/>
    <mergeCell ref="Q46:T46"/>
    <mergeCell ref="Q47:T47"/>
    <mergeCell ref="B41:G41"/>
    <mergeCell ref="B42:G42"/>
    <mergeCell ref="B43:G43"/>
    <mergeCell ref="B44:G44"/>
    <mergeCell ref="B45:G45"/>
    <mergeCell ref="J41:K41"/>
    <mergeCell ref="N43:P43"/>
    <mergeCell ref="L41:M41"/>
    <mergeCell ref="U45:W45"/>
    <mergeCell ref="U44:W44"/>
    <mergeCell ref="U43:W43"/>
    <mergeCell ref="U3:X3"/>
    <mergeCell ref="J40:K40"/>
    <mergeCell ref="N40:P40"/>
    <mergeCell ref="Q40:T40"/>
    <mergeCell ref="U40:W40"/>
    <mergeCell ref="I39:K39"/>
    <mergeCell ref="L39:P39"/>
    <mergeCell ref="Q39:W39"/>
    <mergeCell ref="L40:M40"/>
    <mergeCell ref="G18:Y18"/>
    <mergeCell ref="G23:L23"/>
    <mergeCell ref="G24:L24"/>
    <mergeCell ref="M23:O23"/>
    <mergeCell ref="M24:O24"/>
    <mergeCell ref="P23:U23"/>
    <mergeCell ref="P24:U24"/>
    <mergeCell ref="V23:Y23"/>
    <mergeCell ref="V24:Y24"/>
    <mergeCell ref="X41:Y41"/>
    <mergeCell ref="G21:K21"/>
    <mergeCell ref="B37:Y38"/>
    <mergeCell ref="U41:W41"/>
    <mergeCell ref="N41:P41"/>
    <mergeCell ref="X42:Y42"/>
    <mergeCell ref="X43:Y43"/>
    <mergeCell ref="X44:Y44"/>
    <mergeCell ref="X45:Y45"/>
    <mergeCell ref="X46:Y46"/>
    <mergeCell ref="X47:Y47"/>
    <mergeCell ref="I44:K44"/>
    <mergeCell ref="O42:P42"/>
    <mergeCell ref="J46:K46"/>
    <mergeCell ref="N44:P44"/>
    <mergeCell ref="N45:P45"/>
    <mergeCell ref="N46:P46"/>
    <mergeCell ref="N47:P47"/>
    <mergeCell ref="L42:M42"/>
    <mergeCell ref="L43:M43"/>
    <mergeCell ref="L44:M44"/>
    <mergeCell ref="L45:M45"/>
    <mergeCell ref="L46:M46"/>
    <mergeCell ref="L47:M47"/>
    <mergeCell ref="U42:W42"/>
    <mergeCell ref="U47:W47"/>
    <mergeCell ref="U46:W4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0F6CAD-AD71-0046-8C57-D3096DA72FC1}">
          <x14:formula1>
            <xm:f>'Glass CLF Calculation'!$A$30:$A$36</xm:f>
          </x14:formula1>
          <xm:sqref>P26:U27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9279-BF7A-48E1-914D-1C9B5747129F}">
  <dimension ref="A1:BG5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" sqref="B2:C2"/>
    </sheetView>
  </sheetViews>
  <sheetFormatPr baseColWidth="10" defaultColWidth="8.83203125" defaultRowHeight="15" x14ac:dyDescent="0.2"/>
  <cols>
    <col min="1" max="1" width="11.5" bestFit="1" customWidth="1"/>
    <col min="2" max="2" width="6.5" customWidth="1"/>
    <col min="3" max="3" width="7" customWidth="1"/>
    <col min="4" max="28" width="13.5" style="101" customWidth="1"/>
  </cols>
  <sheetData>
    <row r="1" spans="1:28" x14ac:dyDescent="0.2">
      <c r="A1" s="202" t="s">
        <v>229</v>
      </c>
      <c r="B1" s="203"/>
      <c r="C1" s="204"/>
      <c r="D1" s="118" t="s">
        <v>256</v>
      </c>
      <c r="E1" s="118" t="s">
        <v>257</v>
      </c>
      <c r="F1" s="118" t="s">
        <v>258</v>
      </c>
      <c r="G1" s="118" t="s">
        <v>259</v>
      </c>
      <c r="H1" s="118" t="s">
        <v>260</v>
      </c>
      <c r="I1" s="118" t="s">
        <v>261</v>
      </c>
      <c r="J1" s="118" t="s">
        <v>262</v>
      </c>
      <c r="K1" s="118" t="s">
        <v>263</v>
      </c>
      <c r="L1" s="118" t="s">
        <v>264</v>
      </c>
      <c r="M1" s="118" t="s">
        <v>227</v>
      </c>
      <c r="N1" s="118" t="s">
        <v>206</v>
      </c>
      <c r="O1" s="118" t="s">
        <v>207</v>
      </c>
      <c r="P1" s="118" t="s">
        <v>266</v>
      </c>
      <c r="Q1" s="118" t="s">
        <v>208</v>
      </c>
      <c r="R1" s="118" t="s">
        <v>267</v>
      </c>
      <c r="S1" s="118" t="s">
        <v>265</v>
      </c>
      <c r="T1" s="118" t="s">
        <v>268</v>
      </c>
      <c r="U1" s="118" t="s">
        <v>35</v>
      </c>
      <c r="V1" s="118"/>
      <c r="W1" s="118"/>
      <c r="X1" s="118"/>
      <c r="Y1" s="118"/>
      <c r="Z1" s="118"/>
      <c r="AA1" s="118"/>
      <c r="AB1" s="118"/>
    </row>
    <row r="2" spans="1:28" x14ac:dyDescent="0.2">
      <c r="A2" s="112" t="s">
        <v>221</v>
      </c>
      <c r="B2" s="197" t="s">
        <v>22</v>
      </c>
      <c r="C2" s="198"/>
      <c r="D2" s="118" t="s">
        <v>239</v>
      </c>
      <c r="E2" s="118" t="s">
        <v>239</v>
      </c>
      <c r="F2" s="118" t="s">
        <v>239</v>
      </c>
      <c r="G2" s="118" t="s">
        <v>239</v>
      </c>
      <c r="H2" s="118" t="s">
        <v>239</v>
      </c>
      <c r="I2" s="118" t="s">
        <v>239</v>
      </c>
      <c r="J2" s="118" t="s">
        <v>239</v>
      </c>
      <c r="K2" s="118" t="s">
        <v>240</v>
      </c>
      <c r="L2" s="118" t="s">
        <v>240</v>
      </c>
      <c r="M2" s="118" t="s">
        <v>240</v>
      </c>
      <c r="N2" s="118" t="s">
        <v>240</v>
      </c>
      <c r="O2" s="118" t="s">
        <v>240</v>
      </c>
      <c r="P2" s="118" t="s">
        <v>240</v>
      </c>
      <c r="Q2" s="118" t="s">
        <v>240</v>
      </c>
      <c r="R2" s="118" t="s">
        <v>240</v>
      </c>
      <c r="S2" s="118" t="s">
        <v>240</v>
      </c>
      <c r="T2" s="118" t="s">
        <v>240</v>
      </c>
      <c r="U2" s="118" t="s">
        <v>240</v>
      </c>
      <c r="V2" s="118"/>
      <c r="W2" s="118"/>
      <c r="X2" s="118"/>
      <c r="Y2" s="118"/>
      <c r="Z2" s="118"/>
      <c r="AA2" s="118"/>
      <c r="AB2" s="118"/>
    </row>
    <row r="3" spans="1:28" x14ac:dyDescent="0.2">
      <c r="A3" s="202" t="s">
        <v>53</v>
      </c>
      <c r="B3" s="203"/>
      <c r="C3" s="204"/>
      <c r="D3" s="120"/>
      <c r="E3" s="120">
        <v>1</v>
      </c>
      <c r="F3" s="120"/>
      <c r="G3" s="120"/>
      <c r="H3" s="120">
        <v>1</v>
      </c>
      <c r="I3" s="120"/>
      <c r="J3" s="120"/>
      <c r="K3" s="120"/>
      <c r="L3" s="120">
        <v>1</v>
      </c>
      <c r="M3" s="120">
        <v>1</v>
      </c>
      <c r="N3" s="120"/>
      <c r="O3" s="120"/>
      <c r="P3" s="120"/>
      <c r="Q3" s="120">
        <v>1</v>
      </c>
      <c r="R3" s="120"/>
      <c r="S3" s="120">
        <v>1</v>
      </c>
      <c r="T3" s="120"/>
      <c r="U3" s="120"/>
      <c r="V3" s="120"/>
      <c r="W3" s="120"/>
      <c r="X3" s="120"/>
      <c r="Y3" s="120"/>
      <c r="Z3" s="120"/>
      <c r="AA3" s="120"/>
      <c r="AB3" s="120"/>
    </row>
    <row r="4" spans="1:28" x14ac:dyDescent="0.2">
      <c r="A4" s="202" t="s">
        <v>236</v>
      </c>
      <c r="B4" s="203"/>
      <c r="C4" s="204"/>
      <c r="D4" s="120"/>
      <c r="E4" s="120">
        <v>250</v>
      </c>
      <c r="F4" s="120"/>
      <c r="G4" s="120"/>
      <c r="H4" s="120"/>
      <c r="I4" s="120">
        <v>680</v>
      </c>
      <c r="J4" s="120"/>
      <c r="K4" s="120"/>
      <c r="L4" s="120">
        <v>250</v>
      </c>
      <c r="M4" s="120"/>
      <c r="N4" s="120"/>
      <c r="O4" s="120"/>
      <c r="P4" s="120"/>
      <c r="Q4" s="120"/>
      <c r="R4" s="120"/>
      <c r="S4" s="120"/>
      <c r="T4" s="120"/>
      <c r="U4" s="120">
        <v>200</v>
      </c>
      <c r="V4" s="120"/>
      <c r="W4" s="120"/>
      <c r="X4" s="120"/>
      <c r="Y4" s="120"/>
      <c r="Z4" s="120"/>
      <c r="AA4" s="120"/>
      <c r="AB4" s="120"/>
    </row>
    <row r="5" spans="1:28" ht="24" x14ac:dyDescent="0.2">
      <c r="A5" s="123" t="s">
        <v>230</v>
      </c>
      <c r="B5" s="122"/>
      <c r="C5" s="122"/>
      <c r="D5" s="199" t="s">
        <v>230</v>
      </c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1"/>
    </row>
    <row r="6" spans="1:28" ht="15" hidden="1" customHeight="1" x14ac:dyDescent="0.2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 spans="1:28" hidden="1" x14ac:dyDescent="0.2">
      <c r="A7" s="116" t="s">
        <v>220</v>
      </c>
      <c r="B7" s="117" t="s">
        <v>228</v>
      </c>
      <c r="C7" s="117" t="s">
        <v>1</v>
      </c>
      <c r="D7" s="113" t="str">
        <f t="shared" ref="D7:AB7" si="0">D1</f>
        <v>Entry</v>
      </c>
      <c r="E7" s="113" t="str">
        <f t="shared" si="0"/>
        <v>Family</v>
      </c>
      <c r="F7" s="113" t="str">
        <f t="shared" si="0"/>
        <v>PS WIC</v>
      </c>
      <c r="G7" s="113" t="str">
        <f t="shared" si="0"/>
        <v>PS Bath</v>
      </c>
      <c r="H7" s="113" t="str">
        <f t="shared" si="0"/>
        <v>PS Bed</v>
      </c>
      <c r="I7" s="113" t="str">
        <f t="shared" si="0"/>
        <v>Breakfast / Kitchen</v>
      </c>
      <c r="J7" s="113" t="str">
        <f t="shared" si="0"/>
        <v>Powder</v>
      </c>
      <c r="K7" s="113" t="str">
        <f t="shared" si="0"/>
        <v>Stairs</v>
      </c>
      <c r="L7" s="113" t="str">
        <f t="shared" si="0"/>
        <v>Loft</v>
      </c>
      <c r="M7" s="113" t="str">
        <f t="shared" si="0"/>
        <v>Master Bed</v>
      </c>
      <c r="N7" s="113" t="str">
        <f t="shared" si="0"/>
        <v>Master Bath</v>
      </c>
      <c r="O7" s="113" t="str">
        <f t="shared" si="0"/>
        <v>Master WIC</v>
      </c>
      <c r="P7" s="113" t="str">
        <f t="shared" si="0"/>
        <v>Bed 3 WIC</v>
      </c>
      <c r="Q7" s="113" t="str">
        <f t="shared" si="0"/>
        <v>Bed 3</v>
      </c>
      <c r="R7" s="113" t="str">
        <f t="shared" si="0"/>
        <v>Bath2</v>
      </c>
      <c r="S7" s="113" t="str">
        <f t="shared" si="0"/>
        <v>Bed 4</v>
      </c>
      <c r="T7" s="113" t="str">
        <f t="shared" si="0"/>
        <v>Hallway</v>
      </c>
      <c r="U7" s="113" t="str">
        <f t="shared" si="0"/>
        <v>Laundry</v>
      </c>
      <c r="V7" s="113">
        <f t="shared" si="0"/>
        <v>0</v>
      </c>
      <c r="W7" s="113">
        <f t="shared" si="0"/>
        <v>0</v>
      </c>
      <c r="X7" s="113">
        <f t="shared" si="0"/>
        <v>0</v>
      </c>
      <c r="Y7" s="113">
        <f t="shared" si="0"/>
        <v>0</v>
      </c>
      <c r="Z7" s="113">
        <f t="shared" si="0"/>
        <v>0</v>
      </c>
      <c r="AA7" s="113">
        <f t="shared" si="0"/>
        <v>0</v>
      </c>
      <c r="AB7" s="113">
        <f t="shared" si="0"/>
        <v>0</v>
      </c>
    </row>
    <row r="8" spans="1:28" x14ac:dyDescent="0.2">
      <c r="A8" s="112" t="str">
        <f>IF(A15="North","Northeast",IF(A15="NorthEast","East",IF(A15="East","SouthEast",IF(A15="SouthEast","South",IF(A15="South","SouthWest",IF(A15="SouthWest","West",IF(A15="West","NorthWest","North")))))))</f>
        <v>NorthWest</v>
      </c>
      <c r="B8" s="112" t="s">
        <v>8</v>
      </c>
      <c r="C8" s="112" t="s">
        <v>7</v>
      </c>
      <c r="D8" s="118"/>
      <c r="E8" s="118">
        <v>36</v>
      </c>
      <c r="F8" s="118"/>
      <c r="G8" s="118"/>
      <c r="H8" s="118"/>
      <c r="I8" s="118"/>
      <c r="J8" s="118"/>
      <c r="K8" s="118"/>
      <c r="L8" s="118">
        <v>30</v>
      </c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</row>
    <row r="9" spans="1:28" x14ac:dyDescent="0.2">
      <c r="A9" s="112" t="str">
        <f>IF(A8="North","Northeast",IF(A8="NorthEast","East",IF(A8="East","SouthEast",IF(A8="SouthEast","South",IF(A8="South","SouthWest",IF(A8="SouthWest","West",IF(A8="West","NorthWest","North")))))))</f>
        <v>North</v>
      </c>
      <c r="B9" s="112"/>
      <c r="C9" s="112" t="s">
        <v>7</v>
      </c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</row>
    <row r="10" spans="1:28" x14ac:dyDescent="0.2">
      <c r="A10" s="121" t="str">
        <f>$B$2</f>
        <v>NorthEast</v>
      </c>
      <c r="B10" s="112" t="s">
        <v>17</v>
      </c>
      <c r="C10" s="112" t="s">
        <v>7</v>
      </c>
      <c r="D10" s="118"/>
      <c r="E10" s="118"/>
      <c r="F10" s="118"/>
      <c r="G10" s="118"/>
      <c r="H10" s="118"/>
      <c r="I10" s="118"/>
      <c r="J10" s="118"/>
      <c r="K10" s="118">
        <v>8</v>
      </c>
      <c r="L10" s="118"/>
      <c r="M10" s="118">
        <v>38</v>
      </c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</row>
    <row r="11" spans="1:28" x14ac:dyDescent="0.2">
      <c r="A11" s="112" t="str">
        <f>IF(A10="North","Northeast",IF(A10="NorthEast","East",IF(A10="East","SouthEast",IF(A10="SouthEast","South",IF(A10="South","SouthWest",IF(A10="SouthWest","West",IF(A10="West","NorthWest","North")))))))</f>
        <v>East</v>
      </c>
      <c r="B11" s="112"/>
      <c r="C11" s="112" t="s">
        <v>7</v>
      </c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</row>
    <row r="12" spans="1:28" x14ac:dyDescent="0.2">
      <c r="A12" s="112" t="str">
        <f>IF(A11="North","Northeast",IF(A11="NorthEast","East",IF(A11="East","SouthEast",IF(A11="SouthEast","South",IF(A11="South","SouthWest",IF(A11="SouthWest","West",IF(A11="West","NorthWest","North")))))))</f>
        <v>SouthEast</v>
      </c>
      <c r="B12" s="112" t="s">
        <v>219</v>
      </c>
      <c r="C12" s="112" t="s">
        <v>7</v>
      </c>
      <c r="D12" s="118"/>
      <c r="E12" s="118"/>
      <c r="F12" s="118"/>
      <c r="G12" s="118">
        <v>3</v>
      </c>
      <c r="H12" s="118"/>
      <c r="I12" s="118"/>
      <c r="J12" s="118"/>
      <c r="K12" s="118"/>
      <c r="L12" s="118"/>
      <c r="M12" s="118"/>
      <c r="N12" s="118">
        <v>16</v>
      </c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</row>
    <row r="13" spans="1:28" x14ac:dyDescent="0.2">
      <c r="A13" s="112" t="str">
        <f>IF(A12="North","Northeast",IF(A12="NorthEast","East",IF(A12="East","SouthEast",IF(A12="SouthEast","South",IF(A12="South","SouthWest",IF(A12="SouthWest","West",IF(A12="West","NorthWest","North")))))))</f>
        <v>South</v>
      </c>
      <c r="B13" s="112"/>
      <c r="C13" s="112" t="s">
        <v>7</v>
      </c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</row>
    <row r="14" spans="1:28" x14ac:dyDescent="0.2">
      <c r="A14" s="112" t="str">
        <f>IF(A13="North","Northeast",IF(A13="NorthEast","East",IF(A13="East","SouthEast",IF(A13="SouthEast","South",IF(A13="South","SouthWest",IF(A13="SouthWest","West",IF(A13="West","NorthWest","North")))))))</f>
        <v>SouthWest</v>
      </c>
      <c r="B14" s="112" t="s">
        <v>19</v>
      </c>
      <c r="C14" s="112" t="s">
        <v>7</v>
      </c>
      <c r="D14" s="118"/>
      <c r="E14" s="118"/>
      <c r="F14" s="118"/>
      <c r="G14" s="118"/>
      <c r="H14" s="118">
        <v>36</v>
      </c>
      <c r="I14" s="118">
        <v>45</v>
      </c>
      <c r="J14" s="118"/>
      <c r="K14" s="118"/>
      <c r="L14" s="118"/>
      <c r="M14" s="118"/>
      <c r="N14" s="118"/>
      <c r="O14" s="118"/>
      <c r="P14" s="118"/>
      <c r="Q14" s="118">
        <v>15</v>
      </c>
      <c r="R14" s="118"/>
      <c r="S14" s="118">
        <v>15</v>
      </c>
      <c r="T14" s="118"/>
      <c r="U14" s="118"/>
      <c r="V14" s="118"/>
      <c r="W14" s="118"/>
      <c r="X14" s="118"/>
      <c r="Y14" s="118"/>
      <c r="Z14" s="118"/>
      <c r="AA14" s="118"/>
      <c r="AB14" s="118"/>
    </row>
    <row r="15" spans="1:28" x14ac:dyDescent="0.2">
      <c r="A15" s="112" t="str">
        <f>IF(A14="North","Northeast",IF(A14="NorthEast","East",IF(A14="East","SouthEast",IF(A14="SouthEast","South",IF(A14="South","SouthWest",IF(A14="SouthWest","West",IF(A14="West","NorthWest","North")))))))</f>
        <v>West</v>
      </c>
      <c r="B15" s="112"/>
      <c r="C15" s="112" t="s">
        <v>7</v>
      </c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</row>
    <row r="16" spans="1:28" x14ac:dyDescent="0.2">
      <c r="A16" s="112" t="s">
        <v>21</v>
      </c>
      <c r="C16" s="112" t="s">
        <v>7</v>
      </c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</row>
    <row r="17" spans="1:28" x14ac:dyDescent="0.2">
      <c r="A17" s="112" t="s">
        <v>20</v>
      </c>
      <c r="C17" s="112" t="s">
        <v>7</v>
      </c>
      <c r="D17" s="118">
        <v>6</v>
      </c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</row>
    <row r="18" spans="1:28" x14ac:dyDescent="0.2">
      <c r="A18" s="190" t="s">
        <v>237</v>
      </c>
      <c r="B18" s="191"/>
      <c r="C18" s="112" t="s">
        <v>33</v>
      </c>
      <c r="D18" s="118">
        <v>16.7</v>
      </c>
      <c r="E18" s="118"/>
      <c r="F18" s="118"/>
      <c r="G18" s="118"/>
      <c r="H18" s="118"/>
      <c r="I18" s="118">
        <v>8</v>
      </c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</row>
    <row r="19" spans="1:28" x14ac:dyDescent="0.2">
      <c r="A19" s="192" t="s">
        <v>238</v>
      </c>
      <c r="B19" s="193"/>
      <c r="C19" s="112" t="s">
        <v>34</v>
      </c>
      <c r="D19" s="118">
        <v>17.8</v>
      </c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</row>
    <row r="20" spans="1:28" ht="24" x14ac:dyDescent="0.2">
      <c r="A20" s="123" t="s">
        <v>79</v>
      </c>
      <c r="B20" s="122"/>
      <c r="C20" s="122"/>
      <c r="D20" s="199" t="s">
        <v>79</v>
      </c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1"/>
    </row>
    <row r="21" spans="1:28" ht="15" hidden="1" customHeight="1" x14ac:dyDescent="0.2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 spans="1:28" hidden="1" x14ac:dyDescent="0.2">
      <c r="A22" s="116" t="s">
        <v>220</v>
      </c>
      <c r="B22" s="117" t="s">
        <v>228</v>
      </c>
      <c r="C22" s="117" t="s">
        <v>1</v>
      </c>
      <c r="D22" s="113" t="str">
        <f t="shared" ref="D22:AB22" si="1">D1</f>
        <v>Entry</v>
      </c>
      <c r="E22" s="113" t="str">
        <f t="shared" si="1"/>
        <v>Family</v>
      </c>
      <c r="F22" s="113" t="str">
        <f t="shared" si="1"/>
        <v>PS WIC</v>
      </c>
      <c r="G22" s="113" t="str">
        <f t="shared" si="1"/>
        <v>PS Bath</v>
      </c>
      <c r="H22" s="113" t="str">
        <f t="shared" si="1"/>
        <v>PS Bed</v>
      </c>
      <c r="I22" s="113" t="str">
        <f t="shared" si="1"/>
        <v>Breakfast / Kitchen</v>
      </c>
      <c r="J22" s="113" t="str">
        <f t="shared" si="1"/>
        <v>Powder</v>
      </c>
      <c r="K22" s="113" t="str">
        <f t="shared" si="1"/>
        <v>Stairs</v>
      </c>
      <c r="L22" s="113" t="str">
        <f t="shared" si="1"/>
        <v>Loft</v>
      </c>
      <c r="M22" s="113" t="str">
        <f t="shared" si="1"/>
        <v>Master Bed</v>
      </c>
      <c r="N22" s="113" t="str">
        <f t="shared" si="1"/>
        <v>Master Bath</v>
      </c>
      <c r="O22" s="113" t="str">
        <f t="shared" si="1"/>
        <v>Master WIC</v>
      </c>
      <c r="P22" s="113" t="str">
        <f t="shared" si="1"/>
        <v>Bed 3 WIC</v>
      </c>
      <c r="Q22" s="113" t="str">
        <f t="shared" si="1"/>
        <v>Bed 3</v>
      </c>
      <c r="R22" s="113" t="str">
        <f t="shared" si="1"/>
        <v>Bath2</v>
      </c>
      <c r="S22" s="113" t="str">
        <f t="shared" si="1"/>
        <v>Bed 4</v>
      </c>
      <c r="T22" s="113" t="str">
        <f t="shared" si="1"/>
        <v>Hallway</v>
      </c>
      <c r="U22" s="113" t="str">
        <f t="shared" si="1"/>
        <v>Laundry</v>
      </c>
      <c r="V22" s="113">
        <f t="shared" si="1"/>
        <v>0</v>
      </c>
      <c r="W22" s="113">
        <f t="shared" si="1"/>
        <v>0</v>
      </c>
      <c r="X22" s="113">
        <f t="shared" si="1"/>
        <v>0</v>
      </c>
      <c r="Y22" s="113">
        <f t="shared" si="1"/>
        <v>0</v>
      </c>
      <c r="Z22" s="113">
        <f t="shared" si="1"/>
        <v>0</v>
      </c>
      <c r="AA22" s="113">
        <f t="shared" si="1"/>
        <v>0</v>
      </c>
      <c r="AB22" s="113">
        <f t="shared" si="1"/>
        <v>0</v>
      </c>
    </row>
    <row r="23" spans="1:28" x14ac:dyDescent="0.2">
      <c r="A23" s="112" t="str">
        <f>IF(A30="North","Northeast",IF(A30="NorthEast","East",IF(A30="East","SouthEast",IF(A30="SouthEast","South",IF(A30="South","SouthWest",IF(A30="SouthWest","West",IF(A30="West","NorthWest","North")))))))</f>
        <v>NorthWest</v>
      </c>
      <c r="B23" s="112" t="s">
        <v>8</v>
      </c>
      <c r="C23" s="112" t="s">
        <v>38</v>
      </c>
      <c r="D23" s="113">
        <v>99</v>
      </c>
      <c r="E23" s="113">
        <v>94</v>
      </c>
      <c r="F23" s="113"/>
      <c r="G23" s="113"/>
      <c r="H23" s="113"/>
      <c r="I23" s="113">
        <v>138</v>
      </c>
      <c r="J23" s="113">
        <v>48</v>
      </c>
      <c r="K23" s="113">
        <v>130</v>
      </c>
      <c r="L23" s="113">
        <v>85</v>
      </c>
      <c r="M23" s="113"/>
      <c r="N23" s="113"/>
      <c r="O23" s="113"/>
      <c r="P23" s="113"/>
      <c r="Q23" s="113"/>
      <c r="R23" s="113"/>
      <c r="S23" s="113">
        <v>122</v>
      </c>
      <c r="T23" s="113"/>
      <c r="U23" s="113"/>
      <c r="V23" s="113"/>
      <c r="W23" s="113"/>
      <c r="X23" s="113"/>
      <c r="Y23" s="113"/>
      <c r="Z23" s="113"/>
      <c r="AA23" s="113"/>
      <c r="AB23" s="113"/>
    </row>
    <row r="24" spans="1:28" x14ac:dyDescent="0.2">
      <c r="A24" s="112" t="str">
        <f>IF(A23="North","Northeast",IF(A23="NorthEast","East",IF(A23="East","SouthEast",IF(A23="SouthEast","South",IF(A23="South","SouthWest",IF(A23="SouthWest","West",IF(A23="West","NorthWest","North")))))))</f>
        <v>North</v>
      </c>
      <c r="B24" s="112"/>
      <c r="C24" s="112" t="s">
        <v>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</row>
    <row r="25" spans="1:28" x14ac:dyDescent="0.2">
      <c r="A25" s="121" t="str">
        <f>$B$2</f>
        <v>NorthEast</v>
      </c>
      <c r="B25" s="112" t="s">
        <v>17</v>
      </c>
      <c r="C25" s="112" t="s">
        <v>38</v>
      </c>
      <c r="D25" s="113">
        <v>84</v>
      </c>
      <c r="E25" s="113"/>
      <c r="F25" s="113"/>
      <c r="G25" s="113"/>
      <c r="H25" s="113"/>
      <c r="I25" s="113"/>
      <c r="J25" s="113"/>
      <c r="K25" s="113">
        <v>72</v>
      </c>
      <c r="L25" s="113"/>
      <c r="M25" s="113">
        <v>122</v>
      </c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</row>
    <row r="26" spans="1:28" x14ac:dyDescent="0.2">
      <c r="A26" s="112" t="str">
        <f>IF(A25="North","Northeast",IF(A25="NorthEast","East",IF(A25="East","SouthEast",IF(A25="SouthEast","South",IF(A25="South","SouthWest",IF(A25="SouthWest","West",IF(A25="West","NorthWest","North")))))))</f>
        <v>East</v>
      </c>
      <c r="B26" s="112"/>
      <c r="C26" s="112" t="s">
        <v>38</v>
      </c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</row>
    <row r="27" spans="1:28" x14ac:dyDescent="0.2">
      <c r="A27" s="112" t="str">
        <f>IF(A26="North","Northeast",IF(A26="NorthEast","East",IF(A26="East","SouthEast",IF(A26="SouthEast","South",IF(A26="South","SouthWest",IF(A26="SouthWest","West",IF(A26="West","NorthWest","North")))))))</f>
        <v>SouthEast</v>
      </c>
      <c r="B27" s="112" t="s">
        <v>219</v>
      </c>
      <c r="C27" s="112" t="s">
        <v>38</v>
      </c>
      <c r="D27" s="113"/>
      <c r="E27" s="113"/>
      <c r="F27" s="113">
        <v>50</v>
      </c>
      <c r="G27" s="113">
        <v>78</v>
      </c>
      <c r="H27" s="113">
        <v>138</v>
      </c>
      <c r="I27" s="113"/>
      <c r="J27" s="113"/>
      <c r="K27" s="113"/>
      <c r="L27" s="113"/>
      <c r="M27" s="113">
        <v>138</v>
      </c>
      <c r="N27" s="113">
        <v>60</v>
      </c>
      <c r="O27" s="113">
        <v>62</v>
      </c>
      <c r="P27" s="113">
        <v>29</v>
      </c>
      <c r="Q27" s="113">
        <v>94</v>
      </c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</row>
    <row r="28" spans="1:28" x14ac:dyDescent="0.2">
      <c r="A28" s="112" t="str">
        <f>IF(A27="North","Northeast",IF(A27="NorthEast","East",IF(A27="East","SouthEast",IF(A27="SouthEast","South",IF(A27="South","SouthWest",IF(A27="SouthWest","West",IF(A27="West","NorthWest","North")))))))</f>
        <v>South</v>
      </c>
      <c r="B28" s="112"/>
      <c r="C28" s="112" t="s">
        <v>38</v>
      </c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</row>
    <row r="29" spans="1:28" x14ac:dyDescent="0.2">
      <c r="A29" s="112" t="str">
        <f>IF(A28="North","Northeast",IF(A28="NorthEast","East",IF(A28="East","SouthEast",IF(A28="SouthEast","South",IF(A28="South","SouthWest",IF(A28="SouthWest","West",IF(A28="West","NorthWest","North")))))))</f>
        <v>SouthWest</v>
      </c>
      <c r="B29" s="112" t="s">
        <v>19</v>
      </c>
      <c r="C29" s="112" t="s">
        <v>38</v>
      </c>
      <c r="D29" s="113"/>
      <c r="E29" s="113"/>
      <c r="F29" s="113"/>
      <c r="G29" s="113"/>
      <c r="H29" s="113">
        <v>99</v>
      </c>
      <c r="I29" s="113">
        <v>90</v>
      </c>
      <c r="J29" s="113"/>
      <c r="K29" s="113"/>
      <c r="L29" s="113"/>
      <c r="M29" s="113"/>
      <c r="N29" s="113"/>
      <c r="O29" s="113"/>
      <c r="P29" s="113"/>
      <c r="Q29" s="113">
        <v>94</v>
      </c>
      <c r="R29" s="113">
        <v>42</v>
      </c>
      <c r="S29" s="113">
        <v>73</v>
      </c>
      <c r="T29" s="113"/>
      <c r="U29" s="113"/>
      <c r="V29" s="113"/>
      <c r="W29" s="113"/>
      <c r="X29" s="113"/>
      <c r="Y29" s="113"/>
      <c r="Z29" s="113"/>
      <c r="AA29" s="113"/>
      <c r="AB29" s="113"/>
    </row>
    <row r="30" spans="1:28" x14ac:dyDescent="0.2">
      <c r="A30" s="112" t="str">
        <f>IF(A29="North","Northeast",IF(A29="NorthEast","East",IF(A29="East","SouthEast",IF(A29="SouthEast","South",IF(A29="South","SouthWest",IF(A29="SouthWest","West",IF(A29="West","NorthWest","North")))))))</f>
        <v>West</v>
      </c>
      <c r="B30" s="112"/>
      <c r="C30" s="112" t="s">
        <v>38</v>
      </c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</row>
    <row r="31" spans="1:28" x14ac:dyDescent="0.2">
      <c r="A31" s="194" t="s">
        <v>231</v>
      </c>
      <c r="B31" s="195"/>
      <c r="C31" s="196"/>
      <c r="D31" s="119">
        <f>IF((SUM(D23:D30)+SUM(D18:D19))=0,"-",(SUM(D23:D30)+SUM(D18:D19))/Summary!$G$10)</f>
        <v>25.588235294117649</v>
      </c>
      <c r="E31" s="119">
        <f>IF((SUM(E23:E30)+SUM(E18:E19))=0,"-",(SUM(E23:E30)+SUM(E18:E19))/Summary!$G$10)</f>
        <v>11.058823529411764</v>
      </c>
      <c r="F31" s="119">
        <f>IF((SUM(F23:F30)+SUM(F18:F19))=0,"-",(SUM(F23:F30)+SUM(F18:F19))/Summary!$G$10)</f>
        <v>5.882352941176471</v>
      </c>
      <c r="G31" s="119">
        <f>IF((SUM(G23:G30)+SUM(G18:G19))=0,"-",(SUM(G23:G30)+SUM(G18:G19))/Summary!$G$10)</f>
        <v>9.1764705882352935</v>
      </c>
      <c r="H31" s="119">
        <f>IF((SUM(H23:H30)+SUM(H18:H19))=0,"-",(SUM(H23:H30)+SUM(H18:H19))/Summary!$G$10)</f>
        <v>27.882352941176471</v>
      </c>
      <c r="I31" s="119">
        <f>IF((SUM(I23:I30)+SUM(I18:I19))=0,"-",(SUM(I23:I30)+SUM(I18:I19))/Summary!$G$10)</f>
        <v>27.764705882352942</v>
      </c>
      <c r="J31" s="119">
        <f>IF((SUM(J23:J30)+SUM(J18:J19))=0,"-",(SUM(J23:J30)+SUM(J18:J19))/Summary!$G$10)</f>
        <v>5.6470588235294121</v>
      </c>
      <c r="K31" s="119">
        <f>IF((SUM(K23:K30)+SUM(K18:K19))=0,"-",(SUM(K23:K30)+SUM(K18:K19))/Summary!$G$10)</f>
        <v>23.764705882352942</v>
      </c>
      <c r="L31" s="119">
        <f>IF((SUM(L23:L30)+SUM(L18:L19))=0,"-",(SUM(L23:L30)+SUM(L18:L19))/Summary!$G$10)</f>
        <v>10</v>
      </c>
      <c r="M31" s="119">
        <f>IF((SUM(M23:M30)+SUM(M18:M19))=0,"-",(SUM(M23:M30)+SUM(M18:M19))/Summary!$G$10)</f>
        <v>30.588235294117649</v>
      </c>
      <c r="N31" s="119">
        <f>IF((SUM(N23:N30)+SUM(N18:N19))=0,"-",(SUM(N23:N30)+SUM(N18:N19))/Summary!$G$10)</f>
        <v>7.0588235294117645</v>
      </c>
      <c r="O31" s="119">
        <f>IF((SUM(O23:O30)+SUM(O18:O19))=0,"-",(SUM(O23:O30)+SUM(O18:O19))/Summary!$G$10)</f>
        <v>7.2941176470588234</v>
      </c>
      <c r="P31" s="119">
        <f>IF((SUM(P23:P30)+SUM(P18:P19))=0,"-",(SUM(P23:P30)+SUM(P18:P19))/Summary!$G$10)</f>
        <v>3.4117647058823528</v>
      </c>
      <c r="Q31" s="119">
        <f>IF((SUM(Q23:Q30)+SUM(Q18:Q19))=0,"-",(SUM(Q23:Q30)+SUM(Q18:Q19))/Summary!$G$10)</f>
        <v>22.117647058823529</v>
      </c>
      <c r="R31" s="119">
        <f>IF((SUM(R23:R30)+SUM(R18:R19))=0,"-",(SUM(R23:R30)+SUM(R18:R19))/Summary!$G$10)</f>
        <v>4.9411764705882355</v>
      </c>
      <c r="S31" s="119">
        <f>IF((SUM(S23:S30)+SUM(S18:S19))=0,"-",(SUM(S23:S30)+SUM(S18:S19))/Summary!$G$10)</f>
        <v>22.941176470588236</v>
      </c>
      <c r="T31" s="119" t="str">
        <f>IF((SUM(T23:T30)+SUM(T18:T19))=0,"-",(SUM(T23:T30)+SUM(T18:T19))/Summary!$G$10)</f>
        <v>-</v>
      </c>
      <c r="U31" s="119" t="str">
        <f>IF((SUM(U23:U30)+SUM(U18:U19))=0,"-",(SUM(U23:U30)+SUM(U18:U19))/Summary!$G$10)</f>
        <v>-</v>
      </c>
      <c r="V31" s="119" t="str">
        <f>IF((SUM(V23:V30)+SUM(V18:V19))=0,"-",(SUM(V23:V30)+SUM(V18:V19))/Summary!$G$10)</f>
        <v>-</v>
      </c>
      <c r="W31" s="119" t="str">
        <f>IF((SUM(W23:W30)+SUM(W18:W19))=0,"-",(SUM(W23:W30)+SUM(W18:W19))/Summary!$G$10)</f>
        <v>-</v>
      </c>
      <c r="X31" s="119" t="str">
        <f>IF((SUM(X23:X30)+SUM(X18:X19))=0,"-",(SUM(X23:X30)+SUM(X18:X19))/Summary!$G$10)</f>
        <v>-</v>
      </c>
      <c r="Y31" s="119" t="str">
        <f>IF((SUM(Y23:Y30)+SUM(Y18:Y19))=0,"-",(SUM(Y23:Y30)+SUM(Y18:Y19))/Summary!$G$10)</f>
        <v>-</v>
      </c>
      <c r="Z31" s="119" t="str">
        <f>IF((SUM(Z23:Z30)+SUM(Z18:Z19))=0,"-",(SUM(Z23:Z30)+SUM(Z18:Z19))/Summary!$G$10)</f>
        <v>-</v>
      </c>
      <c r="AA31" s="119" t="str">
        <f>IF((SUM(AA23:AA30)+SUM(AA18:AA19))=0,"-",(SUM(AA23:AA30)+SUM(AA18:AA19))/Summary!$G$10)</f>
        <v>-</v>
      </c>
      <c r="AB31" s="119" t="str">
        <f>IF((SUM(AB23:AB30)+SUM(AB18:AB19))=0,"-",(SUM(AB23:AB30)+SUM(AB18:AB19))/Summary!$G$10)</f>
        <v>-</v>
      </c>
    </row>
    <row r="32" spans="1:28" ht="24" x14ac:dyDescent="0.2">
      <c r="A32" s="122" t="s">
        <v>78</v>
      </c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 spans="1:29" ht="15" hidden="1" customHeight="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 spans="1:29" hidden="1" x14ac:dyDescent="0.2">
      <c r="A34" s="116" t="s">
        <v>220</v>
      </c>
      <c r="B34" s="117" t="s">
        <v>228</v>
      </c>
      <c r="C34" s="114" t="s">
        <v>1</v>
      </c>
      <c r="D34" s="113" t="str">
        <f t="shared" ref="D34:AB34" si="2">D1</f>
        <v>Entry</v>
      </c>
      <c r="E34" s="113" t="str">
        <f t="shared" si="2"/>
        <v>Family</v>
      </c>
      <c r="F34" s="113" t="str">
        <f t="shared" si="2"/>
        <v>PS WIC</v>
      </c>
      <c r="G34" s="113" t="str">
        <f t="shared" si="2"/>
        <v>PS Bath</v>
      </c>
      <c r="H34" s="113" t="str">
        <f t="shared" si="2"/>
        <v>PS Bed</v>
      </c>
      <c r="I34" s="113" t="str">
        <f t="shared" si="2"/>
        <v>Breakfast / Kitchen</v>
      </c>
      <c r="J34" s="113" t="str">
        <f t="shared" si="2"/>
        <v>Powder</v>
      </c>
      <c r="K34" s="113" t="str">
        <f t="shared" si="2"/>
        <v>Stairs</v>
      </c>
      <c r="L34" s="113" t="str">
        <f t="shared" si="2"/>
        <v>Loft</v>
      </c>
      <c r="M34" s="113" t="str">
        <f t="shared" si="2"/>
        <v>Master Bed</v>
      </c>
      <c r="N34" s="113" t="str">
        <f t="shared" si="2"/>
        <v>Master Bath</v>
      </c>
      <c r="O34" s="113" t="str">
        <f t="shared" si="2"/>
        <v>Master WIC</v>
      </c>
      <c r="P34" s="113" t="str">
        <f t="shared" si="2"/>
        <v>Bed 3 WIC</v>
      </c>
      <c r="Q34" s="113" t="str">
        <f t="shared" si="2"/>
        <v>Bed 3</v>
      </c>
      <c r="R34" s="113" t="str">
        <f t="shared" si="2"/>
        <v>Bath2</v>
      </c>
      <c r="S34" s="113" t="str">
        <f t="shared" si="2"/>
        <v>Bed 4</v>
      </c>
      <c r="T34" s="113" t="str">
        <f t="shared" si="2"/>
        <v>Hallway</v>
      </c>
      <c r="U34" s="113" t="str">
        <f t="shared" si="2"/>
        <v>Laundry</v>
      </c>
      <c r="V34" s="113">
        <f t="shared" si="2"/>
        <v>0</v>
      </c>
      <c r="W34" s="113">
        <f t="shared" si="2"/>
        <v>0</v>
      </c>
      <c r="X34" s="113">
        <f t="shared" si="2"/>
        <v>0</v>
      </c>
      <c r="Y34" s="113">
        <f t="shared" si="2"/>
        <v>0</v>
      </c>
      <c r="Z34" s="113">
        <f t="shared" si="2"/>
        <v>0</v>
      </c>
      <c r="AA34" s="113">
        <f t="shared" si="2"/>
        <v>0</v>
      </c>
      <c r="AB34" s="113">
        <f t="shared" si="2"/>
        <v>0</v>
      </c>
    </row>
    <row r="35" spans="1:29" x14ac:dyDescent="0.2">
      <c r="A35" s="112" t="str">
        <f>IF(A42="North","Northeast",IF(A42="NorthEast","East",IF(A42="East","SouthEast",IF(A42="SouthEast","South",IF(A42="South","SouthWest",IF(A42="SouthWest","West",IF(A42="West","NorthWest","North")))))))</f>
        <v>NorthWest</v>
      </c>
      <c r="B35" s="112" t="s">
        <v>8</v>
      </c>
      <c r="C35" s="112" t="s">
        <v>38</v>
      </c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</row>
    <row r="36" spans="1:29" x14ac:dyDescent="0.2">
      <c r="A36" s="112" t="str">
        <f>IF(A35="North","Northeast",IF(A35="NorthEast","East",IF(A35="East","SouthEast",IF(A35="SouthEast","South",IF(A35="South","SouthWest",IF(A35="SouthWest","West",IF(A35="West","NorthWest","North")))))))</f>
        <v>North</v>
      </c>
      <c r="B36" s="112"/>
      <c r="C36" s="112" t="s">
        <v>38</v>
      </c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</row>
    <row r="37" spans="1:29" x14ac:dyDescent="0.2">
      <c r="A37" s="121" t="str">
        <f>$B$2</f>
        <v>NorthEast</v>
      </c>
      <c r="B37" s="112" t="s">
        <v>17</v>
      </c>
      <c r="C37" s="112" t="s">
        <v>38</v>
      </c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</row>
    <row r="38" spans="1:29" x14ac:dyDescent="0.2">
      <c r="A38" s="112" t="str">
        <f>IF(A37="North","Northeast",IF(A37="NorthEast","East",IF(A37="East","SouthEast",IF(A37="SouthEast","South",IF(A37="South","SouthWest",IF(A37="SouthWest","West",IF(A37="West","NorthWest","North")))))))</f>
        <v>East</v>
      </c>
      <c r="B38" s="112"/>
      <c r="C38" s="112" t="s">
        <v>38</v>
      </c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</row>
    <row r="39" spans="1:29" x14ac:dyDescent="0.2">
      <c r="A39" s="112" t="str">
        <f>IF(A38="North","Northeast",IF(A38="NorthEast","East",IF(A38="East","SouthEast",IF(A38="SouthEast","South",IF(A38="South","SouthWest",IF(A38="SouthWest","West",IF(A38="West","NorthWest","North")))))))</f>
        <v>SouthEast</v>
      </c>
      <c r="B39" s="112" t="s">
        <v>219</v>
      </c>
      <c r="C39" s="112" t="s">
        <v>38</v>
      </c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</row>
    <row r="40" spans="1:29" x14ac:dyDescent="0.2">
      <c r="A40" s="112" t="str">
        <f>IF(A39="North","Northeast",IF(A39="NorthEast","East",IF(A39="East","SouthEast",IF(A39="SouthEast","South",IF(A39="South","SouthWest",IF(A39="SouthWest","West",IF(A39="West","NorthWest","North")))))))</f>
        <v>South</v>
      </c>
      <c r="B40" s="112"/>
      <c r="C40" s="112" t="s">
        <v>38</v>
      </c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</row>
    <row r="41" spans="1:29" x14ac:dyDescent="0.2">
      <c r="A41" s="112" t="str">
        <f>IF(A40="North","Northeast",IF(A40="NorthEast","East",IF(A40="East","SouthEast",IF(A40="SouthEast","South",IF(A40="South","SouthWest",IF(A40="SouthWest","West",IF(A40="West","NorthWest","North")))))))</f>
        <v>SouthWest</v>
      </c>
      <c r="B41" s="112" t="s">
        <v>19</v>
      </c>
      <c r="C41" s="112" t="s">
        <v>38</v>
      </c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</row>
    <row r="42" spans="1:29" x14ac:dyDescent="0.2">
      <c r="A42" s="112" t="str">
        <f>IF(A41="North","Northeast",IF(A41="NorthEast","East",IF(A41="East","SouthEast",IF(A41="SouthEast","South",IF(A41="South","SouthWest",IF(A41="SouthWest","West",IF(A41="West","NorthWest","North")))))))</f>
        <v>West</v>
      </c>
      <c r="B42" s="112"/>
      <c r="C42" s="112" t="s">
        <v>38</v>
      </c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</row>
    <row r="43" spans="1:29" x14ac:dyDescent="0.2">
      <c r="A43" s="194" t="s">
        <v>231</v>
      </c>
      <c r="B43" s="195"/>
      <c r="C43" s="196"/>
      <c r="D43" s="119">
        <f>IF((SUM(D35:D42)+SUM(D18:D19))=0,"-",(SUM(D35:D42)+SUM(D18:D19))/Summary!$G$10)</f>
        <v>4.0588235294117645</v>
      </c>
      <c r="E43" s="119" t="str">
        <f>IF((SUM(E35:E42)+SUM(E18:E19))=0,"-",(SUM(E35:E42)+SUM(E18:E19))/Summary!$G$10)</f>
        <v>-</v>
      </c>
      <c r="F43" s="119" t="str">
        <f>IF((SUM(F35:F42)+SUM(F18:F19))=0,"-",(SUM(F35:F42)+SUM(F18:F19))/Summary!$G$10)</f>
        <v>-</v>
      </c>
      <c r="G43" s="119" t="str">
        <f>IF((SUM(G35:G42)+SUM(G18:G19))=0,"-",(SUM(G35:G42)+SUM(G18:G19))/Summary!$G$10)</f>
        <v>-</v>
      </c>
      <c r="H43" s="119" t="str">
        <f>IF((SUM(H35:H42)+SUM(H18:H19))=0,"-",(SUM(H35:H42)+SUM(H18:H19))/Summary!$G$10)</f>
        <v>-</v>
      </c>
      <c r="I43" s="119">
        <f>IF((SUM(I35:I42)+SUM(I18:I19))=0,"-",(SUM(I35:I42)+SUM(I18:I19))/Summary!$G$10)</f>
        <v>0.94117647058823528</v>
      </c>
      <c r="J43" s="119" t="str">
        <f>IF((SUM(J35:J42)+SUM(J18:J19))=0,"-",(SUM(J35:J42)+SUM(J18:J19))/Summary!$G$10)</f>
        <v>-</v>
      </c>
      <c r="K43" s="119" t="str">
        <f>IF((SUM(K35:K42)+SUM(K18:K19))=0,"-",(SUM(K35:K42)+SUM(K18:K19))/Summary!$G$10)</f>
        <v>-</v>
      </c>
      <c r="L43" s="119" t="str">
        <f>IF((SUM(L35:L42)+SUM(L18:L19))=0,"-",(SUM(L35:L42)+SUM(L18:L19))/Summary!$G$10)</f>
        <v>-</v>
      </c>
      <c r="M43" s="119" t="str">
        <f>IF((SUM(M35:M42)+SUM(M18:M19))=0,"-",(SUM(M35:M42)+SUM(M18:M19))/Summary!$G$10)</f>
        <v>-</v>
      </c>
      <c r="N43" s="119" t="str">
        <f>IF((SUM(N35:N42)+SUM(N18:N19))=0,"-",(SUM(N35:N42)+SUM(N18:N19))/Summary!$G$10)</f>
        <v>-</v>
      </c>
      <c r="O43" s="119" t="str">
        <f>IF((SUM(O35:O42)+SUM(O18:O19))=0,"-",(SUM(O35:O42)+SUM(O18:O19))/Summary!$G$10)</f>
        <v>-</v>
      </c>
      <c r="P43" s="119" t="str">
        <f>IF((SUM(P35:P42)+SUM(P18:P19))=0,"-",(SUM(P35:P42)+SUM(P18:P19))/Summary!$G$10)</f>
        <v>-</v>
      </c>
      <c r="Q43" s="119" t="str">
        <f>IF((SUM(Q35:Q42)+SUM(Q18:Q19))=0,"-",(SUM(Q35:Q42)+SUM(Q18:Q19))/Summary!$G$10)</f>
        <v>-</v>
      </c>
      <c r="R43" s="119" t="str">
        <f>IF((SUM(R35:R42)+SUM(R18:R19))=0,"-",(SUM(R35:R42)+SUM(R18:R19))/Summary!$G$10)</f>
        <v>-</v>
      </c>
      <c r="S43" s="119" t="str">
        <f>IF((SUM(S35:S42)+SUM(S18:S19))=0,"-",(SUM(S35:S42)+SUM(S18:S19))/Summary!$G$10)</f>
        <v>-</v>
      </c>
      <c r="T43" s="119" t="str">
        <f>IF((SUM(T35:T42)+SUM(T18:T19))=0,"-",(SUM(T35:T42)+SUM(T18:T19))/Summary!$G$10)</f>
        <v>-</v>
      </c>
      <c r="U43" s="119" t="str">
        <f>IF((SUM(U35:U42)+SUM(U18:U19))=0,"-",(SUM(U35:U42)+SUM(U18:U19))/Summary!$G$10)</f>
        <v>-</v>
      </c>
      <c r="V43" s="119" t="str">
        <f>IF((SUM(V35:V42)+SUM(V18:V19))=0,"-",(SUM(V35:V42)+SUM(V18:V19))/Summary!$G$10)</f>
        <v>-</v>
      </c>
      <c r="W43" s="119" t="str">
        <f>IF((SUM(W35:W42)+SUM(W18:W19))=0,"-",(SUM(W35:W42)+SUM(W18:W19))/Summary!$G$10)</f>
        <v>-</v>
      </c>
      <c r="X43" s="119" t="str">
        <f>IF((SUM(X35:X42)+SUM(X18:X19))=0,"-",(SUM(X35:X42)+SUM(X18:X19))/Summary!$G$10)</f>
        <v>-</v>
      </c>
      <c r="Y43" s="119" t="str">
        <f>IF((SUM(Y35:Y42)+SUM(Y18:Y19))=0,"-",(SUM(Y35:Y42)+SUM(Y18:Y19))/Summary!$G$10)</f>
        <v>-</v>
      </c>
      <c r="Z43" s="119" t="str">
        <f>IF((SUM(Z35:Z42)+SUM(Z18:Z19))=0,"-",(SUM(Z35:Z42)+SUM(Z18:Z19))/Summary!$G$10)</f>
        <v>-</v>
      </c>
      <c r="AA43" s="119" t="str">
        <f>IF((SUM(AA35:AA42)+SUM(AA18:AA19))=0,"-",(SUM(AA35:AA42)+SUM(AA18:AA19))/Summary!$G$10)</f>
        <v>-</v>
      </c>
      <c r="AB43" s="119" t="str">
        <f>IF((SUM(AB35:AB42)+SUM(AB18:AB19))=0,"-",(SUM(AB35:AB42)+SUM(AB18:AB19))/Summary!$G$10)</f>
        <v>-</v>
      </c>
    </row>
    <row r="44" spans="1:29" ht="15" customHeight="1" x14ac:dyDescent="0.2">
      <c r="A44" s="122" t="s">
        <v>232</v>
      </c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t="s">
        <v>233</v>
      </c>
    </row>
    <row r="45" spans="1:29" ht="15" hidden="1" customHeight="1" x14ac:dyDescent="0.2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 spans="1:29" x14ac:dyDescent="0.2">
      <c r="A46" s="189" t="s">
        <v>45</v>
      </c>
      <c r="B46" s="189"/>
      <c r="C46" s="112" t="s">
        <v>39</v>
      </c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</row>
    <row r="47" spans="1:29" x14ac:dyDescent="0.2">
      <c r="A47" s="189" t="s">
        <v>46</v>
      </c>
      <c r="B47" s="189"/>
      <c r="C47" s="112" t="s">
        <v>38</v>
      </c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</row>
    <row r="48" spans="1:29" x14ac:dyDescent="0.2">
      <c r="A48" s="189" t="s">
        <v>36</v>
      </c>
      <c r="B48" s="189"/>
      <c r="C48" s="112" t="s">
        <v>38</v>
      </c>
      <c r="D48" s="113">
        <v>130</v>
      </c>
      <c r="E48" s="113">
        <v>81</v>
      </c>
      <c r="F48" s="113">
        <v>95</v>
      </c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</row>
    <row r="49" spans="1:59" x14ac:dyDescent="0.2">
      <c r="A49" s="189" t="s">
        <v>47</v>
      </c>
      <c r="B49" s="189"/>
      <c r="C49" s="112" t="s">
        <v>40</v>
      </c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</row>
    <row r="50" spans="1:59" x14ac:dyDescent="0.2">
      <c r="A50" s="189" t="s">
        <v>48</v>
      </c>
      <c r="B50" s="189"/>
      <c r="C50" s="112" t="s">
        <v>40</v>
      </c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</row>
    <row r="51" spans="1:59" ht="15" customHeight="1" x14ac:dyDescent="0.2">
      <c r="A51" s="122" t="s">
        <v>234</v>
      </c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t="s">
        <v>233</v>
      </c>
    </row>
    <row r="52" spans="1:59" ht="15" hidden="1" customHeight="1" x14ac:dyDescent="0.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 spans="1:59" x14ac:dyDescent="0.2">
      <c r="A53" s="189" t="s">
        <v>49</v>
      </c>
      <c r="B53" s="189"/>
      <c r="C53" s="112" t="s">
        <v>41</v>
      </c>
      <c r="D53" s="113"/>
      <c r="E53" s="113"/>
      <c r="F53" s="113"/>
      <c r="G53" s="113"/>
      <c r="H53" s="113"/>
      <c r="I53" s="113"/>
      <c r="J53" s="113"/>
      <c r="K53" s="113">
        <v>163</v>
      </c>
      <c r="L53" s="113">
        <v>236</v>
      </c>
      <c r="M53" s="113">
        <v>371</v>
      </c>
      <c r="N53" s="113">
        <v>120</v>
      </c>
      <c r="O53" s="113">
        <v>89</v>
      </c>
      <c r="P53" s="113">
        <v>34</v>
      </c>
      <c r="Q53" s="113">
        <v>160</v>
      </c>
      <c r="R53" s="113">
        <v>62</v>
      </c>
      <c r="S53" s="113">
        <v>158</v>
      </c>
      <c r="T53" s="113">
        <v>49</v>
      </c>
      <c r="U53" s="113">
        <v>32</v>
      </c>
      <c r="V53" s="113"/>
      <c r="W53" s="113"/>
      <c r="X53" s="113"/>
      <c r="Y53" s="113"/>
      <c r="Z53" s="113"/>
      <c r="AA53" s="113"/>
      <c r="AB53" s="113"/>
      <c r="BG53" t="s">
        <v>269</v>
      </c>
    </row>
    <row r="54" spans="1:59" x14ac:dyDescent="0.2">
      <c r="A54" s="189" t="s">
        <v>50</v>
      </c>
      <c r="B54" s="189"/>
      <c r="C54" s="112" t="s">
        <v>42</v>
      </c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</row>
    <row r="55" spans="1:59" x14ac:dyDescent="0.2">
      <c r="A55" s="189" t="s">
        <v>51</v>
      </c>
      <c r="B55" s="189"/>
      <c r="C55" s="112" t="s">
        <v>43</v>
      </c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</row>
    <row r="56" spans="1:59" x14ac:dyDescent="0.2">
      <c r="A56" s="189" t="s">
        <v>36</v>
      </c>
      <c r="B56" s="189"/>
      <c r="C56" s="112" t="s">
        <v>43</v>
      </c>
      <c r="D56" s="113"/>
      <c r="E56" s="113"/>
      <c r="F56" s="113"/>
      <c r="G56" s="113"/>
      <c r="H56" s="113"/>
      <c r="I56" s="113"/>
      <c r="J56" s="113"/>
      <c r="K56" s="113"/>
      <c r="L56" s="113"/>
      <c r="M56" s="113">
        <v>371</v>
      </c>
      <c r="N56" s="113">
        <v>28</v>
      </c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</row>
    <row r="57" spans="1:59" x14ac:dyDescent="0.2">
      <c r="A57" s="189" t="s">
        <v>52</v>
      </c>
      <c r="B57" s="189"/>
      <c r="C57" s="112" t="s">
        <v>44</v>
      </c>
      <c r="D57" s="113">
        <v>115</v>
      </c>
      <c r="E57" s="113">
        <v>276</v>
      </c>
      <c r="F57" s="113">
        <v>59</v>
      </c>
      <c r="G57" s="113">
        <v>97</v>
      </c>
      <c r="H57" s="113">
        <v>230</v>
      </c>
      <c r="I57" s="113">
        <v>230</v>
      </c>
      <c r="J57" s="113">
        <v>31</v>
      </c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</row>
  </sheetData>
  <mergeCells count="20">
    <mergeCell ref="A1:C1"/>
    <mergeCell ref="A3:C3"/>
    <mergeCell ref="A4:C4"/>
    <mergeCell ref="B2:C2"/>
    <mergeCell ref="A31:C31"/>
    <mergeCell ref="A54:B54"/>
    <mergeCell ref="A55:B55"/>
    <mergeCell ref="D20:AB20"/>
    <mergeCell ref="D5:AB5"/>
    <mergeCell ref="A57:B57"/>
    <mergeCell ref="A56:B56"/>
    <mergeCell ref="A18:B18"/>
    <mergeCell ref="A19:B19"/>
    <mergeCell ref="A47:B47"/>
    <mergeCell ref="A48:B48"/>
    <mergeCell ref="A49:B49"/>
    <mergeCell ref="A50:B50"/>
    <mergeCell ref="A53:B53"/>
    <mergeCell ref="A43:C43"/>
    <mergeCell ref="A46:B46"/>
  </mergeCells>
  <phoneticPr fontId="2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C2180E2-BB27-4211-A962-31366B08045F}">
          <x14:formula1>
            <xm:f>'Glass CLF Calculation'!$A$4:$A$11</xm:f>
          </x14:formula1>
          <xm:sqref>B2</xm:sqref>
        </x14:dataValidation>
        <x14:dataValidation type="list" allowBlank="1" showInputMessage="1" showErrorMessage="1" xr:uid="{1D8253DB-857D-4C99-B7C1-E5D17BA8FEAC}">
          <x14:formula1>
            <xm:f>Summary!$D$32:$D$34</xm:f>
          </x14:formula1>
          <xm:sqref>C8:C17</xm:sqref>
        </x14:dataValidation>
        <x14:dataValidation type="list" allowBlank="1" showInputMessage="1" showErrorMessage="1" xr:uid="{29CA19A2-6EC9-4B74-A6E8-2D4637065583}">
          <x14:formula1>
            <xm:f>Summary!$D$19:$D$21</xm:f>
          </x14:formula1>
          <xm:sqref>C23:C30 C35:C42 C46:C50</xm:sqref>
        </x14:dataValidation>
        <x14:dataValidation type="list" allowBlank="1" showInputMessage="1" showErrorMessage="1" xr:uid="{1EC02BED-0FCE-4A7F-BD8E-EA6D6942E93E}">
          <x14:formula1>
            <xm:f>'Glass CLF Calculation'!$A$41:$A$48</xm:f>
          </x14:formula1>
          <xm:sqref>D2:AB2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F545-2D63-44C0-9024-990CE8BFCC38}">
  <sheetPr codeName="Sheet1">
    <pageSetUpPr fitToPage="1"/>
  </sheetPr>
  <dimension ref="B1:AP86"/>
  <sheetViews>
    <sheetView zoomScale="160" zoomScaleNormal="160" workbookViewId="0">
      <pane ySplit="7" topLeftCell="A35" activePane="bottomLeft" state="frozen"/>
      <selection activeCell="J9" sqref="J9:P9"/>
      <selection pane="bottomLeft" activeCell="E57" sqref="E57"/>
    </sheetView>
  </sheetViews>
  <sheetFormatPr baseColWidth="10" defaultColWidth="9.1640625" defaultRowHeight="11" x14ac:dyDescent="0.15"/>
  <cols>
    <col min="1" max="1" width="2" style="1" customWidth="1"/>
    <col min="2" max="2" width="2.5" style="1" customWidth="1"/>
    <col min="3" max="3" width="4.5" style="1" bestFit="1" customWidth="1"/>
    <col min="4" max="4" width="7.83203125" style="1" customWidth="1"/>
    <col min="5" max="5" width="4.6640625" style="1" customWidth="1"/>
    <col min="6" max="6" width="5.33203125" style="1" customWidth="1"/>
    <col min="7" max="7" width="6.5" style="1" customWidth="1"/>
    <col min="8" max="8" width="9.1640625" style="1" customWidth="1"/>
    <col min="9" max="9" width="5.5" style="1" customWidth="1"/>
    <col min="10" max="10" width="5.83203125" style="1" customWidth="1"/>
    <col min="11" max="42" width="5.1640625" style="1" customWidth="1"/>
    <col min="43" max="16384" width="9.1640625" style="1"/>
  </cols>
  <sheetData>
    <row r="1" spans="2:42" x14ac:dyDescent="0.15">
      <c r="B1" s="1" t="s">
        <v>85</v>
      </c>
      <c r="E1" s="1" t="str">
        <f>Summary!F3</f>
        <v>Carillon</v>
      </c>
      <c r="M1" s="2" t="s">
        <v>87</v>
      </c>
      <c r="N1" s="235">
        <v>42998</v>
      </c>
      <c r="O1" s="235"/>
      <c r="P1" s="235"/>
      <c r="Q1" s="235"/>
      <c r="R1" s="235"/>
      <c r="T1" s="211" t="s">
        <v>93</v>
      </c>
      <c r="U1" s="211"/>
      <c r="V1" s="211"/>
      <c r="W1" s="5">
        <f>Summary!G10</f>
        <v>8.5</v>
      </c>
    </row>
    <row r="2" spans="2:42" x14ac:dyDescent="0.15">
      <c r="B2" s="1" t="s">
        <v>84</v>
      </c>
      <c r="E2" s="1" t="str">
        <f>Summary!F4</f>
        <v>Lawrenceville, GA</v>
      </c>
      <c r="M2" s="2" t="s">
        <v>88</v>
      </c>
      <c r="N2" s="228"/>
      <c r="O2" s="228"/>
      <c r="P2" s="228"/>
      <c r="Q2" s="228"/>
      <c r="R2" s="228"/>
    </row>
    <row r="3" spans="2:42" x14ac:dyDescent="0.15">
      <c r="B3" s="1" t="s">
        <v>2</v>
      </c>
      <c r="E3" s="1" t="str">
        <f>Summary!F5</f>
        <v>Millhaven GL</v>
      </c>
      <c r="M3" s="2" t="s">
        <v>89</v>
      </c>
      <c r="N3" s="4" t="s">
        <v>91</v>
      </c>
      <c r="O3" s="4"/>
      <c r="P3" s="4"/>
      <c r="Q3" s="230" t="s">
        <v>240</v>
      </c>
      <c r="R3" s="230"/>
      <c r="T3" s="211" t="s">
        <v>94</v>
      </c>
      <c r="U3" s="211"/>
      <c r="V3" s="211"/>
      <c r="W3" s="5">
        <v>1</v>
      </c>
    </row>
    <row r="4" spans="2:42" ht="12" customHeight="1" x14ac:dyDescent="0.15">
      <c r="E4" s="1" t="s">
        <v>86</v>
      </c>
      <c r="F4" s="2"/>
      <c r="G4" s="106">
        <f>SUM(I42:I43)</f>
        <v>1474</v>
      </c>
      <c r="H4" s="2" t="s">
        <v>54</v>
      </c>
      <c r="I4" s="3">
        <f>I50</f>
        <v>13105</v>
      </c>
      <c r="J4" s="2" t="s">
        <v>92</v>
      </c>
      <c r="K4" s="106">
        <f>G4/E56</f>
        <v>842.28571428571433</v>
      </c>
      <c r="M4" s="2" t="s">
        <v>90</v>
      </c>
      <c r="N4" s="4">
        <v>14</v>
      </c>
    </row>
    <row r="5" spans="2:42" ht="5.25" customHeight="1" thickBot="1" x14ac:dyDescent="0.2"/>
    <row r="6" spans="2:42" ht="13.5" customHeight="1" x14ac:dyDescent="0.15">
      <c r="B6" s="6"/>
      <c r="C6" s="7"/>
      <c r="D6" s="7"/>
      <c r="E6" s="7"/>
      <c r="F6" s="7"/>
      <c r="G6" s="7"/>
      <c r="H6" s="7"/>
      <c r="I6" s="259" t="s">
        <v>32</v>
      </c>
      <c r="J6" s="259"/>
      <c r="K6" s="205">
        <f>$W$1</f>
        <v>8.5</v>
      </c>
      <c r="L6" s="205"/>
      <c r="M6" s="205">
        <f t="shared" ref="M6" si="0">$W$1</f>
        <v>8.5</v>
      </c>
      <c r="N6" s="205"/>
      <c r="O6" s="205">
        <f t="shared" ref="O6" si="1">$W$1</f>
        <v>8.5</v>
      </c>
      <c r="P6" s="205"/>
      <c r="Q6" s="205">
        <f t="shared" ref="Q6" si="2">$W$1</f>
        <v>8.5</v>
      </c>
      <c r="R6" s="205"/>
      <c r="S6" s="205">
        <f t="shared" ref="S6" si="3">$W$1</f>
        <v>8.5</v>
      </c>
      <c r="T6" s="205"/>
      <c r="U6" s="205">
        <f t="shared" ref="U6" si="4">$W$1</f>
        <v>8.5</v>
      </c>
      <c r="V6" s="205"/>
      <c r="W6" s="205">
        <v>12</v>
      </c>
      <c r="X6" s="205"/>
      <c r="Y6" s="205">
        <f t="shared" ref="Y6" si="5">$W$1</f>
        <v>8.5</v>
      </c>
      <c r="Z6" s="205"/>
      <c r="AA6" s="205">
        <f t="shared" ref="AA6" si="6">$W$1</f>
        <v>8.5</v>
      </c>
      <c r="AB6" s="205"/>
      <c r="AC6" s="205">
        <f t="shared" ref="AC6" si="7">$W$1</f>
        <v>8.5</v>
      </c>
      <c r="AD6" s="205"/>
      <c r="AE6" s="205">
        <v>9</v>
      </c>
      <c r="AF6" s="205"/>
      <c r="AG6" s="205">
        <f t="shared" ref="AG6" si="8">$W$1</f>
        <v>8.5</v>
      </c>
      <c r="AH6" s="205"/>
      <c r="AI6" s="205">
        <f t="shared" ref="AI6" si="9">$W$1</f>
        <v>8.5</v>
      </c>
      <c r="AJ6" s="205"/>
      <c r="AK6" s="205">
        <v>8</v>
      </c>
      <c r="AL6" s="205"/>
      <c r="AM6" s="205">
        <v>8</v>
      </c>
      <c r="AN6" s="205"/>
      <c r="AO6" s="205">
        <v>8</v>
      </c>
      <c r="AP6" s="205"/>
    </row>
    <row r="7" spans="2:42" s="9" customFormat="1" ht="45.75" customHeight="1" x14ac:dyDescent="0.2">
      <c r="B7" s="254" t="s">
        <v>0</v>
      </c>
      <c r="C7" s="255"/>
      <c r="D7" s="255"/>
      <c r="E7" s="256" t="s">
        <v>3</v>
      </c>
      <c r="F7" s="256" t="s">
        <v>4</v>
      </c>
      <c r="G7" s="255" t="s">
        <v>5</v>
      </c>
      <c r="H7" s="206"/>
      <c r="I7" s="255" t="s">
        <v>29</v>
      </c>
      <c r="J7" s="255"/>
      <c r="K7" s="255" t="str" cm="1">
        <f t="array" ref="K7">IFERROR(INDEX('Rooms Walls and Glass'!$D$7:$AB$7,MATCH(0,IF('Unit 1 a'!$Q$3='Rooms Walls and Glass'!$D$2:$AB$2,COUNTIF($E$1:$E1,'Rooms Walls and Glass'!E7:AB$7),""),0)),"")</f>
        <v>Stairs</v>
      </c>
      <c r="L7" s="255"/>
      <c r="M7" s="255" t="str" cm="1">
        <f t="array" ref="M7">IFERROR(INDEX('Rooms Walls and Glass'!$D$7:$AB$7,MATCH(0,IF('Unit 1 a'!$Q$3='Rooms Walls and Glass'!$D$2:$AB$2,COUNTIF(K7,'Rooms Walls and Glass'!D$7:$AB$7),""),0)),"")</f>
        <v>Loft</v>
      </c>
      <c r="N7" s="255"/>
      <c r="O7" s="206" t="str" cm="1">
        <f t="array" ref="O7">IFERROR(INDEX('Rooms Walls and Glass'!$D$7:$AB$7,MATCH(0,IF('Unit 1 a'!$Q$3='Rooms Walls and Glass'!$D$2:$AB$2,COUNTIF(K7:M7,'Rooms Walls and Glass'!D$7:$AB$7),""),0)),"")</f>
        <v>Master Bed</v>
      </c>
      <c r="P7" s="207"/>
      <c r="Q7" s="206" t="str" cm="1">
        <f t="array" ref="Q7">IFERROR(INDEX('Rooms Walls and Glass'!$D$7:$AB$7,MATCH(0,IF('Unit 1 a'!$Q$3='Rooms Walls and Glass'!$D$2:$AB$2,COUNTIF($K$7:O$7,'Rooms Walls and Glass'!D$7:$AB$7),""),0)),"")</f>
        <v>Master Bath</v>
      </c>
      <c r="R7" s="207"/>
      <c r="S7" s="206" t="str" cm="1">
        <f t="array" ref="S7">IFERROR(INDEX('Rooms Walls and Glass'!$D$7:$AB$7,MATCH(0,IF('Unit 1 a'!$Q$3='Rooms Walls and Glass'!$D$2:$AB$2,COUNTIF($K$7:R$7,'Rooms Walls and Glass'!$D$7:$AB$7),""),0)),"")</f>
        <v>Master WIC</v>
      </c>
      <c r="T7" s="207"/>
      <c r="U7" s="206" t="str" cm="1">
        <f t="array" ref="U7">IFERROR(INDEX('Rooms Walls and Glass'!$D$7:$AB$7,MATCH(0,IF('Unit 1 a'!$Q$3='Rooms Walls and Glass'!$D$2:$AB$2,COUNTIF($K$7:T$7,'Rooms Walls and Glass'!$D$7:$AB$7),""),0)),"")</f>
        <v>Bed 3 WIC</v>
      </c>
      <c r="V7" s="207"/>
      <c r="W7" s="206" t="str" cm="1">
        <f t="array" ref="W7">IFERROR(INDEX('Rooms Walls and Glass'!$D$7:$AB$7,MATCH(0,IF('Unit 1 a'!$Q$3='Rooms Walls and Glass'!$D$2:$AB$2,COUNTIF($K$7:V$7,'Rooms Walls and Glass'!$D$7:$AB$7),""),0)),"")</f>
        <v>Bed 3</v>
      </c>
      <c r="X7" s="207"/>
      <c r="Y7" s="206" t="str" cm="1">
        <f t="array" ref="Y7">IFERROR(INDEX('Rooms Walls and Glass'!$D$7:$AB$7,MATCH(0,IF('Unit 1 a'!$Q$3='Rooms Walls and Glass'!$D$2:$AB$2,COUNTIF($K$7:X$7,'Rooms Walls and Glass'!$D$7:$AB$7),""),0)),"")</f>
        <v>Bath2</v>
      </c>
      <c r="Z7" s="207"/>
      <c r="AA7" s="206" t="str" cm="1">
        <f t="array" ref="AA7">IFERROR(INDEX('Rooms Walls and Glass'!$D$7:$AB$7,MATCH(0,IF('Unit 1 a'!$Q$3='Rooms Walls and Glass'!$D$2:$AB$2,COUNTIF($K$7:Z$7,'Rooms Walls and Glass'!$D$7:$AB$7),""),0)),"")</f>
        <v>Bed 4</v>
      </c>
      <c r="AB7" s="207"/>
      <c r="AC7" s="206" t="str" cm="1">
        <f t="array" ref="AC7">IFERROR(INDEX('Rooms Walls and Glass'!$D$7:$AB$7,MATCH(0,IF('Unit 1 a'!$Q$3='Rooms Walls and Glass'!$D$2:$AB$2,COUNTIF($K$7:AB$7,'Rooms Walls and Glass'!$D$7:$AB$7),""),0)),"")</f>
        <v>Hallway</v>
      </c>
      <c r="AD7" s="207"/>
      <c r="AE7" s="206" t="str" cm="1">
        <f t="array" ref="AE7">IFERROR(INDEX('Rooms Walls and Glass'!$D$7:$AB$7,MATCH(0,IF('Unit 1 a'!$Q$3='Rooms Walls and Glass'!$D$2:$AB$2,COUNTIF($K$7:AD$7,'Rooms Walls and Glass'!$D$7:$AB$7),""),0)),"")</f>
        <v>Laundry</v>
      </c>
      <c r="AF7" s="207"/>
      <c r="AG7" s="206" t="str" cm="1">
        <f t="array" ref="AG7">IFERROR(INDEX('Rooms Walls and Glass'!$D$7:$AB$7,MATCH(0,IF('Unit 1 a'!$Q$3='Rooms Walls and Glass'!$D$2:$AB$2,COUNTIF($K$7:AF$7,'Rooms Walls and Glass'!$D$7:$AB$7),""),0)),"")</f>
        <v/>
      </c>
      <c r="AH7" s="207"/>
      <c r="AI7" s="206" t="str" cm="1">
        <f t="array" ref="AI7">IFERROR(INDEX('Rooms Walls and Glass'!$D$7:$AB$7,MATCH(0,IF('Unit 1 a'!$Q$3='Rooms Walls and Glass'!$D$2:$AB$2,COUNTIF($K$7:AH$7,'Rooms Walls and Glass'!$D$7:$AB$7),""),0)),"")</f>
        <v/>
      </c>
      <c r="AJ7" s="207"/>
      <c r="AK7" s="206" t="str" cm="1">
        <f t="array" ref="AK7">IFERROR(INDEX('Rooms Walls and Glass'!$D$7:$AB$7,MATCH(0,IF('Unit 1 a'!$Q$3='Rooms Walls and Glass'!$D$2:$AB$2,COUNTIF($K$7:AJ$7,'Rooms Walls and Glass'!$D$7:$AB$7),""),0)),"")</f>
        <v/>
      </c>
      <c r="AL7" s="207"/>
      <c r="AM7" s="206" t="str" cm="1">
        <f t="array" ref="AM7">IFERROR(INDEX('Rooms Walls and Glass'!$D$7:$AB$7,MATCH(0,IF('Unit 1 a'!$Q$3='Rooms Walls and Glass'!$D$2:$AB$2,COUNTIF($K$7:AK$7,'Rooms Walls and Glass'!$D$7:$AB$7),""),0)),"")</f>
        <v/>
      </c>
      <c r="AN7" s="207"/>
      <c r="AO7" s="206" t="str" cm="1">
        <f t="array" ref="AO7">IFERROR(INDEX('Rooms Walls and Glass'!$D$7:$AB$7,MATCH(0,IF('Unit 1 a'!$Q$3='Rooms Walls and Glass'!$D$2:$AB$2,COUNTIF($K$7:AN$7,'Rooms Walls and Glass'!$D$7:$AB$7),""),0)),"")</f>
        <v/>
      </c>
      <c r="AP7" s="207"/>
    </row>
    <row r="8" spans="2:42" ht="11.25" customHeight="1" thickBot="1" x14ac:dyDescent="0.2">
      <c r="B8" s="40"/>
      <c r="C8" s="18" t="s">
        <v>1</v>
      </c>
      <c r="D8" s="18" t="s">
        <v>2</v>
      </c>
      <c r="E8" s="257"/>
      <c r="F8" s="257"/>
      <c r="G8" s="258"/>
      <c r="H8" s="258"/>
      <c r="I8" s="18" t="s">
        <v>30</v>
      </c>
      <c r="J8" s="18" t="s">
        <v>31</v>
      </c>
      <c r="K8" s="18" t="s">
        <v>30</v>
      </c>
      <c r="L8" s="18" t="s">
        <v>31</v>
      </c>
      <c r="M8" s="18" t="s">
        <v>30</v>
      </c>
      <c r="N8" s="18" t="s">
        <v>31</v>
      </c>
      <c r="O8" s="18" t="s">
        <v>30</v>
      </c>
      <c r="P8" s="18" t="s">
        <v>31</v>
      </c>
      <c r="Q8" s="18" t="s">
        <v>30</v>
      </c>
      <c r="R8" s="18" t="s">
        <v>31</v>
      </c>
      <c r="S8" s="18" t="s">
        <v>30</v>
      </c>
      <c r="T8" s="18" t="s">
        <v>31</v>
      </c>
      <c r="U8" s="18" t="s">
        <v>30</v>
      </c>
      <c r="V8" s="18" t="s">
        <v>31</v>
      </c>
      <c r="W8" s="18" t="s">
        <v>30</v>
      </c>
      <c r="X8" s="18" t="s">
        <v>31</v>
      </c>
      <c r="Y8" s="18" t="s">
        <v>30</v>
      </c>
      <c r="Z8" s="18" t="s">
        <v>31</v>
      </c>
      <c r="AA8" s="18" t="s">
        <v>30</v>
      </c>
      <c r="AB8" s="18" t="s">
        <v>31</v>
      </c>
      <c r="AC8" s="18" t="s">
        <v>30</v>
      </c>
      <c r="AD8" s="18" t="s">
        <v>31</v>
      </c>
      <c r="AE8" s="18" t="s">
        <v>30</v>
      </c>
      <c r="AF8" s="18" t="s">
        <v>31</v>
      </c>
      <c r="AG8" s="18" t="s">
        <v>30</v>
      </c>
      <c r="AH8" s="18" t="s">
        <v>31</v>
      </c>
      <c r="AI8" s="18" t="s">
        <v>30</v>
      </c>
      <c r="AJ8" s="34" t="s">
        <v>31</v>
      </c>
      <c r="AK8" s="18" t="s">
        <v>30</v>
      </c>
      <c r="AL8" s="34" t="s">
        <v>31</v>
      </c>
      <c r="AM8" s="18" t="s">
        <v>30</v>
      </c>
      <c r="AN8" s="18" t="s">
        <v>31</v>
      </c>
      <c r="AO8" s="18" t="s">
        <v>30</v>
      </c>
      <c r="AP8" s="34" t="s">
        <v>31</v>
      </c>
    </row>
    <row r="9" spans="2:42" ht="11.25" customHeight="1" thickBot="1" x14ac:dyDescent="0.2">
      <c r="B9" s="212" t="s">
        <v>77</v>
      </c>
      <c r="C9" s="12" t="s">
        <v>7</v>
      </c>
      <c r="D9" s="13" t="str">
        <f>'Rooms Walls and Glass'!A8</f>
        <v>NorthWest</v>
      </c>
      <c r="E9" s="13" t="s">
        <v>8</v>
      </c>
      <c r="F9" s="13" t="s">
        <v>9</v>
      </c>
      <c r="G9" s="103">
        <f>INDEX('Glass CLF Calculation'!$A$4:$G$11,MATCH('Unit 1 a'!D9,'Glass CLF Calculation'!$A$4:$A$11,0),7)</f>
        <v>18.306648888888887</v>
      </c>
      <c r="H9" s="13" t="s">
        <v>6</v>
      </c>
      <c r="I9" s="65">
        <f>SUM(K9,M9,O9,Q9,U9,W9,Y9,AA9,AC9,AE9,AG9,AI9,S9,AK9,AM9,AO9)</f>
        <v>30</v>
      </c>
      <c r="J9" s="65">
        <f>IF(I9="","-",I9*$G9)</f>
        <v>549.19946666666658</v>
      </c>
      <c r="K9" s="66" t="str">
        <f>IF(K$7="","",IF(INDEX('Rooms Walls and Glass'!$D$3:$AB$17, MATCH($D9,'Rooms Walls and Glass'!$A$3:$A$17,0), MATCH('Unit 1 a'!K$7,'Rooms Walls and Glass'!$D$1:$AB$1,0))=0,"",INDEX('Rooms Walls and Glass'!$D$3:$AB$17, MATCH($D9,'Rooms Walls and Glass'!$A$3:$A$17,0), MATCH('Unit 1 a'!K$7,'Rooms Walls and Glass'!$D$1:$AB$1,0))))</f>
        <v/>
      </c>
      <c r="L9" s="65" t="str">
        <f>IF(K9="","-",K9*$G9)</f>
        <v>-</v>
      </c>
      <c r="M9" s="66">
        <f>IF(M$7="","",IF(INDEX('Rooms Walls and Glass'!$D$3:$AB$17, MATCH($D9,'Rooms Walls and Glass'!$A$3:$A$17,0), MATCH('Unit 1 a'!M$7,'Rooms Walls and Glass'!$D$1:$AB$1,0))=0,"",INDEX('Rooms Walls and Glass'!$D$3:$AB$17, MATCH($D9,'Rooms Walls and Glass'!$A$3:$A$17,0), MATCH('Unit 1 a'!M$7,'Rooms Walls and Glass'!$D$1:$AB$1,0))))</f>
        <v>30</v>
      </c>
      <c r="N9" s="65">
        <f>IF(M9="","-",M9*$G9)</f>
        <v>549.19946666666658</v>
      </c>
      <c r="O9" s="66" t="str">
        <f>IF(O$7="","",IF(INDEX('Rooms Walls and Glass'!$D$3:$AB$17, MATCH($D9,'Rooms Walls and Glass'!$A$3:$A$17,0), MATCH('Unit 1 a'!O$7,'Rooms Walls and Glass'!$D$1:$AB$1,0))=0,"",INDEX('Rooms Walls and Glass'!$D$3:$AB$17, MATCH($D9,'Rooms Walls and Glass'!$A$3:$A$17,0), MATCH('Unit 1 a'!O$7,'Rooms Walls and Glass'!$D$1:$AB$1,0))))</f>
        <v/>
      </c>
      <c r="P9" s="65" t="str">
        <f>IF(O9="","-",O9*$G9)</f>
        <v>-</v>
      </c>
      <c r="Q9" s="66" t="str">
        <f>IF(Q$7="","",IF(INDEX('Rooms Walls and Glass'!$D$3:$AB$17, MATCH($D9,'Rooms Walls and Glass'!$A$3:$A$17,0), MATCH('Unit 1 a'!Q$7,'Rooms Walls and Glass'!$D$1:$AB$1,0))=0,"",INDEX('Rooms Walls and Glass'!$D$3:$AB$17, MATCH($D9,'Rooms Walls and Glass'!$A$3:$A$17,0), MATCH('Unit 1 a'!Q$7,'Rooms Walls and Glass'!$D$1:$AB$1,0))))</f>
        <v/>
      </c>
      <c r="R9" s="65" t="str">
        <f>IF(Q9="","-",Q9*$G9)</f>
        <v>-</v>
      </c>
      <c r="S9" s="66" t="str">
        <f>IF(S$7="","",IF(INDEX('Rooms Walls and Glass'!$D$3:$AB$17, MATCH($D9,'Rooms Walls and Glass'!$A$3:$A$17,0), MATCH('Unit 1 a'!S$7,'Rooms Walls and Glass'!$D$1:$AB$1,0))=0,"",INDEX('Rooms Walls and Glass'!$D$3:$AB$17, MATCH($D9,'Rooms Walls and Glass'!$A$3:$A$17,0), MATCH('Unit 1 a'!S$7,'Rooms Walls and Glass'!$D$1:$AB$1,0))))</f>
        <v/>
      </c>
      <c r="T9" s="65" t="str">
        <f>IF(S9="","-",S9*$G9)</f>
        <v>-</v>
      </c>
      <c r="U9" s="66" t="str">
        <f>IF(U$7="","",IF(INDEX('Rooms Walls and Glass'!$D$3:$AB$17, MATCH($D9,'Rooms Walls and Glass'!$A$3:$A$17,0), MATCH('Unit 1 a'!U$7,'Rooms Walls and Glass'!$D$1:$AB$1,0))=0,"",INDEX('Rooms Walls and Glass'!$D$3:$AB$17, MATCH($D9,'Rooms Walls and Glass'!$A$3:$A$17,0), MATCH('Unit 1 a'!U$7,'Rooms Walls and Glass'!$D$1:$AB$1,0))))</f>
        <v/>
      </c>
      <c r="V9" s="65" t="str">
        <f>IF(U9="","-",U9*$G9)</f>
        <v>-</v>
      </c>
      <c r="W9" s="66" t="str">
        <f>IF(W$7="","",IF(INDEX('Rooms Walls and Glass'!$D$3:$AB$17, MATCH($D9,'Rooms Walls and Glass'!$A$3:$A$17,0), MATCH('Unit 1 a'!W$7,'Rooms Walls and Glass'!$D$1:$AB$1,0))=0,"",INDEX('Rooms Walls and Glass'!$D$3:$AB$17, MATCH($D9,'Rooms Walls and Glass'!$A$3:$A$17,0), MATCH('Unit 1 a'!W$7,'Rooms Walls and Glass'!$D$1:$AB$1,0))))</f>
        <v/>
      </c>
      <c r="X9" s="65" t="str">
        <f>IF(W9="","-",W9*$G9)</f>
        <v>-</v>
      </c>
      <c r="Y9" s="66" t="str">
        <f>IF(Y$7="","",IF(INDEX('Rooms Walls and Glass'!$D$3:$AB$17, MATCH($D9,'Rooms Walls and Glass'!$A$3:$A$17,0), MATCH('Unit 1 a'!Y$7,'Rooms Walls and Glass'!$D$1:$AB$1,0))=0,"",INDEX('Rooms Walls and Glass'!$D$3:$AB$17, MATCH($D9,'Rooms Walls and Glass'!$A$3:$A$17,0), MATCH('Unit 1 a'!Y$7,'Rooms Walls and Glass'!$D$1:$AB$1,0))))</f>
        <v/>
      </c>
      <c r="Z9" s="65" t="str">
        <f>IF(Y9="","-",Y9*$G9)</f>
        <v>-</v>
      </c>
      <c r="AA9" s="66" t="str">
        <f>IF(AA$7="","",IF(INDEX('Rooms Walls and Glass'!$D$3:$AB$17, MATCH($D9,'Rooms Walls and Glass'!$A$3:$A$17,0), MATCH('Unit 1 a'!AA$7,'Rooms Walls and Glass'!$D$1:$AB$1,0))=0,"",INDEX('Rooms Walls and Glass'!$D$3:$AB$17, MATCH($D9,'Rooms Walls and Glass'!$A$3:$A$17,0), MATCH('Unit 1 a'!AA$7,'Rooms Walls and Glass'!$D$1:$AB$1,0))))</f>
        <v/>
      </c>
      <c r="AB9" s="65" t="str">
        <f>IF(AA9="","-",AA9*$G9)</f>
        <v>-</v>
      </c>
      <c r="AC9" s="66" t="str">
        <f>IF(AC$7="","",IF(INDEX('Rooms Walls and Glass'!$D$3:$AB$17, MATCH($D9,'Rooms Walls and Glass'!$A$3:$A$17,0), MATCH('Unit 1 a'!AC$7,'Rooms Walls and Glass'!$D$1:$AB$1,0))=0,"",INDEX('Rooms Walls and Glass'!$D$3:$AB$17, MATCH($D9,'Rooms Walls and Glass'!$A$3:$A$17,0), MATCH('Unit 1 a'!AC$7,'Rooms Walls and Glass'!$D$1:$AB$1,0))))</f>
        <v/>
      </c>
      <c r="AD9" s="65" t="str">
        <f>IF(AC9="","-",AC9*$G9)</f>
        <v>-</v>
      </c>
      <c r="AE9" s="66" t="str">
        <f>IF(AE$7="","",IF(INDEX('Rooms Walls and Glass'!$D$3:$AB$17, MATCH($D9,'Rooms Walls and Glass'!$A$3:$A$17,0), MATCH('Unit 1 a'!AE$7,'Rooms Walls and Glass'!$D$1:$AB$1,0))=0,"",INDEX('Rooms Walls and Glass'!$D$3:$AB$17, MATCH($D9,'Rooms Walls and Glass'!$A$3:$A$17,0), MATCH('Unit 1 a'!AE$7,'Rooms Walls and Glass'!$D$1:$AB$1,0))))</f>
        <v/>
      </c>
      <c r="AF9" s="65" t="str">
        <f>IF(AE9="","-",AE9*$G9)</f>
        <v>-</v>
      </c>
      <c r="AG9" s="66" t="str">
        <f>IF(AG$7="","",IF(INDEX('Rooms Walls and Glass'!$D$3:$AB$17, MATCH($D9,'Rooms Walls and Glass'!$A$3:$A$17,0), MATCH('Unit 1 a'!AG$7,'Rooms Walls and Glass'!$D$1:$AB$1,0))=0,"",INDEX('Rooms Walls and Glass'!$D$3:$AB$17, MATCH($D9,'Rooms Walls and Glass'!$A$3:$A$17,0), MATCH('Unit 1 a'!AG$7,'Rooms Walls and Glass'!$D$1:$AB$1,0))))</f>
        <v/>
      </c>
      <c r="AH9" s="65" t="str">
        <f>IF(AG9="","-",AG9*$G9)</f>
        <v>-</v>
      </c>
      <c r="AI9" s="66" t="str">
        <f>IF(AI$7="","",IF(INDEX('Rooms Walls and Glass'!$D$3:$AB$17, MATCH($D9,'Rooms Walls and Glass'!$A$3:$A$17,0), MATCH('Unit 1 a'!AI$7,'Rooms Walls and Glass'!$D$1:$AB$1,0))=0,"",INDEX('Rooms Walls and Glass'!$D$3:$AB$17, MATCH($D9,'Rooms Walls and Glass'!$A$3:$A$17,0), MATCH('Unit 1 a'!AI$7,'Rooms Walls and Glass'!$D$1:$AB$1,0))))</f>
        <v/>
      </c>
      <c r="AJ9" s="67" t="str">
        <f>IF(AI9="","-",AI9*$G9)</f>
        <v>-</v>
      </c>
      <c r="AK9" s="66" t="str">
        <f>IF(AK$7="","",IF(INDEX('Rooms Walls and Glass'!$D$3:$AB$17, MATCH($D9,'Rooms Walls and Glass'!$A$3:$A$17,0), MATCH('Unit 1 a'!AK$7,'Rooms Walls and Glass'!$D$1:$AB$1,0))=0,"",INDEX('Rooms Walls and Glass'!$D$3:$AB$17, MATCH($D9,'Rooms Walls and Glass'!$A$3:$A$17,0), MATCH('Unit 1 a'!AK$7,'Rooms Walls and Glass'!$D$1:$AB$1,0))))</f>
        <v/>
      </c>
      <c r="AL9" s="67" t="str">
        <f>IF(AK9="","-",AK9*$G9)</f>
        <v>-</v>
      </c>
      <c r="AM9" s="66" t="str">
        <f>IF(AM$7="","",IF(INDEX('Rooms Walls and Glass'!$D$3:$AB$17, MATCH($D9,'Rooms Walls and Glass'!$A$3:$A$17,0), MATCH('Unit 1 a'!AM$7,'Rooms Walls and Glass'!$D$1:$AB$1,0))=0,"",INDEX('Rooms Walls and Glass'!$D$3:$AB$17, MATCH($D9,'Rooms Walls and Glass'!$A$3:$A$17,0), MATCH('Unit 1 a'!AM$7,'Rooms Walls and Glass'!$D$1:$AB$1,0))))</f>
        <v/>
      </c>
      <c r="AN9" s="65" t="str">
        <f>IF(AM9="","-",AM9*$G9)</f>
        <v>-</v>
      </c>
      <c r="AO9" s="66" t="str">
        <f>IF(AO$7="","",IF(INDEX('Rooms Walls and Glass'!$D$3:$AB$17, MATCH($D9,'Rooms Walls and Glass'!$A$3:$A$17,0), MATCH('Unit 1 a'!AO$7,'Rooms Walls and Glass'!$D$1:$AB$1,0))=0,"",INDEX('Rooms Walls and Glass'!$D$3:$AB$17, MATCH($D9,'Rooms Walls and Glass'!$A$3:$A$17,0), MATCH('Unit 1 a'!AO$7,'Rooms Walls and Glass'!$D$1:$AB$1,0))))</f>
        <v/>
      </c>
      <c r="AP9" s="67" t="str">
        <f>IF(AO9="","-",AO9*$G9)</f>
        <v>-</v>
      </c>
    </row>
    <row r="10" spans="2:42" ht="11.25" customHeight="1" thickBot="1" x14ac:dyDescent="0.2">
      <c r="B10" s="214"/>
      <c r="C10" s="15" t="s">
        <v>7</v>
      </c>
      <c r="D10" s="13" t="str">
        <f>'Rooms Walls and Glass'!A9</f>
        <v>North</v>
      </c>
      <c r="E10" s="16"/>
      <c r="F10" s="16" t="s">
        <v>10</v>
      </c>
      <c r="G10" s="103">
        <f>INDEX('Glass CLF Calculation'!$A$4:$G$11,MATCH('Unit 1 a'!D10,'Glass CLF Calculation'!$A$4:$A$11,0),7)</f>
        <v>6.2012662222222215</v>
      </c>
      <c r="H10" s="16" t="s">
        <v>6</v>
      </c>
      <c r="I10" s="65">
        <f t="shared" ref="I10:I51" si="10">SUM(K10,M10,O10,Q10,U10,W10,Y10,AA10,AC10,AE10,AG10,AI10,S10,AK10,AM10,AO10)</f>
        <v>0</v>
      </c>
      <c r="J10" s="68">
        <f t="shared" ref="J10" si="11">IF(I10="","-",I10*$G10)</f>
        <v>0</v>
      </c>
      <c r="K10" s="66" t="str">
        <f>IF(K$7="","",IF(INDEX('Rooms Walls and Glass'!$D$3:$AB$17, MATCH($D10,'Rooms Walls and Glass'!$A$3:$A$17,0), MATCH('Unit 1 a'!K$7,'Rooms Walls and Glass'!$D$1:$AB$1,0))=0,"",INDEX('Rooms Walls and Glass'!$D$3:$AB$17, MATCH($D10,'Rooms Walls and Glass'!$A$3:$A$17,0), MATCH('Unit 1 a'!K$7,'Rooms Walls and Glass'!$D$1:$AB$1,0))))</f>
        <v/>
      </c>
      <c r="L10" s="68" t="str">
        <f t="shared" ref="L10" si="12">IF(K10="","-",K10*$G10)</f>
        <v>-</v>
      </c>
      <c r="M10" s="66" t="str">
        <f>IF(M$7="","",IF(INDEX('Rooms Walls and Glass'!$D$3:$AB$17, MATCH($D10,'Rooms Walls and Glass'!$A$3:$A$17,0), MATCH('Unit 1 a'!M$7,'Rooms Walls and Glass'!$D$1:$AB$1,0))=0,"",INDEX('Rooms Walls and Glass'!$D$3:$AB$17, MATCH($D10,'Rooms Walls and Glass'!$A$3:$A$17,0), MATCH('Unit 1 a'!M$7,'Rooms Walls and Glass'!$D$1:$AB$1,0))))</f>
        <v/>
      </c>
      <c r="N10" s="68" t="str">
        <f t="shared" ref="N10" si="13">IF(M10="","-",M10*$G10)</f>
        <v>-</v>
      </c>
      <c r="O10" s="66" t="str">
        <f>IF(O$7="","",IF(INDEX('Rooms Walls and Glass'!$D$3:$AB$17, MATCH($D10,'Rooms Walls and Glass'!$A$3:$A$17,0), MATCH('Unit 1 a'!O$7,'Rooms Walls and Glass'!$D$1:$AB$1,0))=0,"",INDEX('Rooms Walls and Glass'!$D$3:$AB$17, MATCH($D10,'Rooms Walls and Glass'!$A$3:$A$17,0), MATCH('Unit 1 a'!O$7,'Rooms Walls and Glass'!$D$1:$AB$1,0))))</f>
        <v/>
      </c>
      <c r="P10" s="68" t="str">
        <f t="shared" ref="P10" si="14">IF(O10="","-",O10*$G10)</f>
        <v>-</v>
      </c>
      <c r="Q10" s="66" t="str">
        <f>IF(Q$7="","",IF(INDEX('Rooms Walls and Glass'!$D$3:$AB$17, MATCH($D10,'Rooms Walls and Glass'!$A$3:$A$17,0), MATCH('Unit 1 a'!Q$7,'Rooms Walls and Glass'!$D$1:$AB$1,0))=0,"",INDEX('Rooms Walls and Glass'!$D$3:$AB$17, MATCH($D10,'Rooms Walls and Glass'!$A$3:$A$17,0), MATCH('Unit 1 a'!Q$7,'Rooms Walls and Glass'!$D$1:$AB$1,0))))</f>
        <v/>
      </c>
      <c r="R10" s="68" t="str">
        <f t="shared" ref="R10" si="15">IF(Q10="","-",Q10*$G10)</f>
        <v>-</v>
      </c>
      <c r="S10" s="66" t="str">
        <f>IF(S$7="","",IF(INDEX('Rooms Walls and Glass'!$D$3:$AB$17, MATCH($D10,'Rooms Walls and Glass'!$A$3:$A$17,0), MATCH('Unit 1 a'!S$7,'Rooms Walls and Glass'!$D$1:$AB$1,0))=0,"",INDEX('Rooms Walls and Glass'!$D$3:$AB$17, MATCH($D10,'Rooms Walls and Glass'!$A$3:$A$17,0), MATCH('Unit 1 a'!S$7,'Rooms Walls and Glass'!$D$1:$AB$1,0))))</f>
        <v/>
      </c>
      <c r="T10" s="68" t="str">
        <f t="shared" ref="T10:T55" si="16">IF(S10="","-",S10*$G10)</f>
        <v>-</v>
      </c>
      <c r="U10" s="66" t="str">
        <f>IF(U$7="","",IF(INDEX('Rooms Walls and Glass'!$D$3:$AB$17, MATCH($D10,'Rooms Walls and Glass'!$A$3:$A$17,0), MATCH('Unit 1 a'!U$7,'Rooms Walls and Glass'!$D$1:$AB$1,0))=0,"",INDEX('Rooms Walls and Glass'!$D$3:$AB$17, MATCH($D10,'Rooms Walls and Glass'!$A$3:$A$17,0), MATCH('Unit 1 a'!U$7,'Rooms Walls and Glass'!$D$1:$AB$1,0))))</f>
        <v/>
      </c>
      <c r="V10" s="68" t="str">
        <f t="shared" ref="V10" si="17">IF(U10="","-",U10*$G10)</f>
        <v>-</v>
      </c>
      <c r="W10" s="66" t="str">
        <f>IF(W$7="","",IF(INDEX('Rooms Walls and Glass'!$D$3:$AB$17, MATCH($D10,'Rooms Walls and Glass'!$A$3:$A$17,0), MATCH('Unit 1 a'!W$7,'Rooms Walls and Glass'!$D$1:$AB$1,0))=0,"",INDEX('Rooms Walls and Glass'!$D$3:$AB$17, MATCH($D10,'Rooms Walls and Glass'!$A$3:$A$17,0), MATCH('Unit 1 a'!W$7,'Rooms Walls and Glass'!$D$1:$AB$1,0))))</f>
        <v/>
      </c>
      <c r="X10" s="68" t="str">
        <f t="shared" ref="X10" si="18">IF(W10="","-",W10*$G10)</f>
        <v>-</v>
      </c>
      <c r="Y10" s="66" t="str">
        <f>IF(Y$7="","",IF(INDEX('Rooms Walls and Glass'!$D$3:$AB$17, MATCH($D10,'Rooms Walls and Glass'!$A$3:$A$17,0), MATCH('Unit 1 a'!Y$7,'Rooms Walls and Glass'!$D$1:$AB$1,0))=0,"",INDEX('Rooms Walls and Glass'!$D$3:$AB$17, MATCH($D10,'Rooms Walls and Glass'!$A$3:$A$17,0), MATCH('Unit 1 a'!Y$7,'Rooms Walls and Glass'!$D$1:$AB$1,0))))</f>
        <v/>
      </c>
      <c r="Z10" s="68" t="str">
        <f t="shared" ref="Z10" si="19">IF(Y10="","-",Y10*$G10)</f>
        <v>-</v>
      </c>
      <c r="AA10" s="66" t="str">
        <f>IF(AA$7="","",IF(INDEX('Rooms Walls and Glass'!$D$3:$AB$17, MATCH($D10,'Rooms Walls and Glass'!$A$3:$A$17,0), MATCH('Unit 1 a'!AA$7,'Rooms Walls and Glass'!$D$1:$AB$1,0))=0,"",INDEX('Rooms Walls and Glass'!$D$3:$AB$17, MATCH($D10,'Rooms Walls and Glass'!$A$3:$A$17,0), MATCH('Unit 1 a'!AA$7,'Rooms Walls and Glass'!$D$1:$AB$1,0))))</f>
        <v/>
      </c>
      <c r="AB10" s="68" t="str">
        <f t="shared" ref="AB10" si="20">IF(AA10="","-",AA10*$G10)</f>
        <v>-</v>
      </c>
      <c r="AC10" s="66" t="str">
        <f>IF(AC$7="","",IF(INDEX('Rooms Walls and Glass'!$D$3:$AB$17, MATCH($D10,'Rooms Walls and Glass'!$A$3:$A$17,0), MATCH('Unit 1 a'!AC$7,'Rooms Walls and Glass'!$D$1:$AB$1,0))=0,"",INDEX('Rooms Walls and Glass'!$D$3:$AB$17, MATCH($D10,'Rooms Walls and Glass'!$A$3:$A$17,0), MATCH('Unit 1 a'!AC$7,'Rooms Walls and Glass'!$D$1:$AB$1,0))))</f>
        <v/>
      </c>
      <c r="AD10" s="68" t="str">
        <f t="shared" ref="AD10:AF18" si="21">IF(AC10="","-",AC10*$G10)</f>
        <v>-</v>
      </c>
      <c r="AE10" s="66" t="str">
        <f>IF(AE$7="","",IF(INDEX('Rooms Walls and Glass'!$D$3:$AB$17, MATCH($D10,'Rooms Walls and Glass'!$A$3:$A$17,0), MATCH('Unit 1 a'!AE$7,'Rooms Walls and Glass'!$D$1:$AB$1,0))=0,"",INDEX('Rooms Walls and Glass'!$D$3:$AB$17, MATCH($D10,'Rooms Walls and Glass'!$A$3:$A$17,0), MATCH('Unit 1 a'!AE$7,'Rooms Walls and Glass'!$D$1:$AB$1,0))))</f>
        <v/>
      </c>
      <c r="AF10" s="68" t="str">
        <f t="shared" si="21"/>
        <v>-</v>
      </c>
      <c r="AG10" s="66" t="str">
        <f>IF(AG$7="","",IF(INDEX('Rooms Walls and Glass'!$D$3:$AB$17, MATCH($D10,'Rooms Walls and Glass'!$A$3:$A$17,0), MATCH('Unit 1 a'!AG$7,'Rooms Walls and Glass'!$D$1:$AB$1,0))=0,"",INDEX('Rooms Walls and Glass'!$D$3:$AB$17, MATCH($D10,'Rooms Walls and Glass'!$A$3:$A$17,0), MATCH('Unit 1 a'!AG$7,'Rooms Walls and Glass'!$D$1:$AB$1,0))))</f>
        <v/>
      </c>
      <c r="AH10" s="68" t="str">
        <f t="shared" ref="AH10" si="22">IF(AG10="","-",AG10*$G10)</f>
        <v>-</v>
      </c>
      <c r="AI10" s="66" t="str">
        <f>IF(AI$7="","",IF(INDEX('Rooms Walls and Glass'!$D$3:$AB$17, MATCH($D10,'Rooms Walls and Glass'!$A$3:$A$17,0), MATCH('Unit 1 a'!AI$7,'Rooms Walls and Glass'!$D$1:$AB$1,0))=0,"",INDEX('Rooms Walls and Glass'!$D$3:$AB$17, MATCH($D10,'Rooms Walls and Glass'!$A$3:$A$17,0), MATCH('Unit 1 a'!AI$7,'Rooms Walls and Glass'!$D$1:$AB$1,0))))</f>
        <v/>
      </c>
      <c r="AJ10" s="69" t="str">
        <f t="shared" ref="AJ10:AJ55" si="23">IF(AI10="","-",AI10*$G10)</f>
        <v>-</v>
      </c>
      <c r="AK10" s="66" t="str">
        <f>IF(AK$7="","",IF(INDEX('Rooms Walls and Glass'!$D$3:$AB$17, MATCH($D10,'Rooms Walls and Glass'!$A$3:$A$17,0), MATCH('Unit 1 a'!AK$7,'Rooms Walls and Glass'!$D$1:$AB$1,0))=0,"",INDEX('Rooms Walls and Glass'!$D$3:$AB$17, MATCH($D10,'Rooms Walls and Glass'!$A$3:$A$17,0), MATCH('Unit 1 a'!AK$7,'Rooms Walls and Glass'!$D$1:$AB$1,0))))</f>
        <v/>
      </c>
      <c r="AL10" s="69" t="str">
        <f t="shared" ref="AL10:AL47" si="24">IF(AK10="","-",AK10*$G10)</f>
        <v>-</v>
      </c>
      <c r="AM10" s="66" t="str">
        <f>IF(AM$7="","",IF(INDEX('Rooms Walls and Glass'!$D$3:$AB$17, MATCH($D10,'Rooms Walls and Glass'!$A$3:$A$17,0), MATCH('Unit 1 a'!AM$7,'Rooms Walls and Glass'!$D$1:$AB$1,0))=0,"",INDEX('Rooms Walls and Glass'!$D$3:$AB$17, MATCH($D10,'Rooms Walls and Glass'!$A$3:$A$17,0), MATCH('Unit 1 a'!AM$7,'Rooms Walls and Glass'!$D$1:$AB$1,0))))</f>
        <v/>
      </c>
      <c r="AN10" s="68" t="str">
        <f t="shared" ref="AN10:AN47" si="25">IF(AM10="","-",AM10*$G10)</f>
        <v>-</v>
      </c>
      <c r="AO10" s="66" t="str">
        <f>IF(AO$7="","",IF(INDEX('Rooms Walls and Glass'!$D$3:$AB$17, MATCH($D10,'Rooms Walls and Glass'!$A$3:$A$17,0), MATCH('Unit 1 a'!AO$7,'Rooms Walls and Glass'!$D$1:$AB$1,0))=0,"",INDEX('Rooms Walls and Glass'!$D$3:$AB$17, MATCH($D10,'Rooms Walls and Glass'!$A$3:$A$17,0), MATCH('Unit 1 a'!AO$7,'Rooms Walls and Glass'!$D$1:$AB$1,0))))</f>
        <v/>
      </c>
      <c r="AP10" s="69" t="str">
        <f t="shared" ref="AP10:AP47" si="26">IF(AO10="","-",AO10*$G10)</f>
        <v>-</v>
      </c>
    </row>
    <row r="11" spans="2:42" ht="11.25" customHeight="1" thickBot="1" x14ac:dyDescent="0.2">
      <c r="B11" s="214"/>
      <c r="C11" s="15" t="s">
        <v>7</v>
      </c>
      <c r="D11" s="13" t="str">
        <f>'Rooms Walls and Glass'!A10</f>
        <v>NorthEast</v>
      </c>
      <c r="E11" s="16" t="s">
        <v>17</v>
      </c>
      <c r="F11" s="16" t="s">
        <v>11</v>
      </c>
      <c r="G11" s="103">
        <f>INDEX('Glass CLF Calculation'!$A$4:$G$11,MATCH('Unit 1 a'!D11,'Glass CLF Calculation'!$A$4:$A$11,0),7)</f>
        <v>7.8267093333333335</v>
      </c>
      <c r="H11" s="16" t="s">
        <v>6</v>
      </c>
      <c r="I11" s="65">
        <f t="shared" si="10"/>
        <v>46</v>
      </c>
      <c r="J11" s="68">
        <f t="shared" ref="J11" si="27">IF(I11="","-",I11*$G11)</f>
        <v>360.02862933333336</v>
      </c>
      <c r="K11" s="66">
        <f>IF(K$7="","",IF(INDEX('Rooms Walls and Glass'!$D$3:$AB$17, MATCH($D11,'Rooms Walls and Glass'!$A$3:$A$17,0), MATCH('Unit 1 a'!K$7,'Rooms Walls and Glass'!$D$1:$AB$1,0))=0,"",INDEX('Rooms Walls and Glass'!$D$3:$AB$17, MATCH($D11,'Rooms Walls and Glass'!$A$3:$A$17,0), MATCH('Unit 1 a'!K$7,'Rooms Walls and Glass'!$D$1:$AB$1,0))))</f>
        <v>8</v>
      </c>
      <c r="L11" s="68">
        <f t="shared" ref="L11" si="28">IF(K11="","-",K11*$G11)</f>
        <v>62.613674666666668</v>
      </c>
      <c r="M11" s="66" t="str">
        <f>IF(M$7="","",IF(INDEX('Rooms Walls and Glass'!$D$3:$AB$17, MATCH($D11,'Rooms Walls and Glass'!$A$3:$A$17,0), MATCH('Unit 1 a'!M$7,'Rooms Walls and Glass'!$D$1:$AB$1,0))=0,"",INDEX('Rooms Walls and Glass'!$D$3:$AB$17, MATCH($D11,'Rooms Walls and Glass'!$A$3:$A$17,0), MATCH('Unit 1 a'!M$7,'Rooms Walls and Glass'!$D$1:$AB$1,0))))</f>
        <v/>
      </c>
      <c r="N11" s="68" t="str">
        <f t="shared" ref="N11" si="29">IF(M11="","-",M11*$G11)</f>
        <v>-</v>
      </c>
      <c r="O11" s="66">
        <f>IF(O$7="","",IF(INDEX('Rooms Walls and Glass'!$D$3:$AB$17, MATCH($D11,'Rooms Walls and Glass'!$A$3:$A$17,0), MATCH('Unit 1 a'!O$7,'Rooms Walls and Glass'!$D$1:$AB$1,0))=0,"",INDEX('Rooms Walls and Glass'!$D$3:$AB$17, MATCH($D11,'Rooms Walls and Glass'!$A$3:$A$17,0), MATCH('Unit 1 a'!O$7,'Rooms Walls and Glass'!$D$1:$AB$1,0))))</f>
        <v>38</v>
      </c>
      <c r="P11" s="68">
        <f t="shared" ref="P11" si="30">IF(O11="","-",O11*$G11)</f>
        <v>297.41495466666669</v>
      </c>
      <c r="Q11" s="66" t="str">
        <f>IF(Q$7="","",IF(INDEX('Rooms Walls and Glass'!$D$3:$AB$17, MATCH($D11,'Rooms Walls and Glass'!$A$3:$A$17,0), MATCH('Unit 1 a'!Q$7,'Rooms Walls and Glass'!$D$1:$AB$1,0))=0,"",INDEX('Rooms Walls and Glass'!$D$3:$AB$17, MATCH($D11,'Rooms Walls and Glass'!$A$3:$A$17,0), MATCH('Unit 1 a'!Q$7,'Rooms Walls and Glass'!$D$1:$AB$1,0))))</f>
        <v/>
      </c>
      <c r="R11" s="68" t="str">
        <f t="shared" ref="R11" si="31">IF(Q11="","-",Q11*$G11)</f>
        <v>-</v>
      </c>
      <c r="S11" s="66" t="str">
        <f>IF(S$7="","",IF(INDEX('Rooms Walls and Glass'!$D$3:$AB$17, MATCH($D11,'Rooms Walls and Glass'!$A$3:$A$17,0), MATCH('Unit 1 a'!S$7,'Rooms Walls and Glass'!$D$1:$AB$1,0))=0,"",INDEX('Rooms Walls and Glass'!$D$3:$AB$17, MATCH($D11,'Rooms Walls and Glass'!$A$3:$A$17,0), MATCH('Unit 1 a'!S$7,'Rooms Walls and Glass'!$D$1:$AB$1,0))))</f>
        <v/>
      </c>
      <c r="T11" s="68" t="str">
        <f t="shared" si="16"/>
        <v>-</v>
      </c>
      <c r="U11" s="66" t="str">
        <f>IF(U$7="","",IF(INDEX('Rooms Walls and Glass'!$D$3:$AB$17, MATCH($D11,'Rooms Walls and Glass'!$A$3:$A$17,0), MATCH('Unit 1 a'!U$7,'Rooms Walls and Glass'!$D$1:$AB$1,0))=0,"",INDEX('Rooms Walls and Glass'!$D$3:$AB$17, MATCH($D11,'Rooms Walls and Glass'!$A$3:$A$17,0), MATCH('Unit 1 a'!U$7,'Rooms Walls and Glass'!$D$1:$AB$1,0))))</f>
        <v/>
      </c>
      <c r="V11" s="68" t="str">
        <f t="shared" ref="V11" si="32">IF(U11="","-",U11*$G11)</f>
        <v>-</v>
      </c>
      <c r="W11" s="66" t="str">
        <f>IF(W$7="","",IF(INDEX('Rooms Walls and Glass'!$D$3:$AB$17, MATCH($D11,'Rooms Walls and Glass'!$A$3:$A$17,0), MATCH('Unit 1 a'!W$7,'Rooms Walls and Glass'!$D$1:$AB$1,0))=0,"",INDEX('Rooms Walls and Glass'!$D$3:$AB$17, MATCH($D11,'Rooms Walls and Glass'!$A$3:$A$17,0), MATCH('Unit 1 a'!W$7,'Rooms Walls and Glass'!$D$1:$AB$1,0))))</f>
        <v/>
      </c>
      <c r="X11" s="68" t="str">
        <f t="shared" ref="X11" si="33">IF(W11="","-",W11*$G11)</f>
        <v>-</v>
      </c>
      <c r="Y11" s="66" t="str">
        <f>IF(Y$7="","",IF(INDEX('Rooms Walls and Glass'!$D$3:$AB$17, MATCH($D11,'Rooms Walls and Glass'!$A$3:$A$17,0), MATCH('Unit 1 a'!Y$7,'Rooms Walls and Glass'!$D$1:$AB$1,0))=0,"",INDEX('Rooms Walls and Glass'!$D$3:$AB$17, MATCH($D11,'Rooms Walls and Glass'!$A$3:$A$17,0), MATCH('Unit 1 a'!Y$7,'Rooms Walls and Glass'!$D$1:$AB$1,0))))</f>
        <v/>
      </c>
      <c r="Z11" s="68" t="str">
        <f t="shared" ref="Z11" si="34">IF(Y11="","-",Y11*$G11)</f>
        <v>-</v>
      </c>
      <c r="AA11" s="66" t="str">
        <f>IF(AA$7="","",IF(INDEX('Rooms Walls and Glass'!$D$3:$AB$17, MATCH($D11,'Rooms Walls and Glass'!$A$3:$A$17,0), MATCH('Unit 1 a'!AA$7,'Rooms Walls and Glass'!$D$1:$AB$1,0))=0,"",INDEX('Rooms Walls and Glass'!$D$3:$AB$17, MATCH($D11,'Rooms Walls and Glass'!$A$3:$A$17,0), MATCH('Unit 1 a'!AA$7,'Rooms Walls and Glass'!$D$1:$AB$1,0))))</f>
        <v/>
      </c>
      <c r="AB11" s="68" t="str">
        <f t="shared" ref="AB11" si="35">IF(AA11="","-",AA11*$G11)</f>
        <v>-</v>
      </c>
      <c r="AC11" s="66" t="str">
        <f>IF(AC$7="","",IF(INDEX('Rooms Walls and Glass'!$D$3:$AB$17, MATCH($D11,'Rooms Walls and Glass'!$A$3:$A$17,0), MATCH('Unit 1 a'!AC$7,'Rooms Walls and Glass'!$D$1:$AB$1,0))=0,"",INDEX('Rooms Walls and Glass'!$D$3:$AB$17, MATCH($D11,'Rooms Walls and Glass'!$A$3:$A$17,0), MATCH('Unit 1 a'!AC$7,'Rooms Walls and Glass'!$D$1:$AB$1,0))))</f>
        <v/>
      </c>
      <c r="AD11" s="68" t="str">
        <f t="shared" si="21"/>
        <v>-</v>
      </c>
      <c r="AE11" s="66" t="str">
        <f>IF(AE$7="","",IF(INDEX('Rooms Walls and Glass'!$D$3:$AB$17, MATCH($D11,'Rooms Walls and Glass'!$A$3:$A$17,0), MATCH('Unit 1 a'!AE$7,'Rooms Walls and Glass'!$D$1:$AB$1,0))=0,"",INDEX('Rooms Walls and Glass'!$D$3:$AB$17, MATCH($D11,'Rooms Walls and Glass'!$A$3:$A$17,0), MATCH('Unit 1 a'!AE$7,'Rooms Walls and Glass'!$D$1:$AB$1,0))))</f>
        <v/>
      </c>
      <c r="AF11" s="68" t="str">
        <f t="shared" si="21"/>
        <v>-</v>
      </c>
      <c r="AG11" s="66" t="str">
        <f>IF(AG$7="","",IF(INDEX('Rooms Walls and Glass'!$D$3:$AB$17, MATCH($D11,'Rooms Walls and Glass'!$A$3:$A$17,0), MATCH('Unit 1 a'!AG$7,'Rooms Walls and Glass'!$D$1:$AB$1,0))=0,"",INDEX('Rooms Walls and Glass'!$D$3:$AB$17, MATCH($D11,'Rooms Walls and Glass'!$A$3:$A$17,0), MATCH('Unit 1 a'!AG$7,'Rooms Walls and Glass'!$D$1:$AB$1,0))))</f>
        <v/>
      </c>
      <c r="AH11" s="68" t="str">
        <f t="shared" ref="AH11" si="36">IF(AG11="","-",AG11*$G11)</f>
        <v>-</v>
      </c>
      <c r="AI11" s="66" t="str">
        <f>IF(AI$7="","",IF(INDEX('Rooms Walls and Glass'!$D$3:$AB$17, MATCH($D11,'Rooms Walls and Glass'!$A$3:$A$17,0), MATCH('Unit 1 a'!AI$7,'Rooms Walls and Glass'!$D$1:$AB$1,0))=0,"",INDEX('Rooms Walls and Glass'!$D$3:$AB$17, MATCH($D11,'Rooms Walls and Glass'!$A$3:$A$17,0), MATCH('Unit 1 a'!AI$7,'Rooms Walls and Glass'!$D$1:$AB$1,0))))</f>
        <v/>
      </c>
      <c r="AJ11" s="69" t="str">
        <f t="shared" si="23"/>
        <v>-</v>
      </c>
      <c r="AK11" s="66" t="str">
        <f>IF(AK$7="","",IF(INDEX('Rooms Walls and Glass'!$D$3:$AB$17, MATCH($D11,'Rooms Walls and Glass'!$A$3:$A$17,0), MATCH('Unit 1 a'!AK$7,'Rooms Walls and Glass'!$D$1:$AB$1,0))=0,"",INDEX('Rooms Walls and Glass'!$D$3:$AB$17, MATCH($D11,'Rooms Walls and Glass'!$A$3:$A$17,0), MATCH('Unit 1 a'!AK$7,'Rooms Walls and Glass'!$D$1:$AB$1,0))))</f>
        <v/>
      </c>
      <c r="AL11" s="69" t="str">
        <f t="shared" si="24"/>
        <v>-</v>
      </c>
      <c r="AM11" s="66" t="str">
        <f>IF(AM$7="","",IF(INDEX('Rooms Walls and Glass'!$D$3:$AB$17, MATCH($D11,'Rooms Walls and Glass'!$A$3:$A$17,0), MATCH('Unit 1 a'!AM$7,'Rooms Walls and Glass'!$D$1:$AB$1,0))=0,"",INDEX('Rooms Walls and Glass'!$D$3:$AB$17, MATCH($D11,'Rooms Walls and Glass'!$A$3:$A$17,0), MATCH('Unit 1 a'!AM$7,'Rooms Walls and Glass'!$D$1:$AB$1,0))))</f>
        <v/>
      </c>
      <c r="AN11" s="68" t="str">
        <f t="shared" si="25"/>
        <v>-</v>
      </c>
      <c r="AO11" s="66" t="str">
        <f>IF(AO$7="","",IF(INDEX('Rooms Walls and Glass'!$D$3:$AB$17, MATCH($D11,'Rooms Walls and Glass'!$A$3:$A$17,0), MATCH('Unit 1 a'!AO$7,'Rooms Walls and Glass'!$D$1:$AB$1,0))=0,"",INDEX('Rooms Walls and Glass'!$D$3:$AB$17, MATCH($D11,'Rooms Walls and Glass'!$A$3:$A$17,0), MATCH('Unit 1 a'!AO$7,'Rooms Walls and Glass'!$D$1:$AB$1,0))))</f>
        <v/>
      </c>
      <c r="AP11" s="69" t="str">
        <f t="shared" si="26"/>
        <v>-</v>
      </c>
    </row>
    <row r="12" spans="2:42" ht="11.25" customHeight="1" thickBot="1" x14ac:dyDescent="0.2">
      <c r="B12" s="214"/>
      <c r="C12" s="15" t="s">
        <v>7</v>
      </c>
      <c r="D12" s="13" t="str">
        <f>'Rooms Walls and Glass'!A11</f>
        <v>East</v>
      </c>
      <c r="E12" s="16"/>
      <c r="F12" s="16" t="s">
        <v>12</v>
      </c>
      <c r="G12" s="103">
        <f>INDEX('Glass CLF Calculation'!$A$4:$G$11,MATCH('Unit 1 a'!D12,'Glass CLF Calculation'!$A$4:$A$11,0),7)</f>
        <v>12.953999999999999</v>
      </c>
      <c r="H12" s="16" t="s">
        <v>6</v>
      </c>
      <c r="I12" s="65">
        <f t="shared" si="10"/>
        <v>0</v>
      </c>
      <c r="J12" s="68">
        <f t="shared" ref="J12" si="37">IF(I12="","-",I12*$G12)</f>
        <v>0</v>
      </c>
      <c r="K12" s="66" t="str">
        <f>IF(K$7="","",IF(INDEX('Rooms Walls and Glass'!$D$3:$AB$17, MATCH($D12,'Rooms Walls and Glass'!$A$3:$A$17,0), MATCH('Unit 1 a'!K$7,'Rooms Walls and Glass'!$D$1:$AB$1,0))=0,"",INDEX('Rooms Walls and Glass'!$D$3:$AB$17, MATCH($D12,'Rooms Walls and Glass'!$A$3:$A$17,0), MATCH('Unit 1 a'!K$7,'Rooms Walls and Glass'!$D$1:$AB$1,0))))</f>
        <v/>
      </c>
      <c r="L12" s="68" t="str">
        <f t="shared" ref="L12" si="38">IF(K12="","-",K12*$G12)</f>
        <v>-</v>
      </c>
      <c r="M12" s="66" t="str">
        <f>IF(M$7="","",IF(INDEX('Rooms Walls and Glass'!$D$3:$AB$17, MATCH($D12,'Rooms Walls and Glass'!$A$3:$A$17,0), MATCH('Unit 1 a'!M$7,'Rooms Walls and Glass'!$D$1:$AB$1,0))=0,"",INDEX('Rooms Walls and Glass'!$D$3:$AB$17, MATCH($D12,'Rooms Walls and Glass'!$A$3:$A$17,0), MATCH('Unit 1 a'!M$7,'Rooms Walls and Glass'!$D$1:$AB$1,0))))</f>
        <v/>
      </c>
      <c r="N12" s="68" t="str">
        <f t="shared" ref="N12" si="39">IF(M12="","-",M12*$G12)</f>
        <v>-</v>
      </c>
      <c r="O12" s="66" t="str">
        <f>IF(O$7="","",IF(INDEX('Rooms Walls and Glass'!$D$3:$AB$17, MATCH($D12,'Rooms Walls and Glass'!$A$3:$A$17,0), MATCH('Unit 1 a'!O$7,'Rooms Walls and Glass'!$D$1:$AB$1,0))=0,"",INDEX('Rooms Walls and Glass'!$D$3:$AB$17, MATCH($D12,'Rooms Walls and Glass'!$A$3:$A$17,0), MATCH('Unit 1 a'!O$7,'Rooms Walls and Glass'!$D$1:$AB$1,0))))</f>
        <v/>
      </c>
      <c r="P12" s="68" t="str">
        <f t="shared" ref="P12" si="40">IF(O12="","-",O12*$G12)</f>
        <v>-</v>
      </c>
      <c r="Q12" s="66" t="str">
        <f>IF(Q$7="","",IF(INDEX('Rooms Walls and Glass'!$D$3:$AB$17, MATCH($D12,'Rooms Walls and Glass'!$A$3:$A$17,0), MATCH('Unit 1 a'!Q$7,'Rooms Walls and Glass'!$D$1:$AB$1,0))=0,"",INDEX('Rooms Walls and Glass'!$D$3:$AB$17, MATCH($D12,'Rooms Walls and Glass'!$A$3:$A$17,0), MATCH('Unit 1 a'!Q$7,'Rooms Walls and Glass'!$D$1:$AB$1,0))))</f>
        <v/>
      </c>
      <c r="R12" s="68" t="str">
        <f t="shared" ref="R12" si="41">IF(Q12="","-",Q12*$G12)</f>
        <v>-</v>
      </c>
      <c r="S12" s="66" t="str">
        <f>IF(S$7="","",IF(INDEX('Rooms Walls and Glass'!$D$3:$AB$17, MATCH($D12,'Rooms Walls and Glass'!$A$3:$A$17,0), MATCH('Unit 1 a'!S$7,'Rooms Walls and Glass'!$D$1:$AB$1,0))=0,"",INDEX('Rooms Walls and Glass'!$D$3:$AB$17, MATCH($D12,'Rooms Walls and Glass'!$A$3:$A$17,0), MATCH('Unit 1 a'!S$7,'Rooms Walls and Glass'!$D$1:$AB$1,0))))</f>
        <v/>
      </c>
      <c r="T12" s="68" t="str">
        <f t="shared" si="16"/>
        <v>-</v>
      </c>
      <c r="U12" s="66" t="str">
        <f>IF(U$7="","",IF(INDEX('Rooms Walls and Glass'!$D$3:$AB$17, MATCH($D12,'Rooms Walls and Glass'!$A$3:$A$17,0), MATCH('Unit 1 a'!U$7,'Rooms Walls and Glass'!$D$1:$AB$1,0))=0,"",INDEX('Rooms Walls and Glass'!$D$3:$AB$17, MATCH($D12,'Rooms Walls and Glass'!$A$3:$A$17,0), MATCH('Unit 1 a'!U$7,'Rooms Walls and Glass'!$D$1:$AB$1,0))))</f>
        <v/>
      </c>
      <c r="V12" s="68" t="str">
        <f t="shared" ref="V12" si="42">IF(U12="","-",U12*$G12)</f>
        <v>-</v>
      </c>
      <c r="W12" s="66" t="str">
        <f>IF(W$7="","",IF(INDEX('Rooms Walls and Glass'!$D$3:$AB$17, MATCH($D12,'Rooms Walls and Glass'!$A$3:$A$17,0), MATCH('Unit 1 a'!W$7,'Rooms Walls and Glass'!$D$1:$AB$1,0))=0,"",INDEX('Rooms Walls and Glass'!$D$3:$AB$17, MATCH($D12,'Rooms Walls and Glass'!$A$3:$A$17,0), MATCH('Unit 1 a'!W$7,'Rooms Walls and Glass'!$D$1:$AB$1,0))))</f>
        <v/>
      </c>
      <c r="X12" s="68" t="str">
        <f t="shared" ref="X12" si="43">IF(W12="","-",W12*$G12)</f>
        <v>-</v>
      </c>
      <c r="Y12" s="66" t="str">
        <f>IF(Y$7="","",IF(INDEX('Rooms Walls and Glass'!$D$3:$AB$17, MATCH($D12,'Rooms Walls and Glass'!$A$3:$A$17,0), MATCH('Unit 1 a'!Y$7,'Rooms Walls and Glass'!$D$1:$AB$1,0))=0,"",INDEX('Rooms Walls and Glass'!$D$3:$AB$17, MATCH($D12,'Rooms Walls and Glass'!$A$3:$A$17,0), MATCH('Unit 1 a'!Y$7,'Rooms Walls and Glass'!$D$1:$AB$1,0))))</f>
        <v/>
      </c>
      <c r="Z12" s="68" t="str">
        <f t="shared" ref="Z12" si="44">IF(Y12="","-",Y12*$G12)</f>
        <v>-</v>
      </c>
      <c r="AA12" s="66" t="str">
        <f>IF(AA$7="","",IF(INDEX('Rooms Walls and Glass'!$D$3:$AB$17, MATCH($D12,'Rooms Walls and Glass'!$A$3:$A$17,0), MATCH('Unit 1 a'!AA$7,'Rooms Walls and Glass'!$D$1:$AB$1,0))=0,"",INDEX('Rooms Walls and Glass'!$D$3:$AB$17, MATCH($D12,'Rooms Walls and Glass'!$A$3:$A$17,0), MATCH('Unit 1 a'!AA$7,'Rooms Walls and Glass'!$D$1:$AB$1,0))))</f>
        <v/>
      </c>
      <c r="AB12" s="68" t="str">
        <f t="shared" ref="AB12" si="45">IF(AA12="","-",AA12*$G12)</f>
        <v>-</v>
      </c>
      <c r="AC12" s="66" t="str">
        <f>IF(AC$7="","",IF(INDEX('Rooms Walls and Glass'!$D$3:$AB$17, MATCH($D12,'Rooms Walls and Glass'!$A$3:$A$17,0), MATCH('Unit 1 a'!AC$7,'Rooms Walls and Glass'!$D$1:$AB$1,0))=0,"",INDEX('Rooms Walls and Glass'!$D$3:$AB$17, MATCH($D12,'Rooms Walls and Glass'!$A$3:$A$17,0), MATCH('Unit 1 a'!AC$7,'Rooms Walls and Glass'!$D$1:$AB$1,0))))</f>
        <v/>
      </c>
      <c r="AD12" s="68" t="str">
        <f t="shared" si="21"/>
        <v>-</v>
      </c>
      <c r="AE12" s="66" t="str">
        <f>IF(AE$7="","",IF(INDEX('Rooms Walls and Glass'!$D$3:$AB$17, MATCH($D12,'Rooms Walls and Glass'!$A$3:$A$17,0), MATCH('Unit 1 a'!AE$7,'Rooms Walls and Glass'!$D$1:$AB$1,0))=0,"",INDEX('Rooms Walls and Glass'!$D$3:$AB$17, MATCH($D12,'Rooms Walls and Glass'!$A$3:$A$17,0), MATCH('Unit 1 a'!AE$7,'Rooms Walls and Glass'!$D$1:$AB$1,0))))</f>
        <v/>
      </c>
      <c r="AF12" s="68" t="str">
        <f t="shared" si="21"/>
        <v>-</v>
      </c>
      <c r="AG12" s="66" t="str">
        <f>IF(AG$7="","",IF(INDEX('Rooms Walls and Glass'!$D$3:$AB$17, MATCH($D12,'Rooms Walls and Glass'!$A$3:$A$17,0), MATCH('Unit 1 a'!AG$7,'Rooms Walls and Glass'!$D$1:$AB$1,0))=0,"",INDEX('Rooms Walls and Glass'!$D$3:$AB$17, MATCH($D12,'Rooms Walls and Glass'!$A$3:$A$17,0), MATCH('Unit 1 a'!AG$7,'Rooms Walls and Glass'!$D$1:$AB$1,0))))</f>
        <v/>
      </c>
      <c r="AH12" s="68" t="str">
        <f t="shared" ref="AH12" si="46">IF(AG12="","-",AG12*$G12)</f>
        <v>-</v>
      </c>
      <c r="AI12" s="66" t="str">
        <f>IF(AI$7="","",IF(INDEX('Rooms Walls and Glass'!$D$3:$AB$17, MATCH($D12,'Rooms Walls and Glass'!$A$3:$A$17,0), MATCH('Unit 1 a'!AI$7,'Rooms Walls and Glass'!$D$1:$AB$1,0))=0,"",INDEX('Rooms Walls and Glass'!$D$3:$AB$17, MATCH($D12,'Rooms Walls and Glass'!$A$3:$A$17,0), MATCH('Unit 1 a'!AI$7,'Rooms Walls and Glass'!$D$1:$AB$1,0))))</f>
        <v/>
      </c>
      <c r="AJ12" s="69" t="str">
        <f t="shared" si="23"/>
        <v>-</v>
      </c>
      <c r="AK12" s="66" t="str">
        <f>IF(AK$7="","",IF(INDEX('Rooms Walls and Glass'!$D$3:$AB$17, MATCH($D12,'Rooms Walls and Glass'!$A$3:$A$17,0), MATCH('Unit 1 a'!AK$7,'Rooms Walls and Glass'!$D$1:$AB$1,0))=0,"",INDEX('Rooms Walls and Glass'!$D$3:$AB$17, MATCH($D12,'Rooms Walls and Glass'!$A$3:$A$17,0), MATCH('Unit 1 a'!AK$7,'Rooms Walls and Glass'!$D$1:$AB$1,0))))</f>
        <v/>
      </c>
      <c r="AL12" s="69" t="str">
        <f t="shared" si="24"/>
        <v>-</v>
      </c>
      <c r="AM12" s="66" t="str">
        <f>IF(AM$7="","",IF(INDEX('Rooms Walls and Glass'!$D$3:$AB$17, MATCH($D12,'Rooms Walls and Glass'!$A$3:$A$17,0), MATCH('Unit 1 a'!AM$7,'Rooms Walls and Glass'!$D$1:$AB$1,0))=0,"",INDEX('Rooms Walls and Glass'!$D$3:$AB$17, MATCH($D12,'Rooms Walls and Glass'!$A$3:$A$17,0), MATCH('Unit 1 a'!AM$7,'Rooms Walls and Glass'!$D$1:$AB$1,0))))</f>
        <v/>
      </c>
      <c r="AN12" s="68" t="str">
        <f t="shared" si="25"/>
        <v>-</v>
      </c>
      <c r="AO12" s="66" t="str">
        <f>IF(AO$7="","",IF(INDEX('Rooms Walls and Glass'!$D$3:$AB$17, MATCH($D12,'Rooms Walls and Glass'!$A$3:$A$17,0), MATCH('Unit 1 a'!AO$7,'Rooms Walls and Glass'!$D$1:$AB$1,0))=0,"",INDEX('Rooms Walls and Glass'!$D$3:$AB$17, MATCH($D12,'Rooms Walls and Glass'!$A$3:$A$17,0), MATCH('Unit 1 a'!AO$7,'Rooms Walls and Glass'!$D$1:$AB$1,0))))</f>
        <v/>
      </c>
      <c r="AP12" s="69" t="str">
        <f t="shared" si="26"/>
        <v>-</v>
      </c>
    </row>
    <row r="13" spans="2:42" ht="11.25" customHeight="1" thickBot="1" x14ac:dyDescent="0.2">
      <c r="B13" s="214"/>
      <c r="C13" s="15" t="s">
        <v>7</v>
      </c>
      <c r="D13" s="13" t="str">
        <f>'Rooms Walls and Glass'!A12</f>
        <v>SouthEast</v>
      </c>
      <c r="E13" s="16" t="s">
        <v>18</v>
      </c>
      <c r="F13" s="16" t="s">
        <v>13</v>
      </c>
      <c r="G13" s="103">
        <f>INDEX('Glass CLF Calculation'!$A$4:$G$11,MATCH('Unit 1 a'!D13,'Glass CLF Calculation'!$A$4:$A$11,0),7)</f>
        <v>14.271164444444445</v>
      </c>
      <c r="H13" s="16" t="s">
        <v>6</v>
      </c>
      <c r="I13" s="65">
        <f t="shared" si="10"/>
        <v>16</v>
      </c>
      <c r="J13" s="68">
        <f t="shared" ref="J13" si="47">IF(I13="","-",I13*$G13)</f>
        <v>228.33863111111111</v>
      </c>
      <c r="K13" s="66" t="str">
        <f>IF(K$7="","",IF(INDEX('Rooms Walls and Glass'!$D$3:$AB$17, MATCH($D13,'Rooms Walls and Glass'!$A$3:$A$17,0), MATCH('Unit 1 a'!K$7,'Rooms Walls and Glass'!$D$1:$AB$1,0))=0,"",INDEX('Rooms Walls and Glass'!$D$3:$AB$17, MATCH($D13,'Rooms Walls and Glass'!$A$3:$A$17,0), MATCH('Unit 1 a'!K$7,'Rooms Walls and Glass'!$D$1:$AB$1,0))))</f>
        <v/>
      </c>
      <c r="L13" s="68" t="str">
        <f t="shared" ref="L13" si="48">IF(K13="","-",K13*$G13)</f>
        <v>-</v>
      </c>
      <c r="M13" s="66" t="str">
        <f>IF(M$7="","",IF(INDEX('Rooms Walls and Glass'!$D$3:$AB$17, MATCH($D13,'Rooms Walls and Glass'!$A$3:$A$17,0), MATCH('Unit 1 a'!M$7,'Rooms Walls and Glass'!$D$1:$AB$1,0))=0,"",INDEX('Rooms Walls and Glass'!$D$3:$AB$17, MATCH($D13,'Rooms Walls and Glass'!$A$3:$A$17,0), MATCH('Unit 1 a'!M$7,'Rooms Walls and Glass'!$D$1:$AB$1,0))))</f>
        <v/>
      </c>
      <c r="N13" s="68" t="str">
        <f t="shared" ref="N13" si="49">IF(M13="","-",M13*$G13)</f>
        <v>-</v>
      </c>
      <c r="O13" s="66" t="str">
        <f>IF(O$7="","",IF(INDEX('Rooms Walls and Glass'!$D$3:$AB$17, MATCH($D13,'Rooms Walls and Glass'!$A$3:$A$17,0), MATCH('Unit 1 a'!O$7,'Rooms Walls and Glass'!$D$1:$AB$1,0))=0,"",INDEX('Rooms Walls and Glass'!$D$3:$AB$17, MATCH($D13,'Rooms Walls and Glass'!$A$3:$A$17,0), MATCH('Unit 1 a'!O$7,'Rooms Walls and Glass'!$D$1:$AB$1,0))))</f>
        <v/>
      </c>
      <c r="P13" s="68" t="str">
        <f t="shared" ref="P13" si="50">IF(O13="","-",O13*$G13)</f>
        <v>-</v>
      </c>
      <c r="Q13" s="66">
        <f>IF(Q$7="","",IF(INDEX('Rooms Walls and Glass'!$D$3:$AB$17, MATCH($D13,'Rooms Walls and Glass'!$A$3:$A$17,0), MATCH('Unit 1 a'!Q$7,'Rooms Walls and Glass'!$D$1:$AB$1,0))=0,"",INDEX('Rooms Walls and Glass'!$D$3:$AB$17, MATCH($D13,'Rooms Walls and Glass'!$A$3:$A$17,0), MATCH('Unit 1 a'!Q$7,'Rooms Walls and Glass'!$D$1:$AB$1,0))))</f>
        <v>16</v>
      </c>
      <c r="R13" s="68">
        <f t="shared" ref="R13" si="51">IF(Q13="","-",Q13*$G13)</f>
        <v>228.33863111111111</v>
      </c>
      <c r="S13" s="66" t="str">
        <f>IF(S$7="","",IF(INDEX('Rooms Walls and Glass'!$D$3:$AB$17, MATCH($D13,'Rooms Walls and Glass'!$A$3:$A$17,0), MATCH('Unit 1 a'!S$7,'Rooms Walls and Glass'!$D$1:$AB$1,0))=0,"",INDEX('Rooms Walls and Glass'!$D$3:$AB$17, MATCH($D13,'Rooms Walls and Glass'!$A$3:$A$17,0), MATCH('Unit 1 a'!S$7,'Rooms Walls and Glass'!$D$1:$AB$1,0))))</f>
        <v/>
      </c>
      <c r="T13" s="68" t="str">
        <f t="shared" si="16"/>
        <v>-</v>
      </c>
      <c r="U13" s="66" t="str">
        <f>IF(U$7="","",IF(INDEX('Rooms Walls and Glass'!$D$3:$AB$17, MATCH($D13,'Rooms Walls and Glass'!$A$3:$A$17,0), MATCH('Unit 1 a'!U$7,'Rooms Walls and Glass'!$D$1:$AB$1,0))=0,"",INDEX('Rooms Walls and Glass'!$D$3:$AB$17, MATCH($D13,'Rooms Walls and Glass'!$A$3:$A$17,0), MATCH('Unit 1 a'!U$7,'Rooms Walls and Glass'!$D$1:$AB$1,0))))</f>
        <v/>
      </c>
      <c r="V13" s="68" t="str">
        <f t="shared" ref="V13" si="52">IF(U13="","-",U13*$G13)</f>
        <v>-</v>
      </c>
      <c r="W13" s="66" t="str">
        <f>IF(W$7="","",IF(INDEX('Rooms Walls and Glass'!$D$3:$AB$17, MATCH($D13,'Rooms Walls and Glass'!$A$3:$A$17,0), MATCH('Unit 1 a'!W$7,'Rooms Walls and Glass'!$D$1:$AB$1,0))=0,"",INDEX('Rooms Walls and Glass'!$D$3:$AB$17, MATCH($D13,'Rooms Walls and Glass'!$A$3:$A$17,0), MATCH('Unit 1 a'!W$7,'Rooms Walls and Glass'!$D$1:$AB$1,0))))</f>
        <v/>
      </c>
      <c r="X13" s="68" t="str">
        <f t="shared" ref="X13" si="53">IF(W13="","-",W13*$G13)</f>
        <v>-</v>
      </c>
      <c r="Y13" s="66" t="str">
        <f>IF(Y$7="","",IF(INDEX('Rooms Walls and Glass'!$D$3:$AB$17, MATCH($D13,'Rooms Walls and Glass'!$A$3:$A$17,0), MATCH('Unit 1 a'!Y$7,'Rooms Walls and Glass'!$D$1:$AB$1,0))=0,"",INDEX('Rooms Walls and Glass'!$D$3:$AB$17, MATCH($D13,'Rooms Walls and Glass'!$A$3:$A$17,0), MATCH('Unit 1 a'!Y$7,'Rooms Walls and Glass'!$D$1:$AB$1,0))))</f>
        <v/>
      </c>
      <c r="Z13" s="68" t="str">
        <f t="shared" ref="Z13" si="54">IF(Y13="","-",Y13*$G13)</f>
        <v>-</v>
      </c>
      <c r="AA13" s="66" t="str">
        <f>IF(AA$7="","",IF(INDEX('Rooms Walls and Glass'!$D$3:$AB$17, MATCH($D13,'Rooms Walls and Glass'!$A$3:$A$17,0), MATCH('Unit 1 a'!AA$7,'Rooms Walls and Glass'!$D$1:$AB$1,0))=0,"",INDEX('Rooms Walls and Glass'!$D$3:$AB$17, MATCH($D13,'Rooms Walls and Glass'!$A$3:$A$17,0), MATCH('Unit 1 a'!AA$7,'Rooms Walls and Glass'!$D$1:$AB$1,0))))</f>
        <v/>
      </c>
      <c r="AB13" s="68" t="str">
        <f t="shared" ref="AB13" si="55">IF(AA13="","-",AA13*$G13)</f>
        <v>-</v>
      </c>
      <c r="AC13" s="66" t="str">
        <f>IF(AC$7="","",IF(INDEX('Rooms Walls and Glass'!$D$3:$AB$17, MATCH($D13,'Rooms Walls and Glass'!$A$3:$A$17,0), MATCH('Unit 1 a'!AC$7,'Rooms Walls and Glass'!$D$1:$AB$1,0))=0,"",INDEX('Rooms Walls and Glass'!$D$3:$AB$17, MATCH($D13,'Rooms Walls and Glass'!$A$3:$A$17,0), MATCH('Unit 1 a'!AC$7,'Rooms Walls and Glass'!$D$1:$AB$1,0))))</f>
        <v/>
      </c>
      <c r="AD13" s="68" t="str">
        <f t="shared" si="21"/>
        <v>-</v>
      </c>
      <c r="AE13" s="66" t="str">
        <f>IF(AE$7="","",IF(INDEX('Rooms Walls and Glass'!$D$3:$AB$17, MATCH($D13,'Rooms Walls and Glass'!$A$3:$A$17,0), MATCH('Unit 1 a'!AE$7,'Rooms Walls and Glass'!$D$1:$AB$1,0))=0,"",INDEX('Rooms Walls and Glass'!$D$3:$AB$17, MATCH($D13,'Rooms Walls and Glass'!$A$3:$A$17,0), MATCH('Unit 1 a'!AE$7,'Rooms Walls and Glass'!$D$1:$AB$1,0))))</f>
        <v/>
      </c>
      <c r="AF13" s="68" t="str">
        <f t="shared" si="21"/>
        <v>-</v>
      </c>
      <c r="AG13" s="66" t="str">
        <f>IF(AG$7="","",IF(INDEX('Rooms Walls and Glass'!$D$3:$AB$17, MATCH($D13,'Rooms Walls and Glass'!$A$3:$A$17,0), MATCH('Unit 1 a'!AG$7,'Rooms Walls and Glass'!$D$1:$AB$1,0))=0,"",INDEX('Rooms Walls and Glass'!$D$3:$AB$17, MATCH($D13,'Rooms Walls and Glass'!$A$3:$A$17,0), MATCH('Unit 1 a'!AG$7,'Rooms Walls and Glass'!$D$1:$AB$1,0))))</f>
        <v/>
      </c>
      <c r="AH13" s="68" t="str">
        <f t="shared" ref="AH13" si="56">IF(AG13="","-",AG13*$G13)</f>
        <v>-</v>
      </c>
      <c r="AI13" s="66" t="str">
        <f>IF(AI$7="","",IF(INDEX('Rooms Walls and Glass'!$D$3:$AB$17, MATCH($D13,'Rooms Walls and Glass'!$A$3:$A$17,0), MATCH('Unit 1 a'!AI$7,'Rooms Walls and Glass'!$D$1:$AB$1,0))=0,"",INDEX('Rooms Walls and Glass'!$D$3:$AB$17, MATCH($D13,'Rooms Walls and Glass'!$A$3:$A$17,0), MATCH('Unit 1 a'!AI$7,'Rooms Walls and Glass'!$D$1:$AB$1,0))))</f>
        <v/>
      </c>
      <c r="AJ13" s="69" t="str">
        <f t="shared" si="23"/>
        <v>-</v>
      </c>
      <c r="AK13" s="66" t="str">
        <f>IF(AK$7="","",IF(INDEX('Rooms Walls and Glass'!$D$3:$AB$17, MATCH($D13,'Rooms Walls and Glass'!$A$3:$A$17,0), MATCH('Unit 1 a'!AK$7,'Rooms Walls and Glass'!$D$1:$AB$1,0))=0,"",INDEX('Rooms Walls and Glass'!$D$3:$AB$17, MATCH($D13,'Rooms Walls and Glass'!$A$3:$A$17,0), MATCH('Unit 1 a'!AK$7,'Rooms Walls and Glass'!$D$1:$AB$1,0))))</f>
        <v/>
      </c>
      <c r="AL13" s="69" t="str">
        <f t="shared" si="24"/>
        <v>-</v>
      </c>
      <c r="AM13" s="66" t="str">
        <f>IF(AM$7="","",IF(INDEX('Rooms Walls and Glass'!$D$3:$AB$17, MATCH($D13,'Rooms Walls and Glass'!$A$3:$A$17,0), MATCH('Unit 1 a'!AM$7,'Rooms Walls and Glass'!$D$1:$AB$1,0))=0,"",INDEX('Rooms Walls and Glass'!$D$3:$AB$17, MATCH($D13,'Rooms Walls and Glass'!$A$3:$A$17,0), MATCH('Unit 1 a'!AM$7,'Rooms Walls and Glass'!$D$1:$AB$1,0))))</f>
        <v/>
      </c>
      <c r="AN13" s="68" t="str">
        <f t="shared" si="25"/>
        <v>-</v>
      </c>
      <c r="AO13" s="66" t="str">
        <f>IF(AO$7="","",IF(INDEX('Rooms Walls and Glass'!$D$3:$AB$17, MATCH($D13,'Rooms Walls and Glass'!$A$3:$A$17,0), MATCH('Unit 1 a'!AO$7,'Rooms Walls and Glass'!$D$1:$AB$1,0))=0,"",INDEX('Rooms Walls and Glass'!$D$3:$AB$17, MATCH($D13,'Rooms Walls and Glass'!$A$3:$A$17,0), MATCH('Unit 1 a'!AO$7,'Rooms Walls and Glass'!$D$1:$AB$1,0))))</f>
        <v/>
      </c>
      <c r="AP13" s="69" t="str">
        <f t="shared" si="26"/>
        <v>-</v>
      </c>
    </row>
    <row r="14" spans="2:42" ht="11.25" customHeight="1" thickBot="1" x14ac:dyDescent="0.2">
      <c r="B14" s="214"/>
      <c r="C14" s="15" t="s">
        <v>7</v>
      </c>
      <c r="D14" s="13" t="str">
        <f>'Rooms Walls and Glass'!A13</f>
        <v>South</v>
      </c>
      <c r="E14" s="16"/>
      <c r="F14" s="16" t="s">
        <v>14</v>
      </c>
      <c r="G14" s="103">
        <f>INDEX('Glass CLF Calculation'!$A$4:$G$11,MATCH('Unit 1 a'!D14,'Glass CLF Calculation'!$A$4:$A$11,0),7)</f>
        <v>15.869088</v>
      </c>
      <c r="H14" s="16" t="s">
        <v>6</v>
      </c>
      <c r="I14" s="65">
        <f t="shared" si="10"/>
        <v>0</v>
      </c>
      <c r="J14" s="68">
        <f t="shared" ref="J14" si="57">IF(I14="","-",I14*$G14)</f>
        <v>0</v>
      </c>
      <c r="K14" s="66" t="str">
        <f>IF(K$7="","",IF(INDEX('Rooms Walls and Glass'!$D$3:$AB$17, MATCH($D14,'Rooms Walls and Glass'!$A$3:$A$17,0), MATCH('Unit 1 a'!K$7,'Rooms Walls and Glass'!$D$1:$AB$1,0))=0,"",INDEX('Rooms Walls and Glass'!$D$3:$AB$17, MATCH($D14,'Rooms Walls and Glass'!$A$3:$A$17,0), MATCH('Unit 1 a'!K$7,'Rooms Walls and Glass'!$D$1:$AB$1,0))))</f>
        <v/>
      </c>
      <c r="L14" s="68" t="str">
        <f t="shared" ref="L14" si="58">IF(K14="","-",K14*$G14)</f>
        <v>-</v>
      </c>
      <c r="M14" s="66" t="str">
        <f>IF(M$7="","",IF(INDEX('Rooms Walls and Glass'!$D$3:$AB$17, MATCH($D14,'Rooms Walls and Glass'!$A$3:$A$17,0), MATCH('Unit 1 a'!M$7,'Rooms Walls and Glass'!$D$1:$AB$1,0))=0,"",INDEX('Rooms Walls and Glass'!$D$3:$AB$17, MATCH($D14,'Rooms Walls and Glass'!$A$3:$A$17,0), MATCH('Unit 1 a'!M$7,'Rooms Walls and Glass'!$D$1:$AB$1,0))))</f>
        <v/>
      </c>
      <c r="N14" s="68" t="str">
        <f t="shared" ref="N14" si="59">IF(M14="","-",M14*$G14)</f>
        <v>-</v>
      </c>
      <c r="O14" s="66" t="str">
        <f>IF(O$7="","",IF(INDEX('Rooms Walls and Glass'!$D$3:$AB$17, MATCH($D14,'Rooms Walls and Glass'!$A$3:$A$17,0), MATCH('Unit 1 a'!O$7,'Rooms Walls and Glass'!$D$1:$AB$1,0))=0,"",INDEX('Rooms Walls and Glass'!$D$3:$AB$17, MATCH($D14,'Rooms Walls and Glass'!$A$3:$A$17,0), MATCH('Unit 1 a'!O$7,'Rooms Walls and Glass'!$D$1:$AB$1,0))))</f>
        <v/>
      </c>
      <c r="P14" s="68" t="str">
        <f t="shared" ref="P14" si="60">IF(O14="","-",O14*$G14)</f>
        <v>-</v>
      </c>
      <c r="Q14" s="66" t="str">
        <f>IF(Q$7="","",IF(INDEX('Rooms Walls and Glass'!$D$3:$AB$17, MATCH($D14,'Rooms Walls and Glass'!$A$3:$A$17,0), MATCH('Unit 1 a'!Q$7,'Rooms Walls and Glass'!$D$1:$AB$1,0))=0,"",INDEX('Rooms Walls and Glass'!$D$3:$AB$17, MATCH($D14,'Rooms Walls and Glass'!$A$3:$A$17,0), MATCH('Unit 1 a'!Q$7,'Rooms Walls and Glass'!$D$1:$AB$1,0))))</f>
        <v/>
      </c>
      <c r="R14" s="68" t="str">
        <f t="shared" ref="R14" si="61">IF(Q14="","-",Q14*$G14)</f>
        <v>-</v>
      </c>
      <c r="S14" s="66" t="str">
        <f>IF(S$7="","",IF(INDEX('Rooms Walls and Glass'!$D$3:$AB$17, MATCH($D14,'Rooms Walls and Glass'!$A$3:$A$17,0), MATCH('Unit 1 a'!S$7,'Rooms Walls and Glass'!$D$1:$AB$1,0))=0,"",INDEX('Rooms Walls and Glass'!$D$3:$AB$17, MATCH($D14,'Rooms Walls and Glass'!$A$3:$A$17,0), MATCH('Unit 1 a'!S$7,'Rooms Walls and Glass'!$D$1:$AB$1,0))))</f>
        <v/>
      </c>
      <c r="T14" s="68" t="str">
        <f t="shared" si="16"/>
        <v>-</v>
      </c>
      <c r="U14" s="66" t="str">
        <f>IF(U$7="","",IF(INDEX('Rooms Walls and Glass'!$D$3:$AB$17, MATCH($D14,'Rooms Walls and Glass'!$A$3:$A$17,0), MATCH('Unit 1 a'!U$7,'Rooms Walls and Glass'!$D$1:$AB$1,0))=0,"",INDEX('Rooms Walls and Glass'!$D$3:$AB$17, MATCH($D14,'Rooms Walls and Glass'!$A$3:$A$17,0), MATCH('Unit 1 a'!U$7,'Rooms Walls and Glass'!$D$1:$AB$1,0))))</f>
        <v/>
      </c>
      <c r="V14" s="68" t="str">
        <f t="shared" ref="V14" si="62">IF(U14="","-",U14*$G14)</f>
        <v>-</v>
      </c>
      <c r="W14" s="66" t="str">
        <f>IF(W$7="","",IF(INDEX('Rooms Walls and Glass'!$D$3:$AB$17, MATCH($D14,'Rooms Walls and Glass'!$A$3:$A$17,0), MATCH('Unit 1 a'!W$7,'Rooms Walls and Glass'!$D$1:$AB$1,0))=0,"",INDEX('Rooms Walls and Glass'!$D$3:$AB$17, MATCH($D14,'Rooms Walls and Glass'!$A$3:$A$17,0), MATCH('Unit 1 a'!W$7,'Rooms Walls and Glass'!$D$1:$AB$1,0))))</f>
        <v/>
      </c>
      <c r="X14" s="68" t="str">
        <f t="shared" ref="X14" si="63">IF(W14="","-",W14*$G14)</f>
        <v>-</v>
      </c>
      <c r="Y14" s="66" t="str">
        <f>IF(Y$7="","",IF(INDEX('Rooms Walls and Glass'!$D$3:$AB$17, MATCH($D14,'Rooms Walls and Glass'!$A$3:$A$17,0), MATCH('Unit 1 a'!Y$7,'Rooms Walls and Glass'!$D$1:$AB$1,0))=0,"",INDEX('Rooms Walls and Glass'!$D$3:$AB$17, MATCH($D14,'Rooms Walls and Glass'!$A$3:$A$17,0), MATCH('Unit 1 a'!Y$7,'Rooms Walls and Glass'!$D$1:$AB$1,0))))</f>
        <v/>
      </c>
      <c r="Z14" s="68" t="str">
        <f t="shared" ref="Z14" si="64">IF(Y14="","-",Y14*$G14)</f>
        <v>-</v>
      </c>
      <c r="AA14" s="66" t="str">
        <f>IF(AA$7="","",IF(INDEX('Rooms Walls and Glass'!$D$3:$AB$17, MATCH($D14,'Rooms Walls and Glass'!$A$3:$A$17,0), MATCH('Unit 1 a'!AA$7,'Rooms Walls and Glass'!$D$1:$AB$1,0))=0,"",INDEX('Rooms Walls and Glass'!$D$3:$AB$17, MATCH($D14,'Rooms Walls and Glass'!$A$3:$A$17,0), MATCH('Unit 1 a'!AA$7,'Rooms Walls and Glass'!$D$1:$AB$1,0))))</f>
        <v/>
      </c>
      <c r="AB14" s="68" t="str">
        <f t="shared" ref="AB14" si="65">IF(AA14="","-",AA14*$G14)</f>
        <v>-</v>
      </c>
      <c r="AC14" s="66" t="str">
        <f>IF(AC$7="","",IF(INDEX('Rooms Walls and Glass'!$D$3:$AB$17, MATCH($D14,'Rooms Walls and Glass'!$A$3:$A$17,0), MATCH('Unit 1 a'!AC$7,'Rooms Walls and Glass'!$D$1:$AB$1,0))=0,"",INDEX('Rooms Walls and Glass'!$D$3:$AB$17, MATCH($D14,'Rooms Walls and Glass'!$A$3:$A$17,0), MATCH('Unit 1 a'!AC$7,'Rooms Walls and Glass'!$D$1:$AB$1,0))))</f>
        <v/>
      </c>
      <c r="AD14" s="68" t="str">
        <f t="shared" si="21"/>
        <v>-</v>
      </c>
      <c r="AE14" s="66" t="str">
        <f>IF(AE$7="","",IF(INDEX('Rooms Walls and Glass'!$D$3:$AB$17, MATCH($D14,'Rooms Walls and Glass'!$A$3:$A$17,0), MATCH('Unit 1 a'!AE$7,'Rooms Walls and Glass'!$D$1:$AB$1,0))=0,"",INDEX('Rooms Walls and Glass'!$D$3:$AB$17, MATCH($D14,'Rooms Walls and Glass'!$A$3:$A$17,0), MATCH('Unit 1 a'!AE$7,'Rooms Walls and Glass'!$D$1:$AB$1,0))))</f>
        <v/>
      </c>
      <c r="AF14" s="68" t="str">
        <f t="shared" si="21"/>
        <v>-</v>
      </c>
      <c r="AG14" s="66" t="str">
        <f>IF(AG$7="","",IF(INDEX('Rooms Walls and Glass'!$D$3:$AB$17, MATCH($D14,'Rooms Walls and Glass'!$A$3:$A$17,0), MATCH('Unit 1 a'!AG$7,'Rooms Walls and Glass'!$D$1:$AB$1,0))=0,"",INDEX('Rooms Walls and Glass'!$D$3:$AB$17, MATCH($D14,'Rooms Walls and Glass'!$A$3:$A$17,0), MATCH('Unit 1 a'!AG$7,'Rooms Walls and Glass'!$D$1:$AB$1,0))))</f>
        <v/>
      </c>
      <c r="AH14" s="68" t="str">
        <f t="shared" ref="AH14" si="66">IF(AG14="","-",AG14*$G14)</f>
        <v>-</v>
      </c>
      <c r="AI14" s="66" t="str">
        <f>IF(AI$7="","",IF(INDEX('Rooms Walls and Glass'!$D$3:$AB$17, MATCH($D14,'Rooms Walls and Glass'!$A$3:$A$17,0), MATCH('Unit 1 a'!AI$7,'Rooms Walls and Glass'!$D$1:$AB$1,0))=0,"",INDEX('Rooms Walls and Glass'!$D$3:$AB$17, MATCH($D14,'Rooms Walls and Glass'!$A$3:$A$17,0), MATCH('Unit 1 a'!AI$7,'Rooms Walls and Glass'!$D$1:$AB$1,0))))</f>
        <v/>
      </c>
      <c r="AJ14" s="69" t="str">
        <f t="shared" si="23"/>
        <v>-</v>
      </c>
      <c r="AK14" s="66" t="str">
        <f>IF(AK$7="","",IF(INDEX('Rooms Walls and Glass'!$D$3:$AB$17, MATCH($D14,'Rooms Walls and Glass'!$A$3:$A$17,0), MATCH('Unit 1 a'!AK$7,'Rooms Walls and Glass'!$D$1:$AB$1,0))=0,"",INDEX('Rooms Walls and Glass'!$D$3:$AB$17, MATCH($D14,'Rooms Walls and Glass'!$A$3:$A$17,0), MATCH('Unit 1 a'!AK$7,'Rooms Walls and Glass'!$D$1:$AB$1,0))))</f>
        <v/>
      </c>
      <c r="AL14" s="69" t="str">
        <f t="shared" si="24"/>
        <v>-</v>
      </c>
      <c r="AM14" s="66" t="str">
        <f>IF(AM$7="","",IF(INDEX('Rooms Walls and Glass'!$D$3:$AB$17, MATCH($D14,'Rooms Walls and Glass'!$A$3:$A$17,0), MATCH('Unit 1 a'!AM$7,'Rooms Walls and Glass'!$D$1:$AB$1,0))=0,"",INDEX('Rooms Walls and Glass'!$D$3:$AB$17, MATCH($D14,'Rooms Walls and Glass'!$A$3:$A$17,0), MATCH('Unit 1 a'!AM$7,'Rooms Walls and Glass'!$D$1:$AB$1,0))))</f>
        <v/>
      </c>
      <c r="AN14" s="68" t="str">
        <f t="shared" si="25"/>
        <v>-</v>
      </c>
      <c r="AO14" s="66" t="str">
        <f>IF(AO$7="","",IF(INDEX('Rooms Walls and Glass'!$D$3:$AB$17, MATCH($D14,'Rooms Walls and Glass'!$A$3:$A$17,0), MATCH('Unit 1 a'!AO$7,'Rooms Walls and Glass'!$D$1:$AB$1,0))=0,"",INDEX('Rooms Walls and Glass'!$D$3:$AB$17, MATCH($D14,'Rooms Walls and Glass'!$A$3:$A$17,0), MATCH('Unit 1 a'!AO$7,'Rooms Walls and Glass'!$D$1:$AB$1,0))))</f>
        <v/>
      </c>
      <c r="AP14" s="69" t="str">
        <f t="shared" si="26"/>
        <v>-</v>
      </c>
    </row>
    <row r="15" spans="2:42" ht="11.25" customHeight="1" thickBot="1" x14ac:dyDescent="0.2">
      <c r="B15" s="214"/>
      <c r="C15" s="15" t="s">
        <v>7</v>
      </c>
      <c r="D15" s="13" t="str">
        <f>'Rooms Walls and Glass'!A14</f>
        <v>SouthWest</v>
      </c>
      <c r="E15" s="16" t="s">
        <v>19</v>
      </c>
      <c r="F15" s="16" t="s">
        <v>15</v>
      </c>
      <c r="G15" s="103">
        <f>INDEX('Glass CLF Calculation'!$A$4:$G$11,MATCH('Unit 1 a'!D15,'Glass CLF Calculation'!$A$4:$A$11,0),7)</f>
        <v>26.22</v>
      </c>
      <c r="H15" s="16" t="s">
        <v>6</v>
      </c>
      <c r="I15" s="65">
        <f t="shared" si="10"/>
        <v>30</v>
      </c>
      <c r="J15" s="68">
        <f t="shared" ref="J15" si="67">IF(I15="","-",I15*$G15)</f>
        <v>786.59999999999991</v>
      </c>
      <c r="K15" s="66" t="str">
        <f>IF(K$7="","",IF(INDEX('Rooms Walls and Glass'!$D$3:$AB$17, MATCH($D15,'Rooms Walls and Glass'!$A$3:$A$17,0), MATCH('Unit 1 a'!K$7,'Rooms Walls and Glass'!$D$1:$AB$1,0))=0,"",INDEX('Rooms Walls and Glass'!$D$3:$AB$17, MATCH($D15,'Rooms Walls and Glass'!$A$3:$A$17,0), MATCH('Unit 1 a'!K$7,'Rooms Walls and Glass'!$D$1:$AB$1,0))))</f>
        <v/>
      </c>
      <c r="L15" s="68" t="str">
        <f t="shared" ref="L15" si="68">IF(K15="","-",K15*$G15)</f>
        <v>-</v>
      </c>
      <c r="M15" s="66" t="str">
        <f>IF(M$7="","",IF(INDEX('Rooms Walls and Glass'!$D$3:$AB$17, MATCH($D15,'Rooms Walls and Glass'!$A$3:$A$17,0), MATCH('Unit 1 a'!M$7,'Rooms Walls and Glass'!$D$1:$AB$1,0))=0,"",INDEX('Rooms Walls and Glass'!$D$3:$AB$17, MATCH($D15,'Rooms Walls and Glass'!$A$3:$A$17,0), MATCH('Unit 1 a'!M$7,'Rooms Walls and Glass'!$D$1:$AB$1,0))))</f>
        <v/>
      </c>
      <c r="N15" s="68" t="str">
        <f t="shared" ref="N15" si="69">IF(M15="","-",M15*$G15)</f>
        <v>-</v>
      </c>
      <c r="O15" s="66" t="str">
        <f>IF(O$7="","",IF(INDEX('Rooms Walls and Glass'!$D$3:$AB$17, MATCH($D15,'Rooms Walls and Glass'!$A$3:$A$17,0), MATCH('Unit 1 a'!O$7,'Rooms Walls and Glass'!$D$1:$AB$1,0))=0,"",INDEX('Rooms Walls and Glass'!$D$3:$AB$17, MATCH($D15,'Rooms Walls and Glass'!$A$3:$A$17,0), MATCH('Unit 1 a'!O$7,'Rooms Walls and Glass'!$D$1:$AB$1,0))))</f>
        <v/>
      </c>
      <c r="P15" s="68" t="str">
        <f t="shared" ref="P15" si="70">IF(O15="","-",O15*$G15)</f>
        <v>-</v>
      </c>
      <c r="Q15" s="66" t="str">
        <f>IF(Q$7="","",IF(INDEX('Rooms Walls and Glass'!$D$3:$AB$17, MATCH($D15,'Rooms Walls and Glass'!$A$3:$A$17,0), MATCH('Unit 1 a'!Q$7,'Rooms Walls and Glass'!$D$1:$AB$1,0))=0,"",INDEX('Rooms Walls and Glass'!$D$3:$AB$17, MATCH($D15,'Rooms Walls and Glass'!$A$3:$A$17,0), MATCH('Unit 1 a'!Q$7,'Rooms Walls and Glass'!$D$1:$AB$1,0))))</f>
        <v/>
      </c>
      <c r="R15" s="68" t="str">
        <f t="shared" ref="R15" si="71">IF(Q15="","-",Q15*$G15)</f>
        <v>-</v>
      </c>
      <c r="S15" s="66" t="str">
        <f>IF(S$7="","",IF(INDEX('Rooms Walls and Glass'!$D$3:$AB$17, MATCH($D15,'Rooms Walls and Glass'!$A$3:$A$17,0), MATCH('Unit 1 a'!S$7,'Rooms Walls and Glass'!$D$1:$AB$1,0))=0,"",INDEX('Rooms Walls and Glass'!$D$3:$AB$17, MATCH($D15,'Rooms Walls and Glass'!$A$3:$A$17,0), MATCH('Unit 1 a'!S$7,'Rooms Walls and Glass'!$D$1:$AB$1,0))))</f>
        <v/>
      </c>
      <c r="T15" s="68" t="str">
        <f t="shared" si="16"/>
        <v>-</v>
      </c>
      <c r="U15" s="66" t="str">
        <f>IF(U$7="","",IF(INDEX('Rooms Walls and Glass'!$D$3:$AB$17, MATCH($D15,'Rooms Walls and Glass'!$A$3:$A$17,0), MATCH('Unit 1 a'!U$7,'Rooms Walls and Glass'!$D$1:$AB$1,0))=0,"",INDEX('Rooms Walls and Glass'!$D$3:$AB$17, MATCH($D15,'Rooms Walls and Glass'!$A$3:$A$17,0), MATCH('Unit 1 a'!U$7,'Rooms Walls and Glass'!$D$1:$AB$1,0))))</f>
        <v/>
      </c>
      <c r="V15" s="68" t="str">
        <f t="shared" ref="V15" si="72">IF(U15="","-",U15*$G15)</f>
        <v>-</v>
      </c>
      <c r="W15" s="66">
        <f>IF(W$7="","",IF(INDEX('Rooms Walls and Glass'!$D$3:$AB$17, MATCH($D15,'Rooms Walls and Glass'!$A$3:$A$17,0), MATCH('Unit 1 a'!W$7,'Rooms Walls and Glass'!$D$1:$AB$1,0))=0,"",INDEX('Rooms Walls and Glass'!$D$3:$AB$17, MATCH($D15,'Rooms Walls and Glass'!$A$3:$A$17,0), MATCH('Unit 1 a'!W$7,'Rooms Walls and Glass'!$D$1:$AB$1,0))))</f>
        <v>15</v>
      </c>
      <c r="X15" s="68">
        <f t="shared" ref="X15" si="73">IF(W15="","-",W15*$G15)</f>
        <v>393.29999999999995</v>
      </c>
      <c r="Y15" s="66" t="str">
        <f>IF(Y$7="","",IF(INDEX('Rooms Walls and Glass'!$D$3:$AB$17, MATCH($D15,'Rooms Walls and Glass'!$A$3:$A$17,0), MATCH('Unit 1 a'!Y$7,'Rooms Walls and Glass'!$D$1:$AB$1,0))=0,"",INDEX('Rooms Walls and Glass'!$D$3:$AB$17, MATCH($D15,'Rooms Walls and Glass'!$A$3:$A$17,0), MATCH('Unit 1 a'!Y$7,'Rooms Walls and Glass'!$D$1:$AB$1,0))))</f>
        <v/>
      </c>
      <c r="Z15" s="68" t="str">
        <f t="shared" ref="Z15" si="74">IF(Y15="","-",Y15*$G15)</f>
        <v>-</v>
      </c>
      <c r="AA15" s="66">
        <f>IF(AA$7="","",IF(INDEX('Rooms Walls and Glass'!$D$3:$AB$17, MATCH($D15,'Rooms Walls and Glass'!$A$3:$A$17,0), MATCH('Unit 1 a'!AA$7,'Rooms Walls and Glass'!$D$1:$AB$1,0))=0,"",INDEX('Rooms Walls and Glass'!$D$3:$AB$17, MATCH($D15,'Rooms Walls and Glass'!$A$3:$A$17,0), MATCH('Unit 1 a'!AA$7,'Rooms Walls and Glass'!$D$1:$AB$1,0))))</f>
        <v>15</v>
      </c>
      <c r="AB15" s="68">
        <f t="shared" ref="AB15" si="75">IF(AA15="","-",AA15*$G15)</f>
        <v>393.29999999999995</v>
      </c>
      <c r="AC15" s="66" t="str">
        <f>IF(AC$7="","",IF(INDEX('Rooms Walls and Glass'!$D$3:$AB$17, MATCH($D15,'Rooms Walls and Glass'!$A$3:$A$17,0), MATCH('Unit 1 a'!AC$7,'Rooms Walls and Glass'!$D$1:$AB$1,0))=0,"",INDEX('Rooms Walls and Glass'!$D$3:$AB$17, MATCH($D15,'Rooms Walls and Glass'!$A$3:$A$17,0), MATCH('Unit 1 a'!AC$7,'Rooms Walls and Glass'!$D$1:$AB$1,0))))</f>
        <v/>
      </c>
      <c r="AD15" s="68" t="str">
        <f t="shared" si="21"/>
        <v>-</v>
      </c>
      <c r="AE15" s="66" t="str">
        <f>IF(AE$7="","",IF(INDEX('Rooms Walls and Glass'!$D$3:$AB$17, MATCH($D15,'Rooms Walls and Glass'!$A$3:$A$17,0), MATCH('Unit 1 a'!AE$7,'Rooms Walls and Glass'!$D$1:$AB$1,0))=0,"",INDEX('Rooms Walls and Glass'!$D$3:$AB$17, MATCH($D15,'Rooms Walls and Glass'!$A$3:$A$17,0), MATCH('Unit 1 a'!AE$7,'Rooms Walls and Glass'!$D$1:$AB$1,0))))</f>
        <v/>
      </c>
      <c r="AF15" s="68" t="str">
        <f t="shared" si="21"/>
        <v>-</v>
      </c>
      <c r="AG15" s="66" t="str">
        <f>IF(AG$7="","",IF(INDEX('Rooms Walls and Glass'!$D$3:$AB$17, MATCH($D15,'Rooms Walls and Glass'!$A$3:$A$17,0), MATCH('Unit 1 a'!AG$7,'Rooms Walls and Glass'!$D$1:$AB$1,0))=0,"",INDEX('Rooms Walls and Glass'!$D$3:$AB$17, MATCH($D15,'Rooms Walls and Glass'!$A$3:$A$17,0), MATCH('Unit 1 a'!AG$7,'Rooms Walls and Glass'!$D$1:$AB$1,0))))</f>
        <v/>
      </c>
      <c r="AH15" s="68" t="str">
        <f t="shared" ref="AH15" si="76">IF(AG15="","-",AG15*$G15)</f>
        <v>-</v>
      </c>
      <c r="AI15" s="66" t="str">
        <f>IF(AI$7="","",IF(INDEX('Rooms Walls and Glass'!$D$3:$AB$17, MATCH($D15,'Rooms Walls and Glass'!$A$3:$A$17,0), MATCH('Unit 1 a'!AI$7,'Rooms Walls and Glass'!$D$1:$AB$1,0))=0,"",INDEX('Rooms Walls and Glass'!$D$3:$AB$17, MATCH($D15,'Rooms Walls and Glass'!$A$3:$A$17,0), MATCH('Unit 1 a'!AI$7,'Rooms Walls and Glass'!$D$1:$AB$1,0))))</f>
        <v/>
      </c>
      <c r="AJ15" s="69" t="str">
        <f t="shared" si="23"/>
        <v>-</v>
      </c>
      <c r="AK15" s="66" t="str">
        <f>IF(AK$7="","",IF(INDEX('Rooms Walls and Glass'!$D$3:$AB$17, MATCH($D15,'Rooms Walls and Glass'!$A$3:$A$17,0), MATCH('Unit 1 a'!AK$7,'Rooms Walls and Glass'!$D$1:$AB$1,0))=0,"",INDEX('Rooms Walls and Glass'!$D$3:$AB$17, MATCH($D15,'Rooms Walls and Glass'!$A$3:$A$17,0), MATCH('Unit 1 a'!AK$7,'Rooms Walls and Glass'!$D$1:$AB$1,0))))</f>
        <v/>
      </c>
      <c r="AL15" s="69" t="str">
        <f t="shared" si="24"/>
        <v>-</v>
      </c>
      <c r="AM15" s="66" t="str">
        <f>IF(AM$7="","",IF(INDEX('Rooms Walls and Glass'!$D$3:$AB$17, MATCH($D15,'Rooms Walls and Glass'!$A$3:$A$17,0), MATCH('Unit 1 a'!AM$7,'Rooms Walls and Glass'!$D$1:$AB$1,0))=0,"",INDEX('Rooms Walls and Glass'!$D$3:$AB$17, MATCH($D15,'Rooms Walls and Glass'!$A$3:$A$17,0), MATCH('Unit 1 a'!AM$7,'Rooms Walls and Glass'!$D$1:$AB$1,0))))</f>
        <v/>
      </c>
      <c r="AN15" s="68" t="str">
        <f t="shared" si="25"/>
        <v>-</v>
      </c>
      <c r="AO15" s="66" t="str">
        <f>IF(AO$7="","",IF(INDEX('Rooms Walls and Glass'!$D$3:$AB$17, MATCH($D15,'Rooms Walls and Glass'!$A$3:$A$17,0), MATCH('Unit 1 a'!AO$7,'Rooms Walls and Glass'!$D$1:$AB$1,0))=0,"",INDEX('Rooms Walls and Glass'!$D$3:$AB$17, MATCH($D15,'Rooms Walls and Glass'!$A$3:$A$17,0), MATCH('Unit 1 a'!AO$7,'Rooms Walls and Glass'!$D$1:$AB$1,0))))</f>
        <v/>
      </c>
      <c r="AP15" s="69" t="str">
        <f t="shared" si="26"/>
        <v>-</v>
      </c>
    </row>
    <row r="16" spans="2:42" ht="11.25" customHeight="1" thickBot="1" x14ac:dyDescent="0.2">
      <c r="B16" s="214"/>
      <c r="C16" s="15" t="s">
        <v>7</v>
      </c>
      <c r="D16" s="13" t="str">
        <f>'Rooms Walls and Glass'!A15</f>
        <v>West</v>
      </c>
      <c r="E16" s="16"/>
      <c r="F16" s="16" t="s">
        <v>16</v>
      </c>
      <c r="G16" s="103">
        <f>INDEX('Glass CLF Calculation'!$A$4:$G$11,MATCH('Unit 1 a'!D16,'Glass CLF Calculation'!$A$4:$A$11,0),7)</f>
        <v>29.197724444444443</v>
      </c>
      <c r="H16" s="16" t="s">
        <v>6</v>
      </c>
      <c r="I16" s="65">
        <f t="shared" si="10"/>
        <v>0</v>
      </c>
      <c r="J16" s="68">
        <f t="shared" ref="J16" si="77">IF(I16="","-",I16*$G16)</f>
        <v>0</v>
      </c>
      <c r="K16" s="66" t="str">
        <f>IF(K$7="","",IF(INDEX('Rooms Walls and Glass'!$D$3:$AB$17, MATCH($D16,'Rooms Walls and Glass'!$A$3:$A$17,0), MATCH('Unit 1 a'!K$7,'Rooms Walls and Glass'!$D$1:$AB$1,0))=0,"",INDEX('Rooms Walls and Glass'!$D$3:$AB$17, MATCH($D16,'Rooms Walls and Glass'!$A$3:$A$17,0), MATCH('Unit 1 a'!K$7,'Rooms Walls and Glass'!$D$1:$AB$1,0))))</f>
        <v/>
      </c>
      <c r="L16" s="68" t="str">
        <f t="shared" ref="L16" si="78">IF(K16="","-",K16*$G16)</f>
        <v>-</v>
      </c>
      <c r="M16" s="66" t="str">
        <f>IF(M$7="","",IF(INDEX('Rooms Walls and Glass'!$D$3:$AB$17, MATCH($D16,'Rooms Walls and Glass'!$A$3:$A$17,0), MATCH('Unit 1 a'!M$7,'Rooms Walls and Glass'!$D$1:$AB$1,0))=0,"",INDEX('Rooms Walls and Glass'!$D$3:$AB$17, MATCH($D16,'Rooms Walls and Glass'!$A$3:$A$17,0), MATCH('Unit 1 a'!M$7,'Rooms Walls and Glass'!$D$1:$AB$1,0))))</f>
        <v/>
      </c>
      <c r="N16" s="68" t="str">
        <f t="shared" ref="N16" si="79">IF(M16="","-",M16*$G16)</f>
        <v>-</v>
      </c>
      <c r="O16" s="66" t="str">
        <f>IF(O$7="","",IF(INDEX('Rooms Walls and Glass'!$D$3:$AB$17, MATCH($D16,'Rooms Walls and Glass'!$A$3:$A$17,0), MATCH('Unit 1 a'!O$7,'Rooms Walls and Glass'!$D$1:$AB$1,0))=0,"",INDEX('Rooms Walls and Glass'!$D$3:$AB$17, MATCH($D16,'Rooms Walls and Glass'!$A$3:$A$17,0), MATCH('Unit 1 a'!O$7,'Rooms Walls and Glass'!$D$1:$AB$1,0))))</f>
        <v/>
      </c>
      <c r="P16" s="68" t="str">
        <f t="shared" ref="P16" si="80">IF(O16="","-",O16*$G16)</f>
        <v>-</v>
      </c>
      <c r="Q16" s="66" t="str">
        <f>IF(Q$7="","",IF(INDEX('Rooms Walls and Glass'!$D$3:$AB$17, MATCH($D16,'Rooms Walls and Glass'!$A$3:$A$17,0), MATCH('Unit 1 a'!Q$7,'Rooms Walls and Glass'!$D$1:$AB$1,0))=0,"",INDEX('Rooms Walls and Glass'!$D$3:$AB$17, MATCH($D16,'Rooms Walls and Glass'!$A$3:$A$17,0), MATCH('Unit 1 a'!Q$7,'Rooms Walls and Glass'!$D$1:$AB$1,0))))</f>
        <v/>
      </c>
      <c r="R16" s="68" t="str">
        <f t="shared" ref="R16" si="81">IF(Q16="","-",Q16*$G16)</f>
        <v>-</v>
      </c>
      <c r="S16" s="66" t="str">
        <f>IF(S$7="","",IF(INDEX('Rooms Walls and Glass'!$D$3:$AB$17, MATCH($D16,'Rooms Walls and Glass'!$A$3:$A$17,0), MATCH('Unit 1 a'!S$7,'Rooms Walls and Glass'!$D$1:$AB$1,0))=0,"",INDEX('Rooms Walls and Glass'!$D$3:$AB$17, MATCH($D16,'Rooms Walls and Glass'!$A$3:$A$17,0), MATCH('Unit 1 a'!S$7,'Rooms Walls and Glass'!$D$1:$AB$1,0))))</f>
        <v/>
      </c>
      <c r="T16" s="68" t="str">
        <f t="shared" si="16"/>
        <v>-</v>
      </c>
      <c r="U16" s="66" t="str">
        <f>IF(U$7="","",IF(INDEX('Rooms Walls and Glass'!$D$3:$AB$17, MATCH($D16,'Rooms Walls and Glass'!$A$3:$A$17,0), MATCH('Unit 1 a'!U$7,'Rooms Walls and Glass'!$D$1:$AB$1,0))=0,"",INDEX('Rooms Walls and Glass'!$D$3:$AB$17, MATCH($D16,'Rooms Walls and Glass'!$A$3:$A$17,0), MATCH('Unit 1 a'!U$7,'Rooms Walls and Glass'!$D$1:$AB$1,0))))</f>
        <v/>
      </c>
      <c r="V16" s="68" t="str">
        <f t="shared" ref="V16" si="82">IF(U16="","-",U16*$G16)</f>
        <v>-</v>
      </c>
      <c r="W16" s="66" t="str">
        <f>IF(W$7="","",IF(INDEX('Rooms Walls and Glass'!$D$3:$AB$17, MATCH($D16,'Rooms Walls and Glass'!$A$3:$A$17,0), MATCH('Unit 1 a'!W$7,'Rooms Walls and Glass'!$D$1:$AB$1,0))=0,"",INDEX('Rooms Walls and Glass'!$D$3:$AB$17, MATCH($D16,'Rooms Walls and Glass'!$A$3:$A$17,0), MATCH('Unit 1 a'!W$7,'Rooms Walls and Glass'!$D$1:$AB$1,0))))</f>
        <v/>
      </c>
      <c r="X16" s="68" t="str">
        <f t="shared" ref="X16" si="83">IF(W16="","-",W16*$G16)</f>
        <v>-</v>
      </c>
      <c r="Y16" s="66" t="str">
        <f>IF(Y$7="","",IF(INDEX('Rooms Walls and Glass'!$D$3:$AB$17, MATCH($D16,'Rooms Walls and Glass'!$A$3:$A$17,0), MATCH('Unit 1 a'!Y$7,'Rooms Walls and Glass'!$D$1:$AB$1,0))=0,"",INDEX('Rooms Walls and Glass'!$D$3:$AB$17, MATCH($D16,'Rooms Walls and Glass'!$A$3:$A$17,0), MATCH('Unit 1 a'!Y$7,'Rooms Walls and Glass'!$D$1:$AB$1,0))))</f>
        <v/>
      </c>
      <c r="Z16" s="68" t="str">
        <f t="shared" ref="Z16" si="84">IF(Y16="","-",Y16*$G16)</f>
        <v>-</v>
      </c>
      <c r="AA16" s="66" t="str">
        <f>IF(AA$7="","",IF(INDEX('Rooms Walls and Glass'!$D$3:$AB$17, MATCH($D16,'Rooms Walls and Glass'!$A$3:$A$17,0), MATCH('Unit 1 a'!AA$7,'Rooms Walls and Glass'!$D$1:$AB$1,0))=0,"",INDEX('Rooms Walls and Glass'!$D$3:$AB$17, MATCH($D16,'Rooms Walls and Glass'!$A$3:$A$17,0), MATCH('Unit 1 a'!AA$7,'Rooms Walls and Glass'!$D$1:$AB$1,0))))</f>
        <v/>
      </c>
      <c r="AB16" s="68" t="str">
        <f t="shared" ref="AB16" si="85">IF(AA16="","-",AA16*$G16)</f>
        <v>-</v>
      </c>
      <c r="AC16" s="66" t="str">
        <f>IF(AC$7="","",IF(INDEX('Rooms Walls and Glass'!$D$3:$AB$17, MATCH($D16,'Rooms Walls and Glass'!$A$3:$A$17,0), MATCH('Unit 1 a'!AC$7,'Rooms Walls and Glass'!$D$1:$AB$1,0))=0,"",INDEX('Rooms Walls and Glass'!$D$3:$AB$17, MATCH($D16,'Rooms Walls and Glass'!$A$3:$A$17,0), MATCH('Unit 1 a'!AC$7,'Rooms Walls and Glass'!$D$1:$AB$1,0))))</f>
        <v/>
      </c>
      <c r="AD16" s="68" t="str">
        <f t="shared" si="21"/>
        <v>-</v>
      </c>
      <c r="AE16" s="66" t="str">
        <f>IF(AE$7="","",IF(INDEX('Rooms Walls and Glass'!$D$3:$AB$17, MATCH($D16,'Rooms Walls and Glass'!$A$3:$A$17,0), MATCH('Unit 1 a'!AE$7,'Rooms Walls and Glass'!$D$1:$AB$1,0))=0,"",INDEX('Rooms Walls and Glass'!$D$3:$AB$17, MATCH($D16,'Rooms Walls and Glass'!$A$3:$A$17,0), MATCH('Unit 1 a'!AE$7,'Rooms Walls and Glass'!$D$1:$AB$1,0))))</f>
        <v/>
      </c>
      <c r="AF16" s="68" t="str">
        <f t="shared" si="21"/>
        <v>-</v>
      </c>
      <c r="AG16" s="66" t="str">
        <f>IF(AG$7="","",IF(INDEX('Rooms Walls and Glass'!$D$3:$AB$17, MATCH($D16,'Rooms Walls and Glass'!$A$3:$A$17,0), MATCH('Unit 1 a'!AG$7,'Rooms Walls and Glass'!$D$1:$AB$1,0))=0,"",INDEX('Rooms Walls and Glass'!$D$3:$AB$17, MATCH($D16,'Rooms Walls and Glass'!$A$3:$A$17,0), MATCH('Unit 1 a'!AG$7,'Rooms Walls and Glass'!$D$1:$AB$1,0))))</f>
        <v/>
      </c>
      <c r="AH16" s="68" t="str">
        <f t="shared" ref="AH16" si="86">IF(AG16="","-",AG16*$G16)</f>
        <v>-</v>
      </c>
      <c r="AI16" s="66" t="str">
        <f>IF(AI$7="","",IF(INDEX('Rooms Walls and Glass'!$D$3:$AB$17, MATCH($D16,'Rooms Walls and Glass'!$A$3:$A$17,0), MATCH('Unit 1 a'!AI$7,'Rooms Walls and Glass'!$D$1:$AB$1,0))=0,"",INDEX('Rooms Walls and Glass'!$D$3:$AB$17, MATCH($D16,'Rooms Walls and Glass'!$A$3:$A$17,0), MATCH('Unit 1 a'!AI$7,'Rooms Walls and Glass'!$D$1:$AB$1,0))))</f>
        <v/>
      </c>
      <c r="AJ16" s="69" t="str">
        <f t="shared" si="23"/>
        <v>-</v>
      </c>
      <c r="AK16" s="66" t="str">
        <f>IF(AK$7="","",IF(INDEX('Rooms Walls and Glass'!$D$3:$AB$17, MATCH($D16,'Rooms Walls and Glass'!$A$3:$A$17,0), MATCH('Unit 1 a'!AK$7,'Rooms Walls and Glass'!$D$1:$AB$1,0))=0,"",INDEX('Rooms Walls and Glass'!$D$3:$AB$17, MATCH($D16,'Rooms Walls and Glass'!$A$3:$A$17,0), MATCH('Unit 1 a'!AK$7,'Rooms Walls and Glass'!$D$1:$AB$1,0))))</f>
        <v/>
      </c>
      <c r="AL16" s="69" t="str">
        <f t="shared" si="24"/>
        <v>-</v>
      </c>
      <c r="AM16" s="66" t="str">
        <f>IF(AM$7="","",IF(INDEX('Rooms Walls and Glass'!$D$3:$AB$17, MATCH($D16,'Rooms Walls and Glass'!$A$3:$A$17,0), MATCH('Unit 1 a'!AM$7,'Rooms Walls and Glass'!$D$1:$AB$1,0))=0,"",INDEX('Rooms Walls and Glass'!$D$3:$AB$17, MATCH($D16,'Rooms Walls and Glass'!$A$3:$A$17,0), MATCH('Unit 1 a'!AM$7,'Rooms Walls and Glass'!$D$1:$AB$1,0))))</f>
        <v/>
      </c>
      <c r="AN16" s="68" t="str">
        <f t="shared" si="25"/>
        <v>-</v>
      </c>
      <c r="AO16" s="66" t="str">
        <f>IF(AO$7="","",IF(INDEX('Rooms Walls and Glass'!$D$3:$AB$17, MATCH($D16,'Rooms Walls and Glass'!$A$3:$A$17,0), MATCH('Unit 1 a'!AO$7,'Rooms Walls and Glass'!$D$1:$AB$1,0))=0,"",INDEX('Rooms Walls and Glass'!$D$3:$AB$17, MATCH($D16,'Rooms Walls and Glass'!$A$3:$A$17,0), MATCH('Unit 1 a'!AO$7,'Rooms Walls and Glass'!$D$1:$AB$1,0))))</f>
        <v/>
      </c>
      <c r="AP16" s="69" t="str">
        <f t="shared" si="26"/>
        <v>-</v>
      </c>
    </row>
    <row r="17" spans="2:42" ht="11.25" customHeight="1" thickBot="1" x14ac:dyDescent="0.2">
      <c r="B17" s="214"/>
      <c r="C17" s="15" t="s">
        <v>7</v>
      </c>
      <c r="D17" s="13" t="str">
        <f>'Rooms Walls and Glass'!A16</f>
        <v>Sky Light</v>
      </c>
      <c r="E17" s="16"/>
      <c r="F17" s="16"/>
      <c r="G17" s="105">
        <v>40</v>
      </c>
      <c r="H17" s="16" t="s">
        <v>6</v>
      </c>
      <c r="I17" s="65">
        <f t="shared" si="10"/>
        <v>0</v>
      </c>
      <c r="J17" s="68">
        <f t="shared" ref="J17" si="87">IF(I17="","-",I17*$G17)</f>
        <v>0</v>
      </c>
      <c r="K17" s="66" t="str">
        <f>IF(K$7="","",IF(INDEX('Rooms Walls and Glass'!$D$3:$AB$17, MATCH($D17,'Rooms Walls and Glass'!$A$3:$A$17,0), MATCH('Unit 1 a'!K$7,'Rooms Walls and Glass'!$D$1:$AB$1,0))=0,"",INDEX('Rooms Walls and Glass'!$D$3:$AB$17, MATCH($D17,'Rooms Walls and Glass'!$A$3:$A$17,0), MATCH('Unit 1 a'!K$7,'Rooms Walls and Glass'!$D$1:$AB$1,0))))</f>
        <v/>
      </c>
      <c r="L17" s="68" t="str">
        <f t="shared" ref="L17" si="88">IF(K17="","-",K17*$G17)</f>
        <v>-</v>
      </c>
      <c r="M17" s="66" t="str">
        <f>IF(M$7="","",IF(INDEX('Rooms Walls and Glass'!$D$3:$AB$17, MATCH($D17,'Rooms Walls and Glass'!$A$3:$A$17,0), MATCH('Unit 1 a'!M$7,'Rooms Walls and Glass'!$D$1:$AB$1,0))=0,"",INDEX('Rooms Walls and Glass'!$D$3:$AB$17, MATCH($D17,'Rooms Walls and Glass'!$A$3:$A$17,0), MATCH('Unit 1 a'!M$7,'Rooms Walls and Glass'!$D$1:$AB$1,0))))</f>
        <v/>
      </c>
      <c r="N17" s="68" t="str">
        <f t="shared" ref="N17" si="89">IF(M17="","-",M17*$G17)</f>
        <v>-</v>
      </c>
      <c r="O17" s="66" t="str">
        <f>IF(O$7="","",IF(INDEX('Rooms Walls and Glass'!$D$3:$AB$17, MATCH($D17,'Rooms Walls and Glass'!$A$3:$A$17,0), MATCH('Unit 1 a'!O$7,'Rooms Walls and Glass'!$D$1:$AB$1,0))=0,"",INDEX('Rooms Walls and Glass'!$D$3:$AB$17, MATCH($D17,'Rooms Walls and Glass'!$A$3:$A$17,0), MATCH('Unit 1 a'!O$7,'Rooms Walls and Glass'!$D$1:$AB$1,0))))</f>
        <v/>
      </c>
      <c r="P17" s="68" t="str">
        <f t="shared" ref="P17" si="90">IF(O17="","-",O17*$G17)</f>
        <v>-</v>
      </c>
      <c r="Q17" s="66" t="str">
        <f>IF(Q$7="","",IF(INDEX('Rooms Walls and Glass'!$D$3:$AB$17, MATCH($D17,'Rooms Walls and Glass'!$A$3:$A$17,0), MATCH('Unit 1 a'!Q$7,'Rooms Walls and Glass'!$D$1:$AB$1,0))=0,"",INDEX('Rooms Walls and Glass'!$D$3:$AB$17, MATCH($D17,'Rooms Walls and Glass'!$A$3:$A$17,0), MATCH('Unit 1 a'!Q$7,'Rooms Walls and Glass'!$D$1:$AB$1,0))))</f>
        <v/>
      </c>
      <c r="R17" s="68" t="str">
        <f t="shared" ref="R17" si="91">IF(Q17="","-",Q17*$G17)</f>
        <v>-</v>
      </c>
      <c r="S17" s="66" t="str">
        <f>IF(S$7="","",IF(INDEX('Rooms Walls and Glass'!$D$3:$AB$17, MATCH($D17,'Rooms Walls and Glass'!$A$3:$A$17,0), MATCH('Unit 1 a'!S$7,'Rooms Walls and Glass'!$D$1:$AB$1,0))=0,"",INDEX('Rooms Walls and Glass'!$D$3:$AB$17, MATCH($D17,'Rooms Walls and Glass'!$A$3:$A$17,0), MATCH('Unit 1 a'!S$7,'Rooms Walls and Glass'!$D$1:$AB$1,0))))</f>
        <v/>
      </c>
      <c r="T17" s="68" t="str">
        <f t="shared" si="16"/>
        <v>-</v>
      </c>
      <c r="U17" s="66" t="str">
        <f>IF(U$7="","",IF(INDEX('Rooms Walls and Glass'!$D$3:$AB$17, MATCH($D17,'Rooms Walls and Glass'!$A$3:$A$17,0), MATCH('Unit 1 a'!U$7,'Rooms Walls and Glass'!$D$1:$AB$1,0))=0,"",INDEX('Rooms Walls and Glass'!$D$3:$AB$17, MATCH($D17,'Rooms Walls and Glass'!$A$3:$A$17,0), MATCH('Unit 1 a'!U$7,'Rooms Walls and Glass'!$D$1:$AB$1,0))))</f>
        <v/>
      </c>
      <c r="V17" s="68" t="str">
        <f t="shared" ref="V17" si="92">IF(U17="","-",U17*$G17)</f>
        <v>-</v>
      </c>
      <c r="W17" s="66" t="str">
        <f>IF(W$7="","",IF(INDEX('Rooms Walls and Glass'!$D$3:$AB$17, MATCH($D17,'Rooms Walls and Glass'!$A$3:$A$17,0), MATCH('Unit 1 a'!W$7,'Rooms Walls and Glass'!$D$1:$AB$1,0))=0,"",INDEX('Rooms Walls and Glass'!$D$3:$AB$17, MATCH($D17,'Rooms Walls and Glass'!$A$3:$A$17,0), MATCH('Unit 1 a'!W$7,'Rooms Walls and Glass'!$D$1:$AB$1,0))))</f>
        <v/>
      </c>
      <c r="X17" s="68" t="str">
        <f t="shared" ref="X17" si="93">IF(W17="","-",W17*$G17)</f>
        <v>-</v>
      </c>
      <c r="Y17" s="66" t="str">
        <f>IF(Y$7="","",IF(INDEX('Rooms Walls and Glass'!$D$3:$AB$17, MATCH($D17,'Rooms Walls and Glass'!$A$3:$A$17,0), MATCH('Unit 1 a'!Y$7,'Rooms Walls and Glass'!$D$1:$AB$1,0))=0,"",INDEX('Rooms Walls and Glass'!$D$3:$AB$17, MATCH($D17,'Rooms Walls and Glass'!$A$3:$A$17,0), MATCH('Unit 1 a'!Y$7,'Rooms Walls and Glass'!$D$1:$AB$1,0))))</f>
        <v/>
      </c>
      <c r="Z17" s="68" t="str">
        <f t="shared" ref="Z17" si="94">IF(Y17="","-",Y17*$G17)</f>
        <v>-</v>
      </c>
      <c r="AA17" s="66" t="str">
        <f>IF(AA$7="","",IF(INDEX('Rooms Walls and Glass'!$D$3:$AB$17, MATCH($D17,'Rooms Walls and Glass'!$A$3:$A$17,0), MATCH('Unit 1 a'!AA$7,'Rooms Walls and Glass'!$D$1:$AB$1,0))=0,"",INDEX('Rooms Walls and Glass'!$D$3:$AB$17, MATCH($D17,'Rooms Walls and Glass'!$A$3:$A$17,0), MATCH('Unit 1 a'!AA$7,'Rooms Walls and Glass'!$D$1:$AB$1,0))))</f>
        <v/>
      </c>
      <c r="AB17" s="68" t="str">
        <f t="shared" ref="AB17" si="95">IF(AA17="","-",AA17*$G17)</f>
        <v>-</v>
      </c>
      <c r="AC17" s="66" t="str">
        <f>IF(AC$7="","",IF(INDEX('Rooms Walls and Glass'!$D$3:$AB$17, MATCH($D17,'Rooms Walls and Glass'!$A$3:$A$17,0), MATCH('Unit 1 a'!AC$7,'Rooms Walls and Glass'!$D$1:$AB$1,0))=0,"",INDEX('Rooms Walls and Glass'!$D$3:$AB$17, MATCH($D17,'Rooms Walls and Glass'!$A$3:$A$17,0), MATCH('Unit 1 a'!AC$7,'Rooms Walls and Glass'!$D$1:$AB$1,0))))</f>
        <v/>
      </c>
      <c r="AD17" s="68" t="str">
        <f t="shared" si="21"/>
        <v>-</v>
      </c>
      <c r="AE17" s="66" t="str">
        <f>IF(AE$7="","",IF(INDEX('Rooms Walls and Glass'!$D$3:$AB$17, MATCH($D17,'Rooms Walls and Glass'!$A$3:$A$17,0), MATCH('Unit 1 a'!AE$7,'Rooms Walls and Glass'!$D$1:$AB$1,0))=0,"",INDEX('Rooms Walls and Glass'!$D$3:$AB$17, MATCH($D17,'Rooms Walls and Glass'!$A$3:$A$17,0), MATCH('Unit 1 a'!AE$7,'Rooms Walls and Glass'!$D$1:$AB$1,0))))</f>
        <v/>
      </c>
      <c r="AF17" s="68" t="str">
        <f t="shared" si="21"/>
        <v>-</v>
      </c>
      <c r="AG17" s="66" t="str">
        <f>IF(AG$7="","",IF(INDEX('Rooms Walls and Glass'!$D$3:$AB$17, MATCH($D17,'Rooms Walls and Glass'!$A$3:$A$17,0), MATCH('Unit 1 a'!AG$7,'Rooms Walls and Glass'!$D$1:$AB$1,0))=0,"",INDEX('Rooms Walls and Glass'!$D$3:$AB$17, MATCH($D17,'Rooms Walls and Glass'!$A$3:$A$17,0), MATCH('Unit 1 a'!AG$7,'Rooms Walls and Glass'!$D$1:$AB$1,0))))</f>
        <v/>
      </c>
      <c r="AH17" s="68" t="str">
        <f t="shared" ref="AH17" si="96">IF(AG17="","-",AG17*$G17)</f>
        <v>-</v>
      </c>
      <c r="AI17" s="66" t="str">
        <f>IF(AI$7="","",IF(INDEX('Rooms Walls and Glass'!$D$3:$AB$17, MATCH($D17,'Rooms Walls and Glass'!$A$3:$A$17,0), MATCH('Unit 1 a'!AI$7,'Rooms Walls and Glass'!$D$1:$AB$1,0))=0,"",INDEX('Rooms Walls and Glass'!$D$3:$AB$17, MATCH($D17,'Rooms Walls and Glass'!$A$3:$A$17,0), MATCH('Unit 1 a'!AI$7,'Rooms Walls and Glass'!$D$1:$AB$1,0))))</f>
        <v/>
      </c>
      <c r="AJ17" s="69" t="str">
        <f t="shared" si="23"/>
        <v>-</v>
      </c>
      <c r="AK17" s="66" t="str">
        <f>IF(AK$7="","",IF(INDEX('Rooms Walls and Glass'!$D$3:$AB$17, MATCH($D17,'Rooms Walls and Glass'!$A$3:$A$17,0), MATCH('Unit 1 a'!AK$7,'Rooms Walls and Glass'!$D$1:$AB$1,0))=0,"",INDEX('Rooms Walls and Glass'!$D$3:$AB$17, MATCH($D17,'Rooms Walls and Glass'!$A$3:$A$17,0), MATCH('Unit 1 a'!AK$7,'Rooms Walls and Glass'!$D$1:$AB$1,0))))</f>
        <v/>
      </c>
      <c r="AL17" s="69" t="str">
        <f t="shared" si="24"/>
        <v>-</v>
      </c>
      <c r="AM17" s="66" t="str">
        <f>IF(AM$7="","",IF(INDEX('Rooms Walls and Glass'!$D$3:$AB$17, MATCH($D17,'Rooms Walls and Glass'!$A$3:$A$17,0), MATCH('Unit 1 a'!AM$7,'Rooms Walls and Glass'!$D$1:$AB$1,0))=0,"",INDEX('Rooms Walls and Glass'!$D$3:$AB$17, MATCH($D17,'Rooms Walls and Glass'!$A$3:$A$17,0), MATCH('Unit 1 a'!AM$7,'Rooms Walls and Glass'!$D$1:$AB$1,0))))</f>
        <v/>
      </c>
      <c r="AN17" s="68" t="str">
        <f t="shared" si="25"/>
        <v>-</v>
      </c>
      <c r="AO17" s="66" t="str">
        <f>IF(AO$7="","",IF(INDEX('Rooms Walls and Glass'!$D$3:$AB$17, MATCH($D17,'Rooms Walls and Glass'!$A$3:$A$17,0), MATCH('Unit 1 a'!AO$7,'Rooms Walls and Glass'!$D$1:$AB$1,0))=0,"",INDEX('Rooms Walls and Glass'!$D$3:$AB$17, MATCH($D17,'Rooms Walls and Glass'!$A$3:$A$17,0), MATCH('Unit 1 a'!AO$7,'Rooms Walls and Glass'!$D$1:$AB$1,0))))</f>
        <v/>
      </c>
      <c r="AP17" s="69" t="str">
        <f t="shared" si="26"/>
        <v>-</v>
      </c>
    </row>
    <row r="18" spans="2:42" ht="11.25" customHeight="1" thickBot="1" x14ac:dyDescent="0.2">
      <c r="B18" s="213"/>
      <c r="C18" s="17" t="s">
        <v>7</v>
      </c>
      <c r="D18" s="13" t="str">
        <f>'Rooms Walls and Glass'!A17</f>
        <v>Shaded</v>
      </c>
      <c r="E18" s="18"/>
      <c r="F18" s="18"/>
      <c r="G18" s="104">
        <f>'Glass CLF Calculation'!G5</f>
        <v>6.2012662222222215</v>
      </c>
      <c r="H18" s="18" t="s">
        <v>6</v>
      </c>
      <c r="I18" s="65">
        <f t="shared" si="10"/>
        <v>0</v>
      </c>
      <c r="J18" s="70">
        <f t="shared" ref="J18:J49" si="97">IF(I18="","-",I18*$G18)</f>
        <v>0</v>
      </c>
      <c r="K18" s="66" t="str">
        <f>IF(K$7="","",IF(INDEX('Rooms Walls and Glass'!$D$3:$AB$17, MATCH($D18,'Rooms Walls and Glass'!$A$3:$A$17,0), MATCH('Unit 1 a'!K$7,'Rooms Walls and Glass'!$D$1:$AB$1,0))=0,"",INDEX('Rooms Walls and Glass'!$D$3:$AB$17, MATCH($D18,'Rooms Walls and Glass'!$A$3:$A$17,0), MATCH('Unit 1 a'!K$7,'Rooms Walls and Glass'!$D$1:$AB$1,0))))</f>
        <v/>
      </c>
      <c r="L18" s="70" t="str">
        <f t="shared" ref="L18:L55" si="98">IF(K18="","-",K18*$G18)</f>
        <v>-</v>
      </c>
      <c r="M18" s="66" t="str">
        <f>IF(M$7="","",IF(INDEX('Rooms Walls and Glass'!$D$3:$AB$17, MATCH($D18,'Rooms Walls and Glass'!$A$3:$A$17,0), MATCH('Unit 1 a'!M$7,'Rooms Walls and Glass'!$D$1:$AB$1,0))=0,"",INDEX('Rooms Walls and Glass'!$D$3:$AB$17, MATCH($D18,'Rooms Walls and Glass'!$A$3:$A$17,0), MATCH('Unit 1 a'!M$7,'Rooms Walls and Glass'!$D$1:$AB$1,0))))</f>
        <v/>
      </c>
      <c r="N18" s="70" t="str">
        <f t="shared" ref="N18:N55" si="99">IF(M18="","-",M18*$G18)</f>
        <v>-</v>
      </c>
      <c r="O18" s="66" t="str">
        <f>IF(O$7="","",IF(INDEX('Rooms Walls and Glass'!$D$3:$AB$17, MATCH($D18,'Rooms Walls and Glass'!$A$3:$A$17,0), MATCH('Unit 1 a'!O$7,'Rooms Walls and Glass'!$D$1:$AB$1,0))=0,"",INDEX('Rooms Walls and Glass'!$D$3:$AB$17, MATCH($D18,'Rooms Walls and Glass'!$A$3:$A$17,0), MATCH('Unit 1 a'!O$7,'Rooms Walls and Glass'!$D$1:$AB$1,0))))</f>
        <v/>
      </c>
      <c r="P18" s="70" t="str">
        <f t="shared" ref="P18:P55" si="100">IF(O18="","-",O18*$G18)</f>
        <v>-</v>
      </c>
      <c r="Q18" s="66" t="str">
        <f>IF(Q$7="","",IF(INDEX('Rooms Walls and Glass'!$D$3:$AB$17, MATCH($D18,'Rooms Walls and Glass'!$A$3:$A$17,0), MATCH('Unit 1 a'!Q$7,'Rooms Walls and Glass'!$D$1:$AB$1,0))=0,"",INDEX('Rooms Walls and Glass'!$D$3:$AB$17, MATCH($D18,'Rooms Walls and Glass'!$A$3:$A$17,0), MATCH('Unit 1 a'!Q$7,'Rooms Walls and Glass'!$D$1:$AB$1,0))))</f>
        <v/>
      </c>
      <c r="R18" s="70" t="str">
        <f t="shared" ref="R18:R55" si="101">IF(Q18="","-",Q18*$G18)</f>
        <v>-</v>
      </c>
      <c r="S18" s="66" t="str">
        <f>IF(S$7="","",IF(INDEX('Rooms Walls and Glass'!$D$3:$AB$17, MATCH($D18,'Rooms Walls and Glass'!$A$3:$A$17,0), MATCH('Unit 1 a'!S$7,'Rooms Walls and Glass'!$D$1:$AB$1,0))=0,"",INDEX('Rooms Walls and Glass'!$D$3:$AB$17, MATCH($D18,'Rooms Walls and Glass'!$A$3:$A$17,0), MATCH('Unit 1 a'!S$7,'Rooms Walls and Glass'!$D$1:$AB$1,0))))</f>
        <v/>
      </c>
      <c r="T18" s="70" t="str">
        <f t="shared" si="16"/>
        <v>-</v>
      </c>
      <c r="U18" s="66" t="str">
        <f>IF(U$7="","",IF(INDEX('Rooms Walls and Glass'!$D$3:$AB$17, MATCH($D18,'Rooms Walls and Glass'!$A$3:$A$17,0), MATCH('Unit 1 a'!U$7,'Rooms Walls and Glass'!$D$1:$AB$1,0))=0,"",INDEX('Rooms Walls and Glass'!$D$3:$AB$17, MATCH($D18,'Rooms Walls and Glass'!$A$3:$A$17,0), MATCH('Unit 1 a'!U$7,'Rooms Walls and Glass'!$D$1:$AB$1,0))))</f>
        <v/>
      </c>
      <c r="V18" s="70" t="str">
        <f t="shared" ref="V18:V55" si="102">IF(U18="","-",U18*$G18)</f>
        <v>-</v>
      </c>
      <c r="W18" s="66" t="str">
        <f>IF(W$7="","",IF(INDEX('Rooms Walls and Glass'!$D$3:$AB$17, MATCH($D18,'Rooms Walls and Glass'!$A$3:$A$17,0), MATCH('Unit 1 a'!W$7,'Rooms Walls and Glass'!$D$1:$AB$1,0))=0,"",INDEX('Rooms Walls and Glass'!$D$3:$AB$17, MATCH($D18,'Rooms Walls and Glass'!$A$3:$A$17,0), MATCH('Unit 1 a'!W$7,'Rooms Walls and Glass'!$D$1:$AB$1,0))))</f>
        <v/>
      </c>
      <c r="X18" s="70" t="str">
        <f t="shared" ref="X18:X55" si="103">IF(W18="","-",W18*$G18)</f>
        <v>-</v>
      </c>
      <c r="Y18" s="66" t="str">
        <f>IF(Y$7="","",IF(INDEX('Rooms Walls and Glass'!$D$3:$AB$17, MATCH($D18,'Rooms Walls and Glass'!$A$3:$A$17,0), MATCH('Unit 1 a'!Y$7,'Rooms Walls and Glass'!$D$1:$AB$1,0))=0,"",INDEX('Rooms Walls and Glass'!$D$3:$AB$17, MATCH($D18,'Rooms Walls and Glass'!$A$3:$A$17,0), MATCH('Unit 1 a'!Y$7,'Rooms Walls and Glass'!$D$1:$AB$1,0))))</f>
        <v/>
      </c>
      <c r="Z18" s="70" t="str">
        <f t="shared" ref="Z18:Z55" si="104">IF(Y18="","-",Y18*$G18)</f>
        <v>-</v>
      </c>
      <c r="AA18" s="66" t="str">
        <f>IF(AA$7="","",IF(INDEX('Rooms Walls and Glass'!$D$3:$AB$17, MATCH($D18,'Rooms Walls and Glass'!$A$3:$A$17,0), MATCH('Unit 1 a'!AA$7,'Rooms Walls and Glass'!$D$1:$AB$1,0))=0,"",INDEX('Rooms Walls and Glass'!$D$3:$AB$17, MATCH($D18,'Rooms Walls and Glass'!$A$3:$A$17,0), MATCH('Unit 1 a'!AA$7,'Rooms Walls and Glass'!$D$1:$AB$1,0))))</f>
        <v/>
      </c>
      <c r="AB18" s="70" t="str">
        <f t="shared" ref="AB18:AB55" si="105">IF(AA18="","-",AA18*$G18)</f>
        <v>-</v>
      </c>
      <c r="AC18" s="66" t="str">
        <f>IF(AC$7="","",IF(INDEX('Rooms Walls and Glass'!$D$3:$AB$17, MATCH($D18,'Rooms Walls and Glass'!$A$3:$A$17,0), MATCH('Unit 1 a'!AC$7,'Rooms Walls and Glass'!$D$1:$AB$1,0))=0,"",INDEX('Rooms Walls and Glass'!$D$3:$AB$17, MATCH($D18,'Rooms Walls and Glass'!$A$3:$A$17,0), MATCH('Unit 1 a'!AC$7,'Rooms Walls and Glass'!$D$1:$AB$1,0))))</f>
        <v/>
      </c>
      <c r="AD18" s="70" t="str">
        <f t="shared" si="21"/>
        <v>-</v>
      </c>
      <c r="AE18" s="66" t="str">
        <f>IF(AE$7="","",IF(INDEX('Rooms Walls and Glass'!$D$3:$AB$17, MATCH($D18,'Rooms Walls and Glass'!$A$3:$A$17,0), MATCH('Unit 1 a'!AE$7,'Rooms Walls and Glass'!$D$1:$AB$1,0))=0,"",INDEX('Rooms Walls and Glass'!$D$3:$AB$17, MATCH($D18,'Rooms Walls and Glass'!$A$3:$A$17,0), MATCH('Unit 1 a'!AE$7,'Rooms Walls and Glass'!$D$1:$AB$1,0))))</f>
        <v/>
      </c>
      <c r="AF18" s="70" t="str">
        <f t="shared" si="21"/>
        <v>-</v>
      </c>
      <c r="AG18" s="66" t="str">
        <f>IF(AG$7="","",IF(INDEX('Rooms Walls and Glass'!$D$3:$AB$17, MATCH($D18,'Rooms Walls and Glass'!$A$3:$A$17,0), MATCH('Unit 1 a'!AG$7,'Rooms Walls and Glass'!$D$1:$AB$1,0))=0,"",INDEX('Rooms Walls and Glass'!$D$3:$AB$17, MATCH($D18,'Rooms Walls and Glass'!$A$3:$A$17,0), MATCH('Unit 1 a'!AG$7,'Rooms Walls and Glass'!$D$1:$AB$1,0))))</f>
        <v/>
      </c>
      <c r="AH18" s="70" t="str">
        <f t="shared" ref="AH18:AH55" si="106">IF(AG18="","-",AG18*$G18)</f>
        <v>-</v>
      </c>
      <c r="AI18" s="66" t="str">
        <f>IF(AI$7="","",IF(INDEX('Rooms Walls and Glass'!$D$3:$AB$17, MATCH($D18,'Rooms Walls and Glass'!$A$3:$A$17,0), MATCH('Unit 1 a'!AI$7,'Rooms Walls and Glass'!$D$1:$AB$1,0))=0,"",INDEX('Rooms Walls and Glass'!$D$3:$AB$17, MATCH($D18,'Rooms Walls and Glass'!$A$3:$A$17,0), MATCH('Unit 1 a'!AI$7,'Rooms Walls and Glass'!$D$1:$AB$1,0))))</f>
        <v/>
      </c>
      <c r="AJ18" s="71" t="str">
        <f t="shared" si="23"/>
        <v>-</v>
      </c>
      <c r="AK18" s="66" t="str">
        <f>IF(AK$7="","",IF(INDEX('Rooms Walls and Glass'!$D$3:$AB$17, MATCH($D18,'Rooms Walls and Glass'!$A$3:$A$17,0), MATCH('Unit 1 a'!AK$7,'Rooms Walls and Glass'!$D$1:$AB$1,0))=0,"",INDEX('Rooms Walls and Glass'!$D$3:$AB$17, MATCH($D18,'Rooms Walls and Glass'!$A$3:$A$17,0), MATCH('Unit 1 a'!AK$7,'Rooms Walls and Glass'!$D$1:$AB$1,0))))</f>
        <v/>
      </c>
      <c r="AL18" s="71" t="str">
        <f t="shared" si="24"/>
        <v>-</v>
      </c>
      <c r="AM18" s="66" t="str">
        <f>IF(AM$7="","",IF(INDEX('Rooms Walls and Glass'!$D$3:$AB$17, MATCH($D18,'Rooms Walls and Glass'!$A$3:$A$17,0), MATCH('Unit 1 a'!AM$7,'Rooms Walls and Glass'!$D$1:$AB$1,0))=0,"",INDEX('Rooms Walls and Glass'!$D$3:$AB$17, MATCH($D18,'Rooms Walls and Glass'!$A$3:$A$17,0), MATCH('Unit 1 a'!AM$7,'Rooms Walls and Glass'!$D$1:$AB$1,0))))</f>
        <v/>
      </c>
      <c r="AN18" s="70" t="str">
        <f t="shared" si="25"/>
        <v>-</v>
      </c>
      <c r="AO18" s="66" t="str">
        <f>IF(AO$7="","",IF(INDEX('Rooms Walls and Glass'!$D$3:$AB$17, MATCH($D18,'Rooms Walls and Glass'!$A$3:$A$17,0), MATCH('Unit 1 a'!AO$7,'Rooms Walls and Glass'!$D$1:$AB$1,0))=0,"",INDEX('Rooms Walls and Glass'!$D$3:$AB$17, MATCH($D18,'Rooms Walls and Glass'!$A$3:$A$17,0), MATCH('Unit 1 a'!AO$7,'Rooms Walls and Glass'!$D$1:$AB$1,0))))</f>
        <v/>
      </c>
      <c r="AP18" s="71" t="str">
        <f t="shared" si="26"/>
        <v>-</v>
      </c>
    </row>
    <row r="19" spans="2:42" ht="11.25" customHeight="1" thickBot="1" x14ac:dyDescent="0.2">
      <c r="B19" s="212" t="s">
        <v>37</v>
      </c>
      <c r="C19" s="12" t="s">
        <v>33</v>
      </c>
      <c r="D19" s="13" t="s">
        <v>237</v>
      </c>
      <c r="E19" s="13">
        <f>INDEX('Glass CLF Calculation'!$A$17:$G$18,MATCH('Unit 1 a'!C19,'Glass CLF Calculation'!$A$17:$A$18,0),7)</f>
        <v>21</v>
      </c>
      <c r="F19" s="14">
        <f>INDEX(Summary!$F$19:$F$30,MATCH('Unit 1 a'!C19,Summary!$D$19:$D$30,0))</f>
        <v>0.5</v>
      </c>
      <c r="G19" s="14">
        <f>F19*E19</f>
        <v>10.5</v>
      </c>
      <c r="H19" s="13" t="s">
        <v>6</v>
      </c>
      <c r="I19" s="65">
        <f t="shared" si="10"/>
        <v>0</v>
      </c>
      <c r="J19" s="65">
        <f t="shared" si="97"/>
        <v>0</v>
      </c>
      <c r="K19" s="66" t="str">
        <f>IF(K$7="","",IF(INDEX('Rooms Walls and Glass'!$D$8:$AB$19, MATCH($D19,'Rooms Walls and Glass'!$A$8:$A$19,0), MATCH('Unit 1 a'!K$7,'Rooms Walls and Glass'!$D$1:$AB$1,0))=0,"",INDEX('Rooms Walls and Glass'!$D$8:$AB$19, MATCH($D19,'Rooms Walls and Glass'!$A$8:$A$19,0), MATCH('Unit 1 a'!K$7,'Rooms Walls and Glass'!$D$1:$AB$1,0))))</f>
        <v/>
      </c>
      <c r="L19" s="65" t="str">
        <f t="shared" si="98"/>
        <v>-</v>
      </c>
      <c r="M19" s="66" t="str">
        <f>IF(M$7="","",IF(INDEX('Rooms Walls and Glass'!$D$8:$AB$19, MATCH($D19,'Rooms Walls and Glass'!$A$8:$A$19,0), MATCH('Unit 1 a'!M$7,'Rooms Walls and Glass'!$D$1:$AB$1,0))=0,"",INDEX('Rooms Walls and Glass'!$D$8:$AB$19, MATCH($D19,'Rooms Walls and Glass'!$A$8:$A$19,0), MATCH('Unit 1 a'!M$7,'Rooms Walls and Glass'!$D$1:$AB$1,0))))</f>
        <v/>
      </c>
      <c r="N19" s="65" t="str">
        <f t="shared" si="99"/>
        <v>-</v>
      </c>
      <c r="O19" s="66" t="str">
        <f>IF(O$7="","",IF(INDEX('Rooms Walls and Glass'!$D$8:$AB$19, MATCH($D19,'Rooms Walls and Glass'!$A$8:$A$19,0), MATCH('Unit 1 a'!O$7,'Rooms Walls and Glass'!$D$1:$AB$1,0))=0,"",INDEX('Rooms Walls and Glass'!$D$8:$AB$19, MATCH($D19,'Rooms Walls and Glass'!$A$8:$A$19,0), MATCH('Unit 1 a'!O$7,'Rooms Walls and Glass'!$D$1:$AB$1,0))))</f>
        <v/>
      </c>
      <c r="P19" s="65" t="str">
        <f t="shared" si="100"/>
        <v>-</v>
      </c>
      <c r="Q19" s="66" t="str">
        <f>IF(Q$7="","",IF(INDEX('Rooms Walls and Glass'!$D$8:$AB$19, MATCH($D19,'Rooms Walls and Glass'!$A$8:$A$19,0), MATCH('Unit 1 a'!Q$7,'Rooms Walls and Glass'!$D$1:$AB$1,0))=0,"",INDEX('Rooms Walls and Glass'!$D$8:$AB$19, MATCH($D19,'Rooms Walls and Glass'!$A$8:$A$19,0), MATCH('Unit 1 a'!Q$7,'Rooms Walls and Glass'!$D$1:$AB$1,0))))</f>
        <v/>
      </c>
      <c r="R19" s="65" t="str">
        <f t="shared" si="101"/>
        <v>-</v>
      </c>
      <c r="S19" s="66" t="str">
        <f>IF(S$7="","",IF(INDEX('Rooms Walls and Glass'!$D$8:$AB$19, MATCH($D19,'Rooms Walls and Glass'!$A$8:$A$19,0), MATCH('Unit 1 a'!S$7,'Rooms Walls and Glass'!$D$1:$AB$1,0))=0,"",INDEX('Rooms Walls and Glass'!$D$8:$AB$19, MATCH($D19,'Rooms Walls and Glass'!$A$8:$A$19,0), MATCH('Unit 1 a'!S$7,'Rooms Walls and Glass'!$D$1:$AB$1,0))))</f>
        <v/>
      </c>
      <c r="T19" s="65" t="str">
        <f t="shared" si="16"/>
        <v>-</v>
      </c>
      <c r="U19" s="66" t="str">
        <f>IF(U$7="","",IF(INDEX('Rooms Walls and Glass'!$D$8:$AB$19, MATCH($D19,'Rooms Walls and Glass'!$A$8:$A$19,0), MATCH('Unit 1 a'!U$7,'Rooms Walls and Glass'!$D$1:$AB$1,0))=0,"",INDEX('Rooms Walls and Glass'!$D$8:$AB$19, MATCH($D19,'Rooms Walls and Glass'!$A$8:$A$19,0), MATCH('Unit 1 a'!U$7,'Rooms Walls and Glass'!$D$1:$AB$1,0))))</f>
        <v/>
      </c>
      <c r="V19" s="65" t="str">
        <f t="shared" si="102"/>
        <v>-</v>
      </c>
      <c r="W19" s="66" t="str">
        <f>IF(W$7="","",IF(INDEX('Rooms Walls and Glass'!$D$8:$AB$19, MATCH($D19,'Rooms Walls and Glass'!$A$8:$A$19,0), MATCH('Unit 1 a'!W$7,'Rooms Walls and Glass'!$D$1:$AB$1,0))=0,"",INDEX('Rooms Walls and Glass'!$D$8:$AB$19, MATCH($D19,'Rooms Walls and Glass'!$A$8:$A$19,0), MATCH('Unit 1 a'!W$7,'Rooms Walls and Glass'!$D$1:$AB$1,0))))</f>
        <v/>
      </c>
      <c r="X19" s="65" t="str">
        <f t="shared" si="103"/>
        <v>-</v>
      </c>
      <c r="Y19" s="66" t="str">
        <f>IF(Y$7="","",IF(INDEX('Rooms Walls and Glass'!$D$8:$AB$19, MATCH($D19,'Rooms Walls and Glass'!$A$8:$A$19,0), MATCH('Unit 1 a'!Y$7,'Rooms Walls and Glass'!$D$1:$AB$1,0))=0,"",INDEX('Rooms Walls and Glass'!$D$8:$AB$19, MATCH($D19,'Rooms Walls and Glass'!$A$8:$A$19,0), MATCH('Unit 1 a'!Y$7,'Rooms Walls and Glass'!$D$1:$AB$1,0))))</f>
        <v/>
      </c>
      <c r="Z19" s="65" t="str">
        <f t="shared" si="104"/>
        <v>-</v>
      </c>
      <c r="AA19" s="66" t="str">
        <f>IF(AA$7="","",IF(INDEX('Rooms Walls and Glass'!$D$8:$AB$19, MATCH($D19,'Rooms Walls and Glass'!$A$8:$A$19,0), MATCH('Unit 1 a'!AA$7,'Rooms Walls and Glass'!$D$1:$AB$1,0))=0,"",INDEX('Rooms Walls and Glass'!$D$8:$AB$19, MATCH($D19,'Rooms Walls and Glass'!$A$8:$A$19,0), MATCH('Unit 1 a'!AA$7,'Rooms Walls and Glass'!$D$1:$AB$1,0))))</f>
        <v/>
      </c>
      <c r="AB19" s="65" t="str">
        <f t="shared" si="105"/>
        <v>-</v>
      </c>
      <c r="AC19" s="66" t="str">
        <f>IF(AC$7="","",IF(INDEX('Rooms Walls and Glass'!$D$8:$AB$19, MATCH($D19,'Rooms Walls and Glass'!$A$8:$A$19,0), MATCH('Unit 1 a'!AC$7,'Rooms Walls and Glass'!$D$1:$AB$1,0))=0,"",INDEX('Rooms Walls and Glass'!$D$8:$AB$19, MATCH($D19,'Rooms Walls and Glass'!$A$8:$A$19,0), MATCH('Unit 1 a'!AC$7,'Rooms Walls and Glass'!$D$1:$AB$1,0))))</f>
        <v/>
      </c>
      <c r="AD19" s="65" t="str">
        <f t="shared" ref="AD19" si="107">IF(AC19="","-",AC19*$G19)</f>
        <v>-</v>
      </c>
      <c r="AE19" s="66" t="str">
        <f>IF(AE$7="","",IF(INDEX('Rooms Walls and Glass'!$D$8:$AB$19, MATCH($D19,'Rooms Walls and Glass'!$A$8:$A$19,0), MATCH('Unit 1 a'!AE$7,'Rooms Walls and Glass'!$D$1:$AB$1,0))=0,"",INDEX('Rooms Walls and Glass'!$D$8:$AB$19, MATCH($D19,'Rooms Walls and Glass'!$A$8:$A$19,0), MATCH('Unit 1 a'!AE$7,'Rooms Walls and Glass'!$D$1:$AB$1,0))))</f>
        <v/>
      </c>
      <c r="AF19" s="65" t="str">
        <f t="shared" ref="AF19" si="108">IF(AE19="","-",AE19*$G19)</f>
        <v>-</v>
      </c>
      <c r="AG19" s="66" t="str">
        <f>IF(AG$7="","",IF(INDEX('Rooms Walls and Glass'!$D$8:$AB$19, MATCH($D19,'Rooms Walls and Glass'!$A$8:$A$19,0), MATCH('Unit 1 a'!AG$7,'Rooms Walls and Glass'!$D$1:$AB$1,0))=0,"",INDEX('Rooms Walls and Glass'!$D$8:$AB$19, MATCH($D19,'Rooms Walls and Glass'!$A$8:$A$19,0), MATCH('Unit 1 a'!AG$7,'Rooms Walls and Glass'!$D$1:$AB$1,0))))</f>
        <v/>
      </c>
      <c r="AH19" s="65" t="str">
        <f t="shared" si="106"/>
        <v>-</v>
      </c>
      <c r="AI19" s="66" t="str">
        <f>IF(AI$7="","",IF(INDEX('Rooms Walls and Glass'!$D$8:$AB$19, MATCH($D19,'Rooms Walls and Glass'!$A$8:$A$19,0), MATCH('Unit 1 a'!AI$7,'Rooms Walls and Glass'!$D$1:$AB$1,0))=0,"",INDEX('Rooms Walls and Glass'!$D$8:$AB$19, MATCH($D19,'Rooms Walls and Glass'!$A$8:$A$19,0), MATCH('Unit 1 a'!AI$7,'Rooms Walls and Glass'!$D$1:$AB$1,0))))</f>
        <v/>
      </c>
      <c r="AJ19" s="67" t="str">
        <f t="shared" si="23"/>
        <v>-</v>
      </c>
      <c r="AK19" s="66" t="str">
        <f>IF(AK$7="","",IF(INDEX('Rooms Walls and Glass'!$D$8:$AB$19, MATCH($D19,'Rooms Walls and Glass'!$A$8:$A$19,0), MATCH('Unit 1 a'!AK$7,'Rooms Walls and Glass'!$D$1:$AB$1,0))=0,"",INDEX('Rooms Walls and Glass'!$D$8:$AB$19, MATCH($D19,'Rooms Walls and Glass'!$A$8:$A$19,0), MATCH('Unit 1 a'!AK$7,'Rooms Walls and Glass'!$D$1:$AB$1,0))))</f>
        <v/>
      </c>
      <c r="AL19" s="67" t="str">
        <f t="shared" si="24"/>
        <v>-</v>
      </c>
      <c r="AM19" s="66" t="str">
        <f>IF(AM$7="","",IF(INDEX('Rooms Walls and Glass'!$D$8:$AB$19, MATCH($D19,'Rooms Walls and Glass'!$A$8:$A$19,0), MATCH('Unit 1 a'!AM$7,'Rooms Walls and Glass'!$D$1:$AB$1,0))=0,"",INDEX('Rooms Walls and Glass'!$D$8:$AB$19, MATCH($D19,'Rooms Walls and Glass'!$A$8:$A$19,0), MATCH('Unit 1 a'!AM$7,'Rooms Walls and Glass'!$D$1:$AB$1,0))))</f>
        <v/>
      </c>
      <c r="AN19" s="65" t="str">
        <f t="shared" si="25"/>
        <v>-</v>
      </c>
      <c r="AO19" s="66" t="str">
        <f>IF(AO$7="","",IF(INDEX('Rooms Walls and Glass'!$D$8:$AB$19, MATCH($D19,'Rooms Walls and Glass'!$A$8:$A$19,0), MATCH('Unit 1 a'!AO$7,'Rooms Walls and Glass'!$D$1:$AB$1,0))=0,"",INDEX('Rooms Walls and Glass'!$D$8:$AB$19, MATCH($D19,'Rooms Walls and Glass'!$A$8:$A$19,0), MATCH('Unit 1 a'!AO$7,'Rooms Walls and Glass'!$D$1:$AB$1,0))))</f>
        <v/>
      </c>
      <c r="AP19" s="67" t="str">
        <f t="shared" si="26"/>
        <v>-</v>
      </c>
    </row>
    <row r="20" spans="2:42" ht="11.25" customHeight="1" thickBot="1" x14ac:dyDescent="0.2">
      <c r="B20" s="213"/>
      <c r="C20" s="17" t="s">
        <v>34</v>
      </c>
      <c r="D20" s="18" t="s">
        <v>238</v>
      </c>
      <c r="E20" s="13">
        <f>INDEX('Glass CLF Calculation'!$A$17:$G$18,MATCH('Unit 1 a'!C20,'Glass CLF Calculation'!$A$17:$A$18,0),7)</f>
        <v>30</v>
      </c>
      <c r="F20" s="14">
        <f>INDEX(Summary!$F$19:$F$30,MATCH('Unit 1 a'!C20,Summary!$D$19:$D$30,0))</f>
        <v>0.5</v>
      </c>
      <c r="G20" s="14">
        <f t="shared" ref="G20:G46" si="109">F20*E20</f>
        <v>15</v>
      </c>
      <c r="H20" s="18" t="s">
        <v>6</v>
      </c>
      <c r="I20" s="65">
        <f t="shared" si="10"/>
        <v>0</v>
      </c>
      <c r="J20" s="70">
        <f t="shared" si="97"/>
        <v>0</v>
      </c>
      <c r="K20" s="66" t="str">
        <f>IF(K$7="","",IF(INDEX('Rooms Walls and Glass'!$D$8:$AB$19, MATCH($D20,'Rooms Walls and Glass'!$A$8:$A$19,0), MATCH('Unit 1 a'!K$7,'Rooms Walls and Glass'!$D$1:$AB$1,0))=0,"",INDEX('Rooms Walls and Glass'!$D$8:$AB$19, MATCH($D20,'Rooms Walls and Glass'!$A$8:$A$19,0), MATCH('Unit 1 a'!K$7,'Rooms Walls and Glass'!$D$1:$AB$1,0))))</f>
        <v/>
      </c>
      <c r="L20" s="70" t="str">
        <f t="shared" si="98"/>
        <v>-</v>
      </c>
      <c r="M20" s="66" t="str">
        <f>IF(M$7="","",IF(INDEX('Rooms Walls and Glass'!$D$8:$AB$19, MATCH($D20,'Rooms Walls and Glass'!$A$8:$A$19,0), MATCH('Unit 1 a'!M$7,'Rooms Walls and Glass'!$D$1:$AB$1,0))=0,"",INDEX('Rooms Walls and Glass'!$D$8:$AB$19, MATCH($D20,'Rooms Walls and Glass'!$A$8:$A$19,0), MATCH('Unit 1 a'!M$7,'Rooms Walls and Glass'!$D$1:$AB$1,0))))</f>
        <v/>
      </c>
      <c r="N20" s="70" t="str">
        <f t="shared" si="99"/>
        <v>-</v>
      </c>
      <c r="O20" s="66" t="str">
        <f>IF(O$7="","",IF(INDEX('Rooms Walls and Glass'!$D$8:$AB$19, MATCH($D20,'Rooms Walls and Glass'!$A$8:$A$19,0), MATCH('Unit 1 a'!O$7,'Rooms Walls and Glass'!$D$1:$AB$1,0))=0,"",INDEX('Rooms Walls and Glass'!$D$8:$AB$19, MATCH($D20,'Rooms Walls and Glass'!$A$8:$A$19,0), MATCH('Unit 1 a'!O$7,'Rooms Walls and Glass'!$D$1:$AB$1,0))))</f>
        <v/>
      </c>
      <c r="P20" s="70" t="str">
        <f t="shared" si="100"/>
        <v>-</v>
      </c>
      <c r="Q20" s="66" t="str">
        <f>IF(Q$7="","",IF(INDEX('Rooms Walls and Glass'!$D$8:$AB$19, MATCH($D20,'Rooms Walls and Glass'!$A$8:$A$19,0), MATCH('Unit 1 a'!Q$7,'Rooms Walls and Glass'!$D$1:$AB$1,0))=0,"",INDEX('Rooms Walls and Glass'!$D$8:$AB$19, MATCH($D20,'Rooms Walls and Glass'!$A$8:$A$19,0), MATCH('Unit 1 a'!Q$7,'Rooms Walls and Glass'!$D$1:$AB$1,0))))</f>
        <v/>
      </c>
      <c r="R20" s="70" t="str">
        <f t="shared" si="101"/>
        <v>-</v>
      </c>
      <c r="S20" s="66" t="str">
        <f>IF(S$7="","",IF(INDEX('Rooms Walls and Glass'!$D$8:$AB$19, MATCH($D20,'Rooms Walls and Glass'!$A$8:$A$19,0), MATCH('Unit 1 a'!S$7,'Rooms Walls and Glass'!$D$1:$AB$1,0))=0,"",INDEX('Rooms Walls and Glass'!$D$8:$AB$19, MATCH($D20,'Rooms Walls and Glass'!$A$8:$A$19,0), MATCH('Unit 1 a'!S$7,'Rooms Walls and Glass'!$D$1:$AB$1,0))))</f>
        <v/>
      </c>
      <c r="T20" s="70" t="str">
        <f t="shared" si="16"/>
        <v>-</v>
      </c>
      <c r="U20" s="66" t="str">
        <f>IF(U$7="","",IF(INDEX('Rooms Walls and Glass'!$D$8:$AB$19, MATCH($D20,'Rooms Walls and Glass'!$A$8:$A$19,0), MATCH('Unit 1 a'!U$7,'Rooms Walls and Glass'!$D$1:$AB$1,0))=0,"",INDEX('Rooms Walls and Glass'!$D$8:$AB$19, MATCH($D20,'Rooms Walls and Glass'!$A$8:$A$19,0), MATCH('Unit 1 a'!U$7,'Rooms Walls and Glass'!$D$1:$AB$1,0))))</f>
        <v/>
      </c>
      <c r="V20" s="70" t="str">
        <f t="shared" si="102"/>
        <v>-</v>
      </c>
      <c r="W20" s="66" t="str">
        <f>IF(W$7="","",IF(INDEX('Rooms Walls and Glass'!$D$8:$AB$19, MATCH($D20,'Rooms Walls and Glass'!$A$8:$A$19,0), MATCH('Unit 1 a'!W$7,'Rooms Walls and Glass'!$D$1:$AB$1,0))=0,"",INDEX('Rooms Walls and Glass'!$D$8:$AB$19, MATCH($D20,'Rooms Walls and Glass'!$A$8:$A$19,0), MATCH('Unit 1 a'!W$7,'Rooms Walls and Glass'!$D$1:$AB$1,0))))</f>
        <v/>
      </c>
      <c r="X20" s="70" t="str">
        <f t="shared" si="103"/>
        <v>-</v>
      </c>
      <c r="Y20" s="66" t="str">
        <f>IF(Y$7="","",IF(INDEX('Rooms Walls and Glass'!$D$8:$AB$19, MATCH($D20,'Rooms Walls and Glass'!$A$8:$A$19,0), MATCH('Unit 1 a'!Y$7,'Rooms Walls and Glass'!$D$1:$AB$1,0))=0,"",INDEX('Rooms Walls and Glass'!$D$8:$AB$19, MATCH($D20,'Rooms Walls and Glass'!$A$8:$A$19,0), MATCH('Unit 1 a'!Y$7,'Rooms Walls and Glass'!$D$1:$AB$1,0))))</f>
        <v/>
      </c>
      <c r="Z20" s="70" t="str">
        <f t="shared" si="104"/>
        <v>-</v>
      </c>
      <c r="AA20" s="66" t="str">
        <f>IF(AA$7="","",IF(INDEX('Rooms Walls and Glass'!$D$8:$AB$19, MATCH($D20,'Rooms Walls and Glass'!$A$8:$A$19,0), MATCH('Unit 1 a'!AA$7,'Rooms Walls and Glass'!$D$1:$AB$1,0))=0,"",INDEX('Rooms Walls and Glass'!$D$8:$AB$19, MATCH($D20,'Rooms Walls and Glass'!$A$8:$A$19,0), MATCH('Unit 1 a'!AA$7,'Rooms Walls and Glass'!$D$1:$AB$1,0))))</f>
        <v/>
      </c>
      <c r="AB20" s="70" t="str">
        <f t="shared" si="105"/>
        <v>-</v>
      </c>
      <c r="AC20" s="66" t="str">
        <f>IF(AC$7="","",IF(INDEX('Rooms Walls and Glass'!$D$8:$AB$19, MATCH($D20,'Rooms Walls and Glass'!$A$8:$A$19,0), MATCH('Unit 1 a'!AC$7,'Rooms Walls and Glass'!$D$1:$AB$1,0))=0,"",INDEX('Rooms Walls and Glass'!$D$8:$AB$19, MATCH($D20,'Rooms Walls and Glass'!$A$8:$A$19,0), MATCH('Unit 1 a'!AC$7,'Rooms Walls and Glass'!$D$1:$AB$1,0))))</f>
        <v/>
      </c>
      <c r="AD20" s="70" t="str">
        <f t="shared" ref="AD20" si="110">IF(AC20="","-",AC20*$G20)</f>
        <v>-</v>
      </c>
      <c r="AE20" s="66" t="str">
        <f>IF(AE$7="","",IF(INDEX('Rooms Walls and Glass'!$D$8:$AB$19, MATCH($D20,'Rooms Walls and Glass'!$A$8:$A$19,0), MATCH('Unit 1 a'!AE$7,'Rooms Walls and Glass'!$D$1:$AB$1,0))=0,"",INDEX('Rooms Walls and Glass'!$D$8:$AB$19, MATCH($D20,'Rooms Walls and Glass'!$A$8:$A$19,0), MATCH('Unit 1 a'!AE$7,'Rooms Walls and Glass'!$D$1:$AB$1,0))))</f>
        <v/>
      </c>
      <c r="AF20" s="70" t="str">
        <f t="shared" ref="AF20" si="111">IF(AE20="","-",AE20*$G20)</f>
        <v>-</v>
      </c>
      <c r="AG20" s="66" t="str">
        <f>IF(AG$7="","",IF(INDEX('Rooms Walls and Glass'!$D$8:$AB$19, MATCH($D20,'Rooms Walls and Glass'!$A$8:$A$19,0), MATCH('Unit 1 a'!AG$7,'Rooms Walls and Glass'!$D$1:$AB$1,0))=0,"",INDEX('Rooms Walls and Glass'!$D$8:$AB$19, MATCH($D20,'Rooms Walls and Glass'!$A$8:$A$19,0), MATCH('Unit 1 a'!AG$7,'Rooms Walls and Glass'!$D$1:$AB$1,0))))</f>
        <v/>
      </c>
      <c r="AH20" s="70" t="str">
        <f t="shared" si="106"/>
        <v>-</v>
      </c>
      <c r="AI20" s="66" t="str">
        <f>IF(AI$7="","",IF(INDEX('Rooms Walls and Glass'!$D$8:$AB$19, MATCH($D20,'Rooms Walls and Glass'!$A$8:$A$19,0), MATCH('Unit 1 a'!AI$7,'Rooms Walls and Glass'!$D$1:$AB$1,0))=0,"",INDEX('Rooms Walls and Glass'!$D$8:$AB$19, MATCH($D20,'Rooms Walls and Glass'!$A$8:$A$19,0), MATCH('Unit 1 a'!AI$7,'Rooms Walls and Glass'!$D$1:$AB$1,0))))</f>
        <v/>
      </c>
      <c r="AJ20" s="71" t="str">
        <f t="shared" si="23"/>
        <v>-</v>
      </c>
      <c r="AK20" s="66" t="str">
        <f>IF(AK$7="","",IF(INDEX('Rooms Walls and Glass'!$D$8:$AB$19, MATCH($D20,'Rooms Walls and Glass'!$A$8:$A$19,0), MATCH('Unit 1 a'!AK$7,'Rooms Walls and Glass'!$D$1:$AB$1,0))=0,"",INDEX('Rooms Walls and Glass'!$D$8:$AB$19, MATCH($D20,'Rooms Walls and Glass'!$A$8:$A$19,0), MATCH('Unit 1 a'!AK$7,'Rooms Walls and Glass'!$D$1:$AB$1,0))))</f>
        <v/>
      </c>
      <c r="AL20" s="71" t="str">
        <f t="shared" si="24"/>
        <v>-</v>
      </c>
      <c r="AM20" s="66" t="str">
        <f>IF(AM$7="","",IF(INDEX('Rooms Walls and Glass'!$D$8:$AB$19, MATCH($D20,'Rooms Walls and Glass'!$A$8:$A$19,0), MATCH('Unit 1 a'!AM$7,'Rooms Walls and Glass'!$D$1:$AB$1,0))=0,"",INDEX('Rooms Walls and Glass'!$D$8:$AB$19, MATCH($D20,'Rooms Walls and Glass'!$A$8:$A$19,0), MATCH('Unit 1 a'!AM$7,'Rooms Walls and Glass'!$D$1:$AB$1,0))))</f>
        <v/>
      </c>
      <c r="AN20" s="70" t="str">
        <f t="shared" si="25"/>
        <v>-</v>
      </c>
      <c r="AO20" s="66" t="str">
        <f>IF(AO$7="","",IF(INDEX('Rooms Walls and Glass'!$D$8:$AB$19, MATCH($D20,'Rooms Walls and Glass'!$A$8:$A$19,0), MATCH('Unit 1 a'!AO$7,'Rooms Walls and Glass'!$D$1:$AB$1,0))=0,"",INDEX('Rooms Walls and Glass'!$D$8:$AB$19, MATCH($D20,'Rooms Walls and Glass'!$A$8:$A$19,0), MATCH('Unit 1 a'!AO$7,'Rooms Walls and Glass'!$D$1:$AB$1,0))))</f>
        <v/>
      </c>
      <c r="AP20" s="71" t="str">
        <f t="shared" si="26"/>
        <v>-</v>
      </c>
    </row>
    <row r="21" spans="2:42" ht="11.25" customHeight="1" thickBot="1" x14ac:dyDescent="0.2">
      <c r="B21" s="212" t="s">
        <v>79</v>
      </c>
      <c r="C21" s="12" t="s">
        <v>38</v>
      </c>
      <c r="D21" s="13" t="str">
        <f>'Rooms Walls and Glass'!A23</f>
        <v>NorthWest</v>
      </c>
      <c r="E21" s="13">
        <f>INDEX('Glass CLF Calculation'!$A$20:$G$27,MATCH('Unit 1 a'!D21,'Glass CLF Calculation'!$A$20:$A$27,0),7)</f>
        <v>19</v>
      </c>
      <c r="F21" s="14">
        <f>INDEX(Summary!$F$19:$F$30,MATCH('Unit 1 a'!C21,Summary!$D$19:$D$30,0))</f>
        <v>7.6999999999999999E-2</v>
      </c>
      <c r="G21" s="14">
        <f t="shared" si="109"/>
        <v>1.4630000000000001</v>
      </c>
      <c r="H21" s="13" t="s">
        <v>6</v>
      </c>
      <c r="I21" s="65">
        <f t="shared" si="10"/>
        <v>337</v>
      </c>
      <c r="J21" s="65">
        <f t="shared" si="97"/>
        <v>493.03100000000001</v>
      </c>
      <c r="K21" s="66">
        <f>IF(K$7="","",IF(INDEX('Rooms Walls and Glass'!$D$23:$AB$30, MATCH($D21,'Rooms Walls and Glass'!$A$23:$A$30,0), MATCH('Unit 1 a'!K$7,'Rooms Walls and Glass'!$D$1:$AB$1,0))=0,"",INDEX('Rooms Walls and Glass'!$D$23:$AB$30, MATCH($D21,'Rooms Walls and Glass'!$A$23:$A$30,0), MATCH('Unit 1 a'!K$7,'Rooms Walls and Glass'!$D$1:$AB$1,0))))</f>
        <v>130</v>
      </c>
      <c r="L21" s="65">
        <f t="shared" si="98"/>
        <v>190.19</v>
      </c>
      <c r="M21" s="66">
        <f>IF(M$7="","",IF(INDEX('Rooms Walls and Glass'!$D$23:$AB$30, MATCH($D21,'Rooms Walls and Glass'!$A$23:$A$30,0), MATCH('Unit 1 a'!M$7,'Rooms Walls and Glass'!$D$1:$AB$1,0))=0,"",INDEX('Rooms Walls and Glass'!$D$23:$AB$30, MATCH($D21,'Rooms Walls and Glass'!$A$23:$A$30,0), MATCH('Unit 1 a'!M$7,'Rooms Walls and Glass'!$D$1:$AB$1,0))))</f>
        <v>85</v>
      </c>
      <c r="N21" s="65">
        <f t="shared" si="99"/>
        <v>124.355</v>
      </c>
      <c r="O21" s="66" t="str">
        <f>IF(O$7="","",IF(INDEX('Rooms Walls and Glass'!$D$23:$AB$30, MATCH($D21,'Rooms Walls and Glass'!$A$23:$A$30,0), MATCH('Unit 1 a'!O$7,'Rooms Walls and Glass'!$D$1:$AB$1,0))=0,"",INDEX('Rooms Walls and Glass'!$D$23:$AB$30, MATCH($D21,'Rooms Walls and Glass'!$A$23:$A$30,0), MATCH('Unit 1 a'!O$7,'Rooms Walls and Glass'!$D$1:$AB$1,0))))</f>
        <v/>
      </c>
      <c r="P21" s="65" t="str">
        <f t="shared" si="100"/>
        <v>-</v>
      </c>
      <c r="Q21" s="66" t="str">
        <f>IF(Q$7="","",IF(INDEX('Rooms Walls and Glass'!$D$23:$AB$30, MATCH($D21,'Rooms Walls and Glass'!$A$23:$A$30,0), MATCH('Unit 1 a'!Q$7,'Rooms Walls and Glass'!$D$1:$AB$1,0))=0,"",INDEX('Rooms Walls and Glass'!$D$23:$AB$30, MATCH($D21,'Rooms Walls and Glass'!$A$23:$A$30,0), MATCH('Unit 1 a'!Q$7,'Rooms Walls and Glass'!$D$1:$AB$1,0))))</f>
        <v/>
      </c>
      <c r="R21" s="65" t="str">
        <f t="shared" si="101"/>
        <v>-</v>
      </c>
      <c r="S21" s="66" t="str">
        <f>IF(S$7="","",IF(INDEX('Rooms Walls and Glass'!$D$23:$AB$30, MATCH($D21,'Rooms Walls and Glass'!$A$23:$A$30,0), MATCH('Unit 1 a'!S$7,'Rooms Walls and Glass'!$D$1:$AB$1,0))=0,"",INDEX('Rooms Walls and Glass'!$D$23:$AB$30, MATCH($D21,'Rooms Walls and Glass'!$A$23:$A$30,0), MATCH('Unit 1 a'!S$7,'Rooms Walls and Glass'!$D$1:$AB$1,0))))</f>
        <v/>
      </c>
      <c r="T21" s="65" t="str">
        <f t="shared" si="16"/>
        <v>-</v>
      </c>
      <c r="U21" s="66" t="str">
        <f>IF(U$7="","",IF(INDEX('Rooms Walls and Glass'!$D$23:$AB$30, MATCH($D21,'Rooms Walls and Glass'!$A$23:$A$30,0), MATCH('Unit 1 a'!U$7,'Rooms Walls and Glass'!$D$1:$AB$1,0))=0,"",INDEX('Rooms Walls and Glass'!$D$23:$AB$30, MATCH($D21,'Rooms Walls and Glass'!$A$23:$A$30,0), MATCH('Unit 1 a'!U$7,'Rooms Walls and Glass'!$D$1:$AB$1,0))))</f>
        <v/>
      </c>
      <c r="V21" s="65" t="str">
        <f t="shared" si="102"/>
        <v>-</v>
      </c>
      <c r="W21" s="66" t="str">
        <f>IF(W$7="","",IF(INDEX('Rooms Walls and Glass'!$D$23:$AB$30, MATCH($D21,'Rooms Walls and Glass'!$A$23:$A$30,0), MATCH('Unit 1 a'!W$7,'Rooms Walls and Glass'!$D$1:$AB$1,0))=0,"",INDEX('Rooms Walls and Glass'!$D$23:$AB$30, MATCH($D21,'Rooms Walls and Glass'!$A$23:$A$30,0), MATCH('Unit 1 a'!W$7,'Rooms Walls and Glass'!$D$1:$AB$1,0))))</f>
        <v/>
      </c>
      <c r="X21" s="65" t="str">
        <f t="shared" si="103"/>
        <v>-</v>
      </c>
      <c r="Y21" s="66" t="str">
        <f>IF(Y$7="","",IF(INDEX('Rooms Walls and Glass'!$D$23:$AB$30, MATCH($D21,'Rooms Walls and Glass'!$A$23:$A$30,0), MATCH('Unit 1 a'!Y$7,'Rooms Walls and Glass'!$D$1:$AB$1,0))=0,"",INDEX('Rooms Walls and Glass'!$D$23:$AB$30, MATCH($D21,'Rooms Walls and Glass'!$A$23:$A$30,0), MATCH('Unit 1 a'!Y$7,'Rooms Walls and Glass'!$D$1:$AB$1,0))))</f>
        <v/>
      </c>
      <c r="Z21" s="65" t="str">
        <f t="shared" si="104"/>
        <v>-</v>
      </c>
      <c r="AA21" s="66">
        <f>IF(AA$7="","",IF(INDEX('Rooms Walls and Glass'!$D$23:$AB$30, MATCH($D21,'Rooms Walls and Glass'!$A$23:$A$30,0), MATCH('Unit 1 a'!AA$7,'Rooms Walls and Glass'!$D$1:$AB$1,0))=0,"",INDEX('Rooms Walls and Glass'!$D$23:$AB$30, MATCH($D21,'Rooms Walls and Glass'!$A$23:$A$30,0), MATCH('Unit 1 a'!AA$7,'Rooms Walls and Glass'!$D$1:$AB$1,0))))</f>
        <v>122</v>
      </c>
      <c r="AB21" s="65">
        <f t="shared" si="105"/>
        <v>178.48600000000002</v>
      </c>
      <c r="AC21" s="66" t="str">
        <f>IF(AC$7="","",IF(INDEX('Rooms Walls and Glass'!$D$23:$AB$30, MATCH($D21,'Rooms Walls and Glass'!$A$23:$A$30,0), MATCH('Unit 1 a'!AC$7,'Rooms Walls and Glass'!$D$1:$AB$1,0))=0,"",INDEX('Rooms Walls and Glass'!$D$23:$AB$30, MATCH($D21,'Rooms Walls and Glass'!$A$23:$A$30,0), MATCH('Unit 1 a'!AC$7,'Rooms Walls and Glass'!$D$1:$AB$1,0))))</f>
        <v/>
      </c>
      <c r="AD21" s="65" t="str">
        <f t="shared" ref="AD21" si="112">IF(AC21="","-",AC21*$G21)</f>
        <v>-</v>
      </c>
      <c r="AE21" s="66" t="str">
        <f>IF(AE$7="","",IF(INDEX('Rooms Walls and Glass'!$D$23:$AB$30, MATCH($D21,'Rooms Walls and Glass'!$A$23:$A$30,0), MATCH('Unit 1 a'!AE$7,'Rooms Walls and Glass'!$D$1:$AB$1,0))=0,"",INDEX('Rooms Walls and Glass'!$D$23:$AB$30, MATCH($D21,'Rooms Walls and Glass'!$A$23:$A$30,0), MATCH('Unit 1 a'!AE$7,'Rooms Walls and Glass'!$D$1:$AB$1,0))))</f>
        <v/>
      </c>
      <c r="AF21" s="65" t="str">
        <f t="shared" ref="AF21" si="113">IF(AE21="","-",AE21*$G21)</f>
        <v>-</v>
      </c>
      <c r="AG21" s="66" t="str">
        <f>IF(AG$7="","",IF(INDEX('Rooms Walls and Glass'!$D$23:$AB$30, MATCH($D21,'Rooms Walls and Glass'!$A$23:$A$30,0), MATCH('Unit 1 a'!AG$7,'Rooms Walls and Glass'!$D$1:$AB$1,0))=0,"",INDEX('Rooms Walls and Glass'!$D$23:$AB$30, MATCH($D21,'Rooms Walls and Glass'!$A$23:$A$30,0), MATCH('Unit 1 a'!AG$7,'Rooms Walls and Glass'!$D$1:$AB$1,0))))</f>
        <v/>
      </c>
      <c r="AH21" s="65" t="str">
        <f t="shared" si="106"/>
        <v>-</v>
      </c>
      <c r="AI21" s="66" t="str">
        <f>IF(AI$7="","",IF(INDEX('Rooms Walls and Glass'!$D$23:$AB$30, MATCH($D21,'Rooms Walls and Glass'!$A$23:$A$30,0), MATCH('Unit 1 a'!AI$7,'Rooms Walls and Glass'!$D$1:$AB$1,0))=0,"",INDEX('Rooms Walls and Glass'!$D$23:$AB$30, MATCH($D21,'Rooms Walls and Glass'!$A$23:$A$30,0), MATCH('Unit 1 a'!AI$7,'Rooms Walls and Glass'!$D$1:$AB$1,0))))</f>
        <v/>
      </c>
      <c r="AJ21" s="67" t="str">
        <f t="shared" si="23"/>
        <v>-</v>
      </c>
      <c r="AK21" s="66" t="str">
        <f>IF(AK$7="","",IF(INDEX('Rooms Walls and Glass'!$D$23:$AB$30, MATCH($D21,'Rooms Walls and Glass'!$A$23:$A$30,0), MATCH('Unit 1 a'!AK$7,'Rooms Walls and Glass'!$D$1:$AB$1,0))=0,"",INDEX('Rooms Walls and Glass'!$D$23:$AB$30, MATCH($D21,'Rooms Walls and Glass'!$A$23:$A$30,0), MATCH('Unit 1 a'!AK$7,'Rooms Walls and Glass'!$D$1:$AB$1,0))))</f>
        <v/>
      </c>
      <c r="AL21" s="67" t="str">
        <f t="shared" si="24"/>
        <v>-</v>
      </c>
      <c r="AM21" s="66" t="str">
        <f>IF(AM$7="","",IF(INDEX('Rooms Walls and Glass'!$D$23:$AB$30, MATCH($D21,'Rooms Walls and Glass'!$A$23:$A$30,0), MATCH('Unit 1 a'!AM$7,'Rooms Walls and Glass'!$D$1:$AB$1,0))=0,"",INDEX('Rooms Walls and Glass'!$D$23:$AB$30, MATCH($D21,'Rooms Walls and Glass'!$A$23:$A$30,0), MATCH('Unit 1 a'!AM$7,'Rooms Walls and Glass'!$D$1:$AB$1,0))))</f>
        <v/>
      </c>
      <c r="AN21" s="65" t="str">
        <f t="shared" si="25"/>
        <v>-</v>
      </c>
      <c r="AO21" s="66" t="str">
        <f>IF(AO$7="","",IF(INDEX('Rooms Walls and Glass'!$D$23:$AB$30, MATCH($D21,'Rooms Walls and Glass'!$A$23:$A$30,0), MATCH('Unit 1 a'!AO$7,'Rooms Walls and Glass'!$D$1:$AB$1,0))=0,"",INDEX('Rooms Walls and Glass'!$D$23:$AB$30, MATCH($D21,'Rooms Walls and Glass'!$A$23:$A$30,0), MATCH('Unit 1 a'!AO$7,'Rooms Walls and Glass'!$D$1:$AB$1,0))))</f>
        <v/>
      </c>
      <c r="AP21" s="67" t="str">
        <f t="shared" si="26"/>
        <v>-</v>
      </c>
    </row>
    <row r="22" spans="2:42" ht="11.25" customHeight="1" thickBot="1" x14ac:dyDescent="0.2">
      <c r="B22" s="214"/>
      <c r="C22" s="15" t="s">
        <v>38</v>
      </c>
      <c r="D22" s="13" t="str">
        <f>'Rooms Walls and Glass'!A24</f>
        <v>North</v>
      </c>
      <c r="E22" s="13">
        <f>INDEX('Glass CLF Calculation'!$A$20:$G$27,MATCH('Unit 1 a'!D22,'Glass CLF Calculation'!$A$20:$A$27,0),7)</f>
        <v>13</v>
      </c>
      <c r="F22" s="14">
        <f>INDEX(Summary!$F$19:$F$30,MATCH('Unit 1 a'!C22,Summary!$D$19:$D$30,0))</f>
        <v>7.6999999999999999E-2</v>
      </c>
      <c r="G22" s="14">
        <f t="shared" si="109"/>
        <v>1.0009999999999999</v>
      </c>
      <c r="H22" s="16" t="s">
        <v>6</v>
      </c>
      <c r="I22" s="65">
        <f t="shared" si="10"/>
        <v>0</v>
      </c>
      <c r="J22" s="68">
        <f t="shared" si="97"/>
        <v>0</v>
      </c>
      <c r="K22" s="66" t="str">
        <f>IF(K$7="","",IF(INDEX('Rooms Walls and Glass'!$D$23:$AB$30, MATCH($D22,'Rooms Walls and Glass'!$A$23:$A$30,0), MATCH('Unit 1 a'!K$7,'Rooms Walls and Glass'!$D$1:$AB$1,0))=0,"",INDEX('Rooms Walls and Glass'!$D$23:$AB$30, MATCH($D22,'Rooms Walls and Glass'!$A$23:$A$30,0), MATCH('Unit 1 a'!K$7,'Rooms Walls and Glass'!$D$1:$AB$1,0))))</f>
        <v/>
      </c>
      <c r="L22" s="68" t="str">
        <f t="shared" si="98"/>
        <v>-</v>
      </c>
      <c r="M22" s="66" t="str">
        <f>IF(M$7="","",IF(INDEX('Rooms Walls and Glass'!$D$23:$AB$30, MATCH($D22,'Rooms Walls and Glass'!$A$23:$A$30,0), MATCH('Unit 1 a'!M$7,'Rooms Walls and Glass'!$D$1:$AB$1,0))=0,"",INDEX('Rooms Walls and Glass'!$D$23:$AB$30, MATCH($D22,'Rooms Walls and Glass'!$A$23:$A$30,0), MATCH('Unit 1 a'!M$7,'Rooms Walls and Glass'!$D$1:$AB$1,0))))</f>
        <v/>
      </c>
      <c r="N22" s="68" t="str">
        <f t="shared" si="99"/>
        <v>-</v>
      </c>
      <c r="O22" s="66" t="str">
        <f>IF(O$7="","",IF(INDEX('Rooms Walls and Glass'!$D$23:$AB$30, MATCH($D22,'Rooms Walls and Glass'!$A$23:$A$30,0), MATCH('Unit 1 a'!O$7,'Rooms Walls and Glass'!$D$1:$AB$1,0))=0,"",INDEX('Rooms Walls and Glass'!$D$23:$AB$30, MATCH($D22,'Rooms Walls and Glass'!$A$23:$A$30,0), MATCH('Unit 1 a'!O$7,'Rooms Walls and Glass'!$D$1:$AB$1,0))))</f>
        <v/>
      </c>
      <c r="P22" s="68" t="str">
        <f t="shared" si="100"/>
        <v>-</v>
      </c>
      <c r="Q22" s="66" t="str">
        <f>IF(Q$7="","",IF(INDEX('Rooms Walls and Glass'!$D$23:$AB$30, MATCH($D22,'Rooms Walls and Glass'!$A$23:$A$30,0), MATCH('Unit 1 a'!Q$7,'Rooms Walls and Glass'!$D$1:$AB$1,0))=0,"",INDEX('Rooms Walls and Glass'!$D$23:$AB$30, MATCH($D22,'Rooms Walls and Glass'!$A$23:$A$30,0), MATCH('Unit 1 a'!Q$7,'Rooms Walls and Glass'!$D$1:$AB$1,0))))</f>
        <v/>
      </c>
      <c r="R22" s="68" t="str">
        <f t="shared" si="101"/>
        <v>-</v>
      </c>
      <c r="S22" s="66" t="str">
        <f>IF(S$7="","",IF(INDEX('Rooms Walls and Glass'!$D$23:$AB$30, MATCH($D22,'Rooms Walls and Glass'!$A$23:$A$30,0), MATCH('Unit 1 a'!S$7,'Rooms Walls and Glass'!$D$1:$AB$1,0))=0,"",INDEX('Rooms Walls and Glass'!$D$23:$AB$30, MATCH($D22,'Rooms Walls and Glass'!$A$23:$A$30,0), MATCH('Unit 1 a'!S$7,'Rooms Walls and Glass'!$D$1:$AB$1,0))))</f>
        <v/>
      </c>
      <c r="T22" s="68" t="str">
        <f t="shared" si="16"/>
        <v>-</v>
      </c>
      <c r="U22" s="66" t="str">
        <f>IF(U$7="","",IF(INDEX('Rooms Walls and Glass'!$D$23:$AB$30, MATCH($D22,'Rooms Walls and Glass'!$A$23:$A$30,0), MATCH('Unit 1 a'!U$7,'Rooms Walls and Glass'!$D$1:$AB$1,0))=0,"",INDEX('Rooms Walls and Glass'!$D$23:$AB$30, MATCH($D22,'Rooms Walls and Glass'!$A$23:$A$30,0), MATCH('Unit 1 a'!U$7,'Rooms Walls and Glass'!$D$1:$AB$1,0))))</f>
        <v/>
      </c>
      <c r="V22" s="68" t="str">
        <f t="shared" si="102"/>
        <v>-</v>
      </c>
      <c r="W22" s="66" t="str">
        <f>IF(W$7="","",IF(INDEX('Rooms Walls and Glass'!$D$23:$AB$30, MATCH($D22,'Rooms Walls and Glass'!$A$23:$A$30,0), MATCH('Unit 1 a'!W$7,'Rooms Walls and Glass'!$D$1:$AB$1,0))=0,"",INDEX('Rooms Walls and Glass'!$D$23:$AB$30, MATCH($D22,'Rooms Walls and Glass'!$A$23:$A$30,0), MATCH('Unit 1 a'!W$7,'Rooms Walls and Glass'!$D$1:$AB$1,0))))</f>
        <v/>
      </c>
      <c r="X22" s="68" t="str">
        <f t="shared" si="103"/>
        <v>-</v>
      </c>
      <c r="Y22" s="66" t="str">
        <f>IF(Y$7="","",IF(INDEX('Rooms Walls and Glass'!$D$23:$AB$30, MATCH($D22,'Rooms Walls and Glass'!$A$23:$A$30,0), MATCH('Unit 1 a'!Y$7,'Rooms Walls and Glass'!$D$1:$AB$1,0))=0,"",INDEX('Rooms Walls and Glass'!$D$23:$AB$30, MATCH($D22,'Rooms Walls and Glass'!$A$23:$A$30,0), MATCH('Unit 1 a'!Y$7,'Rooms Walls and Glass'!$D$1:$AB$1,0))))</f>
        <v/>
      </c>
      <c r="Z22" s="68" t="str">
        <f t="shared" si="104"/>
        <v>-</v>
      </c>
      <c r="AA22" s="66" t="str">
        <f>IF(AA$7="","",IF(INDEX('Rooms Walls and Glass'!$D$23:$AB$30, MATCH($D22,'Rooms Walls and Glass'!$A$23:$A$30,0), MATCH('Unit 1 a'!AA$7,'Rooms Walls and Glass'!$D$1:$AB$1,0))=0,"",INDEX('Rooms Walls and Glass'!$D$23:$AB$30, MATCH($D22,'Rooms Walls and Glass'!$A$23:$A$30,0), MATCH('Unit 1 a'!AA$7,'Rooms Walls and Glass'!$D$1:$AB$1,0))))</f>
        <v/>
      </c>
      <c r="AB22" s="68" t="str">
        <f t="shared" si="105"/>
        <v>-</v>
      </c>
      <c r="AC22" s="66" t="str">
        <f>IF(AC$7="","",IF(INDEX('Rooms Walls and Glass'!$D$23:$AB$30, MATCH($D22,'Rooms Walls and Glass'!$A$23:$A$30,0), MATCH('Unit 1 a'!AC$7,'Rooms Walls and Glass'!$D$1:$AB$1,0))=0,"",INDEX('Rooms Walls and Glass'!$D$23:$AB$30, MATCH($D22,'Rooms Walls and Glass'!$A$23:$A$30,0), MATCH('Unit 1 a'!AC$7,'Rooms Walls and Glass'!$D$1:$AB$1,0))))</f>
        <v/>
      </c>
      <c r="AD22" s="68" t="str">
        <f t="shared" ref="AD22" si="114">IF(AC22="","-",AC22*$G22)</f>
        <v>-</v>
      </c>
      <c r="AE22" s="66" t="str">
        <f>IF(AE$7="","",IF(INDEX('Rooms Walls and Glass'!$D$23:$AB$30, MATCH($D22,'Rooms Walls and Glass'!$A$23:$A$30,0), MATCH('Unit 1 a'!AE$7,'Rooms Walls and Glass'!$D$1:$AB$1,0))=0,"",INDEX('Rooms Walls and Glass'!$D$23:$AB$30, MATCH($D22,'Rooms Walls and Glass'!$A$23:$A$30,0), MATCH('Unit 1 a'!AE$7,'Rooms Walls and Glass'!$D$1:$AB$1,0))))</f>
        <v/>
      </c>
      <c r="AF22" s="68" t="str">
        <f t="shared" ref="AF22" si="115">IF(AE22="","-",AE22*$G22)</f>
        <v>-</v>
      </c>
      <c r="AG22" s="66" t="str">
        <f>IF(AG$7="","",IF(INDEX('Rooms Walls and Glass'!$D$23:$AB$30, MATCH($D22,'Rooms Walls and Glass'!$A$23:$A$30,0), MATCH('Unit 1 a'!AG$7,'Rooms Walls and Glass'!$D$1:$AB$1,0))=0,"",INDEX('Rooms Walls and Glass'!$D$23:$AB$30, MATCH($D22,'Rooms Walls and Glass'!$A$23:$A$30,0), MATCH('Unit 1 a'!AG$7,'Rooms Walls and Glass'!$D$1:$AB$1,0))))</f>
        <v/>
      </c>
      <c r="AH22" s="68" t="str">
        <f t="shared" si="106"/>
        <v>-</v>
      </c>
      <c r="AI22" s="66" t="str">
        <f>IF(AI$7="","",IF(INDEX('Rooms Walls and Glass'!$D$23:$AB$30, MATCH($D22,'Rooms Walls and Glass'!$A$23:$A$30,0), MATCH('Unit 1 a'!AI$7,'Rooms Walls and Glass'!$D$1:$AB$1,0))=0,"",INDEX('Rooms Walls and Glass'!$D$23:$AB$30, MATCH($D22,'Rooms Walls and Glass'!$A$23:$A$30,0), MATCH('Unit 1 a'!AI$7,'Rooms Walls and Glass'!$D$1:$AB$1,0))))</f>
        <v/>
      </c>
      <c r="AJ22" s="69" t="str">
        <f t="shared" si="23"/>
        <v>-</v>
      </c>
      <c r="AK22" s="66" t="str">
        <f>IF(AK$7="","",IF(INDEX('Rooms Walls and Glass'!$D$23:$AB$30, MATCH($D22,'Rooms Walls and Glass'!$A$23:$A$30,0), MATCH('Unit 1 a'!AK$7,'Rooms Walls and Glass'!$D$1:$AB$1,0))=0,"",INDEX('Rooms Walls and Glass'!$D$23:$AB$30, MATCH($D22,'Rooms Walls and Glass'!$A$23:$A$30,0), MATCH('Unit 1 a'!AK$7,'Rooms Walls and Glass'!$D$1:$AB$1,0))))</f>
        <v/>
      </c>
      <c r="AL22" s="69" t="str">
        <f t="shared" si="24"/>
        <v>-</v>
      </c>
      <c r="AM22" s="66" t="str">
        <f>IF(AM$7="","",IF(INDEX('Rooms Walls and Glass'!$D$23:$AB$30, MATCH($D22,'Rooms Walls and Glass'!$A$23:$A$30,0), MATCH('Unit 1 a'!AM$7,'Rooms Walls and Glass'!$D$1:$AB$1,0))=0,"",INDEX('Rooms Walls and Glass'!$D$23:$AB$30, MATCH($D22,'Rooms Walls and Glass'!$A$23:$A$30,0), MATCH('Unit 1 a'!AM$7,'Rooms Walls and Glass'!$D$1:$AB$1,0))))</f>
        <v/>
      </c>
      <c r="AN22" s="68" t="str">
        <f t="shared" si="25"/>
        <v>-</v>
      </c>
      <c r="AO22" s="66" t="str">
        <f>IF(AO$7="","",IF(INDEX('Rooms Walls and Glass'!$D$23:$AB$30, MATCH($D22,'Rooms Walls and Glass'!$A$23:$A$30,0), MATCH('Unit 1 a'!AO$7,'Rooms Walls and Glass'!$D$1:$AB$1,0))=0,"",INDEX('Rooms Walls and Glass'!$D$23:$AB$30, MATCH($D22,'Rooms Walls and Glass'!$A$23:$A$30,0), MATCH('Unit 1 a'!AO$7,'Rooms Walls and Glass'!$D$1:$AB$1,0))))</f>
        <v/>
      </c>
      <c r="AP22" s="69" t="str">
        <f t="shared" si="26"/>
        <v>-</v>
      </c>
    </row>
    <row r="23" spans="2:42" ht="11.25" customHeight="1" thickBot="1" x14ac:dyDescent="0.2">
      <c r="B23" s="214"/>
      <c r="C23" s="15" t="s">
        <v>38</v>
      </c>
      <c r="D23" s="13" t="str">
        <f>'Rooms Walls and Glass'!A25</f>
        <v>NorthEast</v>
      </c>
      <c r="E23" s="13">
        <f>INDEX('Glass CLF Calculation'!$A$20:$G$27,MATCH('Unit 1 a'!D23,'Glass CLF Calculation'!$A$20:$A$27,0),7)</f>
        <v>19</v>
      </c>
      <c r="F23" s="14">
        <f>INDEX(Summary!$F$19:$F$30,MATCH('Unit 1 a'!C23,Summary!$D$19:$D$30,0))</f>
        <v>7.6999999999999999E-2</v>
      </c>
      <c r="G23" s="14">
        <f t="shared" si="109"/>
        <v>1.4630000000000001</v>
      </c>
      <c r="H23" s="16" t="s">
        <v>6</v>
      </c>
      <c r="I23" s="65">
        <f t="shared" si="10"/>
        <v>194</v>
      </c>
      <c r="J23" s="68">
        <f t="shared" si="97"/>
        <v>283.822</v>
      </c>
      <c r="K23" s="66">
        <f>IF(K$7="","",IF(INDEX('Rooms Walls and Glass'!$D$23:$AB$30, MATCH($D23,'Rooms Walls and Glass'!$A$23:$A$30,0), MATCH('Unit 1 a'!K$7,'Rooms Walls and Glass'!$D$1:$AB$1,0))=0,"",INDEX('Rooms Walls and Glass'!$D$23:$AB$30, MATCH($D23,'Rooms Walls and Glass'!$A$23:$A$30,0), MATCH('Unit 1 a'!K$7,'Rooms Walls and Glass'!$D$1:$AB$1,0))))</f>
        <v>72</v>
      </c>
      <c r="L23" s="68">
        <f t="shared" si="98"/>
        <v>105.33600000000001</v>
      </c>
      <c r="M23" s="66" t="str">
        <f>IF(M$7="","",IF(INDEX('Rooms Walls and Glass'!$D$23:$AB$30, MATCH($D23,'Rooms Walls and Glass'!$A$23:$A$30,0), MATCH('Unit 1 a'!M$7,'Rooms Walls and Glass'!$D$1:$AB$1,0))=0,"",INDEX('Rooms Walls and Glass'!$D$23:$AB$30, MATCH($D23,'Rooms Walls and Glass'!$A$23:$A$30,0), MATCH('Unit 1 a'!M$7,'Rooms Walls and Glass'!$D$1:$AB$1,0))))</f>
        <v/>
      </c>
      <c r="N23" s="68" t="str">
        <f t="shared" si="99"/>
        <v>-</v>
      </c>
      <c r="O23" s="66">
        <f>IF(O$7="","",IF(INDEX('Rooms Walls and Glass'!$D$23:$AB$30, MATCH($D23,'Rooms Walls and Glass'!$A$23:$A$30,0), MATCH('Unit 1 a'!O$7,'Rooms Walls and Glass'!$D$1:$AB$1,0))=0,"",INDEX('Rooms Walls and Glass'!$D$23:$AB$30, MATCH($D23,'Rooms Walls and Glass'!$A$23:$A$30,0), MATCH('Unit 1 a'!O$7,'Rooms Walls and Glass'!$D$1:$AB$1,0))))</f>
        <v>122</v>
      </c>
      <c r="P23" s="68">
        <f t="shared" si="100"/>
        <v>178.48600000000002</v>
      </c>
      <c r="Q23" s="66" t="str">
        <f>IF(Q$7="","",IF(INDEX('Rooms Walls and Glass'!$D$23:$AB$30, MATCH($D23,'Rooms Walls and Glass'!$A$23:$A$30,0), MATCH('Unit 1 a'!Q$7,'Rooms Walls and Glass'!$D$1:$AB$1,0))=0,"",INDEX('Rooms Walls and Glass'!$D$23:$AB$30, MATCH($D23,'Rooms Walls and Glass'!$A$23:$A$30,0), MATCH('Unit 1 a'!Q$7,'Rooms Walls and Glass'!$D$1:$AB$1,0))))</f>
        <v/>
      </c>
      <c r="R23" s="68" t="str">
        <f t="shared" si="101"/>
        <v>-</v>
      </c>
      <c r="S23" s="66" t="str">
        <f>IF(S$7="","",IF(INDEX('Rooms Walls and Glass'!$D$23:$AB$30, MATCH($D23,'Rooms Walls and Glass'!$A$23:$A$30,0), MATCH('Unit 1 a'!S$7,'Rooms Walls and Glass'!$D$1:$AB$1,0))=0,"",INDEX('Rooms Walls and Glass'!$D$23:$AB$30, MATCH($D23,'Rooms Walls and Glass'!$A$23:$A$30,0), MATCH('Unit 1 a'!S$7,'Rooms Walls and Glass'!$D$1:$AB$1,0))))</f>
        <v/>
      </c>
      <c r="T23" s="68" t="str">
        <f t="shared" si="16"/>
        <v>-</v>
      </c>
      <c r="U23" s="66" t="str">
        <f>IF(U$7="","",IF(INDEX('Rooms Walls and Glass'!$D$23:$AB$30, MATCH($D23,'Rooms Walls and Glass'!$A$23:$A$30,0), MATCH('Unit 1 a'!U$7,'Rooms Walls and Glass'!$D$1:$AB$1,0))=0,"",INDEX('Rooms Walls and Glass'!$D$23:$AB$30, MATCH($D23,'Rooms Walls and Glass'!$A$23:$A$30,0), MATCH('Unit 1 a'!U$7,'Rooms Walls and Glass'!$D$1:$AB$1,0))))</f>
        <v/>
      </c>
      <c r="V23" s="68" t="str">
        <f t="shared" si="102"/>
        <v>-</v>
      </c>
      <c r="W23" s="66" t="str">
        <f>IF(W$7="","",IF(INDEX('Rooms Walls and Glass'!$D$23:$AB$30, MATCH($D23,'Rooms Walls and Glass'!$A$23:$A$30,0), MATCH('Unit 1 a'!W$7,'Rooms Walls and Glass'!$D$1:$AB$1,0))=0,"",INDEX('Rooms Walls and Glass'!$D$23:$AB$30, MATCH($D23,'Rooms Walls and Glass'!$A$23:$A$30,0), MATCH('Unit 1 a'!W$7,'Rooms Walls and Glass'!$D$1:$AB$1,0))))</f>
        <v/>
      </c>
      <c r="X23" s="68" t="str">
        <f t="shared" si="103"/>
        <v>-</v>
      </c>
      <c r="Y23" s="66" t="str">
        <f>IF(Y$7="","",IF(INDEX('Rooms Walls and Glass'!$D$23:$AB$30, MATCH($D23,'Rooms Walls and Glass'!$A$23:$A$30,0), MATCH('Unit 1 a'!Y$7,'Rooms Walls and Glass'!$D$1:$AB$1,0))=0,"",INDEX('Rooms Walls and Glass'!$D$23:$AB$30, MATCH($D23,'Rooms Walls and Glass'!$A$23:$A$30,0), MATCH('Unit 1 a'!Y$7,'Rooms Walls and Glass'!$D$1:$AB$1,0))))</f>
        <v/>
      </c>
      <c r="Z23" s="68" t="str">
        <f t="shared" si="104"/>
        <v>-</v>
      </c>
      <c r="AA23" s="66" t="str">
        <f>IF(AA$7="","",IF(INDEX('Rooms Walls and Glass'!$D$23:$AB$30, MATCH($D23,'Rooms Walls and Glass'!$A$23:$A$30,0), MATCH('Unit 1 a'!AA$7,'Rooms Walls and Glass'!$D$1:$AB$1,0))=0,"",INDEX('Rooms Walls and Glass'!$D$23:$AB$30, MATCH($D23,'Rooms Walls and Glass'!$A$23:$A$30,0), MATCH('Unit 1 a'!AA$7,'Rooms Walls and Glass'!$D$1:$AB$1,0))))</f>
        <v/>
      </c>
      <c r="AB23" s="68" t="str">
        <f t="shared" si="105"/>
        <v>-</v>
      </c>
      <c r="AC23" s="66" t="str">
        <f>IF(AC$7="","",IF(INDEX('Rooms Walls and Glass'!$D$23:$AB$30, MATCH($D23,'Rooms Walls and Glass'!$A$23:$A$30,0), MATCH('Unit 1 a'!AC$7,'Rooms Walls and Glass'!$D$1:$AB$1,0))=0,"",INDEX('Rooms Walls and Glass'!$D$23:$AB$30, MATCH($D23,'Rooms Walls and Glass'!$A$23:$A$30,0), MATCH('Unit 1 a'!AC$7,'Rooms Walls and Glass'!$D$1:$AB$1,0))))</f>
        <v/>
      </c>
      <c r="AD23" s="68" t="str">
        <f t="shared" ref="AD23" si="116">IF(AC23="","-",AC23*$G23)</f>
        <v>-</v>
      </c>
      <c r="AE23" s="66" t="str">
        <f>IF(AE$7="","",IF(INDEX('Rooms Walls and Glass'!$D$23:$AB$30, MATCH($D23,'Rooms Walls and Glass'!$A$23:$A$30,0), MATCH('Unit 1 a'!AE$7,'Rooms Walls and Glass'!$D$1:$AB$1,0))=0,"",INDEX('Rooms Walls and Glass'!$D$23:$AB$30, MATCH($D23,'Rooms Walls and Glass'!$A$23:$A$30,0), MATCH('Unit 1 a'!AE$7,'Rooms Walls and Glass'!$D$1:$AB$1,0))))</f>
        <v/>
      </c>
      <c r="AF23" s="68" t="str">
        <f t="shared" ref="AF23" si="117">IF(AE23="","-",AE23*$G23)</f>
        <v>-</v>
      </c>
      <c r="AG23" s="66" t="str">
        <f>IF(AG$7="","",IF(INDEX('Rooms Walls and Glass'!$D$23:$AB$30, MATCH($D23,'Rooms Walls and Glass'!$A$23:$A$30,0), MATCH('Unit 1 a'!AG$7,'Rooms Walls and Glass'!$D$1:$AB$1,0))=0,"",INDEX('Rooms Walls and Glass'!$D$23:$AB$30, MATCH($D23,'Rooms Walls and Glass'!$A$23:$A$30,0), MATCH('Unit 1 a'!AG$7,'Rooms Walls and Glass'!$D$1:$AB$1,0))))</f>
        <v/>
      </c>
      <c r="AH23" s="68" t="str">
        <f t="shared" si="106"/>
        <v>-</v>
      </c>
      <c r="AI23" s="66" t="str">
        <f>IF(AI$7="","",IF(INDEX('Rooms Walls and Glass'!$D$23:$AB$30, MATCH($D23,'Rooms Walls and Glass'!$A$23:$A$30,0), MATCH('Unit 1 a'!AI$7,'Rooms Walls and Glass'!$D$1:$AB$1,0))=0,"",INDEX('Rooms Walls and Glass'!$D$23:$AB$30, MATCH($D23,'Rooms Walls and Glass'!$A$23:$A$30,0), MATCH('Unit 1 a'!AI$7,'Rooms Walls and Glass'!$D$1:$AB$1,0))))</f>
        <v/>
      </c>
      <c r="AJ23" s="69" t="str">
        <f t="shared" si="23"/>
        <v>-</v>
      </c>
      <c r="AK23" s="66" t="str">
        <f>IF(AK$7="","",IF(INDEX('Rooms Walls and Glass'!$D$23:$AB$30, MATCH($D23,'Rooms Walls and Glass'!$A$23:$A$30,0), MATCH('Unit 1 a'!AK$7,'Rooms Walls and Glass'!$D$1:$AB$1,0))=0,"",INDEX('Rooms Walls and Glass'!$D$23:$AB$30, MATCH($D23,'Rooms Walls and Glass'!$A$23:$A$30,0), MATCH('Unit 1 a'!AK$7,'Rooms Walls and Glass'!$D$1:$AB$1,0))))</f>
        <v/>
      </c>
      <c r="AL23" s="69" t="str">
        <f t="shared" si="24"/>
        <v>-</v>
      </c>
      <c r="AM23" s="66" t="str">
        <f>IF(AM$7="","",IF(INDEX('Rooms Walls and Glass'!$D$23:$AB$30, MATCH($D23,'Rooms Walls and Glass'!$A$23:$A$30,0), MATCH('Unit 1 a'!AM$7,'Rooms Walls and Glass'!$D$1:$AB$1,0))=0,"",INDEX('Rooms Walls and Glass'!$D$23:$AB$30, MATCH($D23,'Rooms Walls and Glass'!$A$23:$A$30,0), MATCH('Unit 1 a'!AM$7,'Rooms Walls and Glass'!$D$1:$AB$1,0))))</f>
        <v/>
      </c>
      <c r="AN23" s="68" t="str">
        <f t="shared" si="25"/>
        <v>-</v>
      </c>
      <c r="AO23" s="66" t="str">
        <f>IF(AO$7="","",IF(INDEX('Rooms Walls and Glass'!$D$23:$AB$30, MATCH($D23,'Rooms Walls and Glass'!$A$23:$A$30,0), MATCH('Unit 1 a'!AO$7,'Rooms Walls and Glass'!$D$1:$AB$1,0))=0,"",INDEX('Rooms Walls and Glass'!$D$23:$AB$30, MATCH($D23,'Rooms Walls and Glass'!$A$23:$A$30,0), MATCH('Unit 1 a'!AO$7,'Rooms Walls and Glass'!$D$1:$AB$1,0))))</f>
        <v/>
      </c>
      <c r="AP23" s="69" t="str">
        <f t="shared" si="26"/>
        <v>-</v>
      </c>
    </row>
    <row r="24" spans="2:42" ht="11.25" customHeight="1" thickBot="1" x14ac:dyDescent="0.2">
      <c r="B24" s="214"/>
      <c r="C24" s="15" t="s">
        <v>38</v>
      </c>
      <c r="D24" s="13" t="str">
        <f>'Rooms Walls and Glass'!A26</f>
        <v>East</v>
      </c>
      <c r="E24" s="13">
        <f>INDEX('Glass CLF Calculation'!$A$20:$G$27,MATCH('Unit 1 a'!D24,'Glass CLF Calculation'!$A$20:$A$27,0),7)</f>
        <v>23</v>
      </c>
      <c r="F24" s="14">
        <f>INDEX(Summary!$F$19:$F$30,MATCH('Unit 1 a'!C24,Summary!$D$19:$D$30,0))</f>
        <v>7.6999999999999999E-2</v>
      </c>
      <c r="G24" s="14">
        <f t="shared" si="109"/>
        <v>1.7709999999999999</v>
      </c>
      <c r="H24" s="16" t="s">
        <v>6</v>
      </c>
      <c r="I24" s="65">
        <f t="shared" si="10"/>
        <v>0</v>
      </c>
      <c r="J24" s="68">
        <f t="shared" si="97"/>
        <v>0</v>
      </c>
      <c r="K24" s="66" t="str">
        <f>IF(K$7="","",IF(INDEX('Rooms Walls and Glass'!$D$23:$AB$30, MATCH($D24,'Rooms Walls and Glass'!$A$23:$A$30,0), MATCH('Unit 1 a'!K$7,'Rooms Walls and Glass'!$D$1:$AB$1,0))=0,"",INDEX('Rooms Walls and Glass'!$D$23:$AB$30, MATCH($D24,'Rooms Walls and Glass'!$A$23:$A$30,0), MATCH('Unit 1 a'!K$7,'Rooms Walls and Glass'!$D$1:$AB$1,0))))</f>
        <v/>
      </c>
      <c r="L24" s="68" t="str">
        <f t="shared" si="98"/>
        <v>-</v>
      </c>
      <c r="M24" s="66" t="str">
        <f>IF(M$7="","",IF(INDEX('Rooms Walls and Glass'!$D$23:$AB$30, MATCH($D24,'Rooms Walls and Glass'!$A$23:$A$30,0), MATCH('Unit 1 a'!M$7,'Rooms Walls and Glass'!$D$1:$AB$1,0))=0,"",INDEX('Rooms Walls and Glass'!$D$23:$AB$30, MATCH($D24,'Rooms Walls and Glass'!$A$23:$A$30,0), MATCH('Unit 1 a'!M$7,'Rooms Walls and Glass'!$D$1:$AB$1,0))))</f>
        <v/>
      </c>
      <c r="N24" s="68" t="str">
        <f t="shared" si="99"/>
        <v>-</v>
      </c>
      <c r="O24" s="66" t="str">
        <f>IF(O$7="","",IF(INDEX('Rooms Walls and Glass'!$D$23:$AB$30, MATCH($D24,'Rooms Walls and Glass'!$A$23:$A$30,0), MATCH('Unit 1 a'!O$7,'Rooms Walls and Glass'!$D$1:$AB$1,0))=0,"",INDEX('Rooms Walls and Glass'!$D$23:$AB$30, MATCH($D24,'Rooms Walls and Glass'!$A$23:$A$30,0), MATCH('Unit 1 a'!O$7,'Rooms Walls and Glass'!$D$1:$AB$1,0))))</f>
        <v/>
      </c>
      <c r="P24" s="68" t="str">
        <f t="shared" si="100"/>
        <v>-</v>
      </c>
      <c r="Q24" s="66" t="str">
        <f>IF(Q$7="","",IF(INDEX('Rooms Walls and Glass'!$D$23:$AB$30, MATCH($D24,'Rooms Walls and Glass'!$A$23:$A$30,0), MATCH('Unit 1 a'!Q$7,'Rooms Walls and Glass'!$D$1:$AB$1,0))=0,"",INDEX('Rooms Walls and Glass'!$D$23:$AB$30, MATCH($D24,'Rooms Walls and Glass'!$A$23:$A$30,0), MATCH('Unit 1 a'!Q$7,'Rooms Walls and Glass'!$D$1:$AB$1,0))))</f>
        <v/>
      </c>
      <c r="R24" s="68" t="str">
        <f t="shared" si="101"/>
        <v>-</v>
      </c>
      <c r="S24" s="66" t="str">
        <f>IF(S$7="","",IF(INDEX('Rooms Walls and Glass'!$D$23:$AB$30, MATCH($D24,'Rooms Walls and Glass'!$A$23:$A$30,0), MATCH('Unit 1 a'!S$7,'Rooms Walls and Glass'!$D$1:$AB$1,0))=0,"",INDEX('Rooms Walls and Glass'!$D$23:$AB$30, MATCH($D24,'Rooms Walls and Glass'!$A$23:$A$30,0), MATCH('Unit 1 a'!S$7,'Rooms Walls and Glass'!$D$1:$AB$1,0))))</f>
        <v/>
      </c>
      <c r="T24" s="68" t="str">
        <f t="shared" si="16"/>
        <v>-</v>
      </c>
      <c r="U24" s="66" t="str">
        <f>IF(U$7="","",IF(INDEX('Rooms Walls and Glass'!$D$23:$AB$30, MATCH($D24,'Rooms Walls and Glass'!$A$23:$A$30,0), MATCH('Unit 1 a'!U$7,'Rooms Walls and Glass'!$D$1:$AB$1,0))=0,"",INDEX('Rooms Walls and Glass'!$D$23:$AB$30, MATCH($D24,'Rooms Walls and Glass'!$A$23:$A$30,0), MATCH('Unit 1 a'!U$7,'Rooms Walls and Glass'!$D$1:$AB$1,0))))</f>
        <v/>
      </c>
      <c r="V24" s="68" t="str">
        <f t="shared" si="102"/>
        <v>-</v>
      </c>
      <c r="W24" s="66" t="str">
        <f>IF(W$7="","",IF(INDEX('Rooms Walls and Glass'!$D$23:$AB$30, MATCH($D24,'Rooms Walls and Glass'!$A$23:$A$30,0), MATCH('Unit 1 a'!W$7,'Rooms Walls and Glass'!$D$1:$AB$1,0))=0,"",INDEX('Rooms Walls and Glass'!$D$23:$AB$30, MATCH($D24,'Rooms Walls and Glass'!$A$23:$A$30,0), MATCH('Unit 1 a'!W$7,'Rooms Walls and Glass'!$D$1:$AB$1,0))))</f>
        <v/>
      </c>
      <c r="X24" s="68" t="str">
        <f t="shared" si="103"/>
        <v>-</v>
      </c>
      <c r="Y24" s="66" t="str">
        <f>IF(Y$7="","",IF(INDEX('Rooms Walls and Glass'!$D$23:$AB$30, MATCH($D24,'Rooms Walls and Glass'!$A$23:$A$30,0), MATCH('Unit 1 a'!Y$7,'Rooms Walls and Glass'!$D$1:$AB$1,0))=0,"",INDEX('Rooms Walls and Glass'!$D$23:$AB$30, MATCH($D24,'Rooms Walls and Glass'!$A$23:$A$30,0), MATCH('Unit 1 a'!Y$7,'Rooms Walls and Glass'!$D$1:$AB$1,0))))</f>
        <v/>
      </c>
      <c r="Z24" s="68" t="str">
        <f t="shared" si="104"/>
        <v>-</v>
      </c>
      <c r="AA24" s="66" t="str">
        <f>IF(AA$7="","",IF(INDEX('Rooms Walls and Glass'!$D$23:$AB$30, MATCH($D24,'Rooms Walls and Glass'!$A$23:$A$30,0), MATCH('Unit 1 a'!AA$7,'Rooms Walls and Glass'!$D$1:$AB$1,0))=0,"",INDEX('Rooms Walls and Glass'!$D$23:$AB$30, MATCH($D24,'Rooms Walls and Glass'!$A$23:$A$30,0), MATCH('Unit 1 a'!AA$7,'Rooms Walls and Glass'!$D$1:$AB$1,0))))</f>
        <v/>
      </c>
      <c r="AB24" s="68" t="str">
        <f t="shared" si="105"/>
        <v>-</v>
      </c>
      <c r="AC24" s="66" t="str">
        <f>IF(AC$7="","",IF(INDEX('Rooms Walls and Glass'!$D$23:$AB$30, MATCH($D24,'Rooms Walls and Glass'!$A$23:$A$30,0), MATCH('Unit 1 a'!AC$7,'Rooms Walls and Glass'!$D$1:$AB$1,0))=0,"",INDEX('Rooms Walls and Glass'!$D$23:$AB$30, MATCH($D24,'Rooms Walls and Glass'!$A$23:$A$30,0), MATCH('Unit 1 a'!AC$7,'Rooms Walls and Glass'!$D$1:$AB$1,0))))</f>
        <v/>
      </c>
      <c r="AD24" s="68" t="str">
        <f t="shared" ref="AD24" si="118">IF(AC24="","-",AC24*$G24)</f>
        <v>-</v>
      </c>
      <c r="AE24" s="66" t="str">
        <f>IF(AE$7="","",IF(INDEX('Rooms Walls and Glass'!$D$23:$AB$30, MATCH($D24,'Rooms Walls and Glass'!$A$23:$A$30,0), MATCH('Unit 1 a'!AE$7,'Rooms Walls and Glass'!$D$1:$AB$1,0))=0,"",INDEX('Rooms Walls and Glass'!$D$23:$AB$30, MATCH($D24,'Rooms Walls and Glass'!$A$23:$A$30,0), MATCH('Unit 1 a'!AE$7,'Rooms Walls and Glass'!$D$1:$AB$1,0))))</f>
        <v/>
      </c>
      <c r="AF24" s="68" t="str">
        <f t="shared" ref="AF24" si="119">IF(AE24="","-",AE24*$G24)</f>
        <v>-</v>
      </c>
      <c r="AG24" s="66" t="str">
        <f>IF(AG$7="","",IF(INDEX('Rooms Walls and Glass'!$D$23:$AB$30, MATCH($D24,'Rooms Walls and Glass'!$A$23:$A$30,0), MATCH('Unit 1 a'!AG$7,'Rooms Walls and Glass'!$D$1:$AB$1,0))=0,"",INDEX('Rooms Walls and Glass'!$D$23:$AB$30, MATCH($D24,'Rooms Walls and Glass'!$A$23:$A$30,0), MATCH('Unit 1 a'!AG$7,'Rooms Walls and Glass'!$D$1:$AB$1,0))))</f>
        <v/>
      </c>
      <c r="AH24" s="68" t="str">
        <f t="shared" si="106"/>
        <v>-</v>
      </c>
      <c r="AI24" s="66" t="str">
        <f>IF(AI$7="","",IF(INDEX('Rooms Walls and Glass'!$D$23:$AB$30, MATCH($D24,'Rooms Walls and Glass'!$A$23:$A$30,0), MATCH('Unit 1 a'!AI$7,'Rooms Walls and Glass'!$D$1:$AB$1,0))=0,"",INDEX('Rooms Walls and Glass'!$D$23:$AB$30, MATCH($D24,'Rooms Walls and Glass'!$A$23:$A$30,0), MATCH('Unit 1 a'!AI$7,'Rooms Walls and Glass'!$D$1:$AB$1,0))))</f>
        <v/>
      </c>
      <c r="AJ24" s="69" t="str">
        <f t="shared" si="23"/>
        <v>-</v>
      </c>
      <c r="AK24" s="66" t="str">
        <f>IF(AK$7="","",IF(INDEX('Rooms Walls and Glass'!$D$23:$AB$30, MATCH($D24,'Rooms Walls and Glass'!$A$23:$A$30,0), MATCH('Unit 1 a'!AK$7,'Rooms Walls and Glass'!$D$1:$AB$1,0))=0,"",INDEX('Rooms Walls and Glass'!$D$23:$AB$30, MATCH($D24,'Rooms Walls and Glass'!$A$23:$A$30,0), MATCH('Unit 1 a'!AK$7,'Rooms Walls and Glass'!$D$1:$AB$1,0))))</f>
        <v/>
      </c>
      <c r="AL24" s="69" t="str">
        <f t="shared" si="24"/>
        <v>-</v>
      </c>
      <c r="AM24" s="66" t="str">
        <f>IF(AM$7="","",IF(INDEX('Rooms Walls and Glass'!$D$23:$AB$30, MATCH($D24,'Rooms Walls and Glass'!$A$23:$A$30,0), MATCH('Unit 1 a'!AM$7,'Rooms Walls and Glass'!$D$1:$AB$1,0))=0,"",INDEX('Rooms Walls and Glass'!$D$23:$AB$30, MATCH($D24,'Rooms Walls and Glass'!$A$23:$A$30,0), MATCH('Unit 1 a'!AM$7,'Rooms Walls and Glass'!$D$1:$AB$1,0))))</f>
        <v/>
      </c>
      <c r="AN24" s="68" t="str">
        <f t="shared" si="25"/>
        <v>-</v>
      </c>
      <c r="AO24" s="66" t="str">
        <f>IF(AO$7="","",IF(INDEX('Rooms Walls and Glass'!$D$23:$AB$30, MATCH($D24,'Rooms Walls and Glass'!$A$23:$A$30,0), MATCH('Unit 1 a'!AO$7,'Rooms Walls and Glass'!$D$1:$AB$1,0))=0,"",INDEX('Rooms Walls and Glass'!$D$23:$AB$30, MATCH($D24,'Rooms Walls and Glass'!$A$23:$A$30,0), MATCH('Unit 1 a'!AO$7,'Rooms Walls and Glass'!$D$1:$AB$1,0))))</f>
        <v/>
      </c>
      <c r="AP24" s="69" t="str">
        <f t="shared" si="26"/>
        <v>-</v>
      </c>
    </row>
    <row r="25" spans="2:42" ht="11.25" customHeight="1" thickBot="1" x14ac:dyDescent="0.2">
      <c r="B25" s="214"/>
      <c r="C25" s="15" t="s">
        <v>38</v>
      </c>
      <c r="D25" s="13" t="str">
        <f>'Rooms Walls and Glass'!A27</f>
        <v>SouthEast</v>
      </c>
      <c r="E25" s="13">
        <f>INDEX('Glass CLF Calculation'!$A$20:$G$27,MATCH('Unit 1 a'!D25,'Glass CLF Calculation'!$A$20:$A$27,0),7)</f>
        <v>21</v>
      </c>
      <c r="F25" s="14">
        <f>INDEX(Summary!$F$19:$F$30,MATCH('Unit 1 a'!C25,Summary!$D$19:$D$30,0))</f>
        <v>7.6999999999999999E-2</v>
      </c>
      <c r="G25" s="14">
        <f t="shared" si="109"/>
        <v>1.617</v>
      </c>
      <c r="H25" s="16" t="s">
        <v>6</v>
      </c>
      <c r="I25" s="65">
        <f t="shared" si="10"/>
        <v>383</v>
      </c>
      <c r="J25" s="68">
        <f t="shared" si="97"/>
        <v>619.31100000000004</v>
      </c>
      <c r="K25" s="66" t="str">
        <f>IF(K$7="","",IF(INDEX('Rooms Walls and Glass'!$D$23:$AB$30, MATCH($D25,'Rooms Walls and Glass'!$A$23:$A$30,0), MATCH('Unit 1 a'!K$7,'Rooms Walls and Glass'!$D$1:$AB$1,0))=0,"",INDEX('Rooms Walls and Glass'!$D$23:$AB$30, MATCH($D25,'Rooms Walls and Glass'!$A$23:$A$30,0), MATCH('Unit 1 a'!K$7,'Rooms Walls and Glass'!$D$1:$AB$1,0))))</f>
        <v/>
      </c>
      <c r="L25" s="68" t="str">
        <f t="shared" si="98"/>
        <v>-</v>
      </c>
      <c r="M25" s="66" t="str">
        <f>IF(M$7="","",IF(INDEX('Rooms Walls and Glass'!$D$23:$AB$30, MATCH($D25,'Rooms Walls and Glass'!$A$23:$A$30,0), MATCH('Unit 1 a'!M$7,'Rooms Walls and Glass'!$D$1:$AB$1,0))=0,"",INDEX('Rooms Walls and Glass'!$D$23:$AB$30, MATCH($D25,'Rooms Walls and Glass'!$A$23:$A$30,0), MATCH('Unit 1 a'!M$7,'Rooms Walls and Glass'!$D$1:$AB$1,0))))</f>
        <v/>
      </c>
      <c r="N25" s="68" t="str">
        <f t="shared" si="99"/>
        <v>-</v>
      </c>
      <c r="O25" s="66">
        <f>IF(O$7="","",IF(INDEX('Rooms Walls and Glass'!$D$23:$AB$30, MATCH($D25,'Rooms Walls and Glass'!$A$23:$A$30,0), MATCH('Unit 1 a'!O$7,'Rooms Walls and Glass'!$D$1:$AB$1,0))=0,"",INDEX('Rooms Walls and Glass'!$D$23:$AB$30, MATCH($D25,'Rooms Walls and Glass'!$A$23:$A$30,0), MATCH('Unit 1 a'!O$7,'Rooms Walls and Glass'!$D$1:$AB$1,0))))</f>
        <v>138</v>
      </c>
      <c r="P25" s="68">
        <f t="shared" si="100"/>
        <v>223.14599999999999</v>
      </c>
      <c r="Q25" s="66">
        <f>IF(Q$7="","",IF(INDEX('Rooms Walls and Glass'!$D$23:$AB$30, MATCH($D25,'Rooms Walls and Glass'!$A$23:$A$30,0), MATCH('Unit 1 a'!Q$7,'Rooms Walls and Glass'!$D$1:$AB$1,0))=0,"",INDEX('Rooms Walls and Glass'!$D$23:$AB$30, MATCH($D25,'Rooms Walls and Glass'!$A$23:$A$30,0), MATCH('Unit 1 a'!Q$7,'Rooms Walls and Glass'!$D$1:$AB$1,0))))</f>
        <v>60</v>
      </c>
      <c r="R25" s="68">
        <f t="shared" si="101"/>
        <v>97.02</v>
      </c>
      <c r="S25" s="66">
        <f>IF(S$7="","",IF(INDEX('Rooms Walls and Glass'!$D$23:$AB$30, MATCH($D25,'Rooms Walls and Glass'!$A$23:$A$30,0), MATCH('Unit 1 a'!S$7,'Rooms Walls and Glass'!$D$1:$AB$1,0))=0,"",INDEX('Rooms Walls and Glass'!$D$23:$AB$30, MATCH($D25,'Rooms Walls and Glass'!$A$23:$A$30,0), MATCH('Unit 1 a'!S$7,'Rooms Walls and Glass'!$D$1:$AB$1,0))))</f>
        <v>62</v>
      </c>
      <c r="T25" s="68">
        <f t="shared" si="16"/>
        <v>100.254</v>
      </c>
      <c r="U25" s="66">
        <f>IF(U$7="","",IF(INDEX('Rooms Walls and Glass'!$D$23:$AB$30, MATCH($D25,'Rooms Walls and Glass'!$A$23:$A$30,0), MATCH('Unit 1 a'!U$7,'Rooms Walls and Glass'!$D$1:$AB$1,0))=0,"",INDEX('Rooms Walls and Glass'!$D$23:$AB$30, MATCH($D25,'Rooms Walls and Glass'!$A$23:$A$30,0), MATCH('Unit 1 a'!U$7,'Rooms Walls and Glass'!$D$1:$AB$1,0))))</f>
        <v>29</v>
      </c>
      <c r="V25" s="68">
        <f t="shared" si="102"/>
        <v>46.893000000000001</v>
      </c>
      <c r="W25" s="66">
        <f>IF(W$7="","",IF(INDEX('Rooms Walls and Glass'!$D$23:$AB$30, MATCH($D25,'Rooms Walls and Glass'!$A$23:$A$30,0), MATCH('Unit 1 a'!W$7,'Rooms Walls and Glass'!$D$1:$AB$1,0))=0,"",INDEX('Rooms Walls and Glass'!$D$23:$AB$30, MATCH($D25,'Rooms Walls and Glass'!$A$23:$A$30,0), MATCH('Unit 1 a'!W$7,'Rooms Walls and Glass'!$D$1:$AB$1,0))))</f>
        <v>94</v>
      </c>
      <c r="X25" s="68">
        <f t="shared" si="103"/>
        <v>151.99799999999999</v>
      </c>
      <c r="Y25" s="66" t="str">
        <f>IF(Y$7="","",IF(INDEX('Rooms Walls and Glass'!$D$23:$AB$30, MATCH($D25,'Rooms Walls and Glass'!$A$23:$A$30,0), MATCH('Unit 1 a'!Y$7,'Rooms Walls and Glass'!$D$1:$AB$1,0))=0,"",INDEX('Rooms Walls and Glass'!$D$23:$AB$30, MATCH($D25,'Rooms Walls and Glass'!$A$23:$A$30,0), MATCH('Unit 1 a'!Y$7,'Rooms Walls and Glass'!$D$1:$AB$1,0))))</f>
        <v/>
      </c>
      <c r="Z25" s="68" t="str">
        <f t="shared" si="104"/>
        <v>-</v>
      </c>
      <c r="AA25" s="66" t="str">
        <f>IF(AA$7="","",IF(INDEX('Rooms Walls and Glass'!$D$23:$AB$30, MATCH($D25,'Rooms Walls and Glass'!$A$23:$A$30,0), MATCH('Unit 1 a'!AA$7,'Rooms Walls and Glass'!$D$1:$AB$1,0))=0,"",INDEX('Rooms Walls and Glass'!$D$23:$AB$30, MATCH($D25,'Rooms Walls and Glass'!$A$23:$A$30,0), MATCH('Unit 1 a'!AA$7,'Rooms Walls and Glass'!$D$1:$AB$1,0))))</f>
        <v/>
      </c>
      <c r="AB25" s="68" t="str">
        <f t="shared" si="105"/>
        <v>-</v>
      </c>
      <c r="AC25" s="66" t="str">
        <f>IF(AC$7="","",IF(INDEX('Rooms Walls and Glass'!$D$23:$AB$30, MATCH($D25,'Rooms Walls and Glass'!$A$23:$A$30,0), MATCH('Unit 1 a'!AC$7,'Rooms Walls and Glass'!$D$1:$AB$1,0))=0,"",INDEX('Rooms Walls and Glass'!$D$23:$AB$30, MATCH($D25,'Rooms Walls and Glass'!$A$23:$A$30,0), MATCH('Unit 1 a'!AC$7,'Rooms Walls and Glass'!$D$1:$AB$1,0))))</f>
        <v/>
      </c>
      <c r="AD25" s="68" t="str">
        <f t="shared" ref="AD25" si="120">IF(AC25="","-",AC25*$G25)</f>
        <v>-</v>
      </c>
      <c r="AE25" s="66" t="str">
        <f>IF(AE$7="","",IF(INDEX('Rooms Walls and Glass'!$D$23:$AB$30, MATCH($D25,'Rooms Walls and Glass'!$A$23:$A$30,0), MATCH('Unit 1 a'!AE$7,'Rooms Walls and Glass'!$D$1:$AB$1,0))=0,"",INDEX('Rooms Walls and Glass'!$D$23:$AB$30, MATCH($D25,'Rooms Walls and Glass'!$A$23:$A$30,0), MATCH('Unit 1 a'!AE$7,'Rooms Walls and Glass'!$D$1:$AB$1,0))))</f>
        <v/>
      </c>
      <c r="AF25" s="68" t="str">
        <f t="shared" ref="AF25" si="121">IF(AE25="","-",AE25*$G25)</f>
        <v>-</v>
      </c>
      <c r="AG25" s="66" t="str">
        <f>IF(AG$7="","",IF(INDEX('Rooms Walls and Glass'!$D$23:$AB$30, MATCH($D25,'Rooms Walls and Glass'!$A$23:$A$30,0), MATCH('Unit 1 a'!AG$7,'Rooms Walls and Glass'!$D$1:$AB$1,0))=0,"",INDEX('Rooms Walls and Glass'!$D$23:$AB$30, MATCH($D25,'Rooms Walls and Glass'!$A$23:$A$30,0), MATCH('Unit 1 a'!AG$7,'Rooms Walls and Glass'!$D$1:$AB$1,0))))</f>
        <v/>
      </c>
      <c r="AH25" s="68" t="str">
        <f t="shared" si="106"/>
        <v>-</v>
      </c>
      <c r="AI25" s="66" t="str">
        <f>IF(AI$7="","",IF(INDEX('Rooms Walls and Glass'!$D$23:$AB$30, MATCH($D25,'Rooms Walls and Glass'!$A$23:$A$30,0), MATCH('Unit 1 a'!AI$7,'Rooms Walls and Glass'!$D$1:$AB$1,0))=0,"",INDEX('Rooms Walls and Glass'!$D$23:$AB$30, MATCH($D25,'Rooms Walls and Glass'!$A$23:$A$30,0), MATCH('Unit 1 a'!AI$7,'Rooms Walls and Glass'!$D$1:$AB$1,0))))</f>
        <v/>
      </c>
      <c r="AJ25" s="69" t="str">
        <f t="shared" si="23"/>
        <v>-</v>
      </c>
      <c r="AK25" s="66" t="str">
        <f>IF(AK$7="","",IF(INDEX('Rooms Walls and Glass'!$D$23:$AB$30, MATCH($D25,'Rooms Walls and Glass'!$A$23:$A$30,0), MATCH('Unit 1 a'!AK$7,'Rooms Walls and Glass'!$D$1:$AB$1,0))=0,"",INDEX('Rooms Walls and Glass'!$D$23:$AB$30, MATCH($D25,'Rooms Walls and Glass'!$A$23:$A$30,0), MATCH('Unit 1 a'!AK$7,'Rooms Walls and Glass'!$D$1:$AB$1,0))))</f>
        <v/>
      </c>
      <c r="AL25" s="69" t="str">
        <f t="shared" si="24"/>
        <v>-</v>
      </c>
      <c r="AM25" s="66" t="str">
        <f>IF(AM$7="","",IF(INDEX('Rooms Walls and Glass'!$D$23:$AB$30, MATCH($D25,'Rooms Walls and Glass'!$A$23:$A$30,0), MATCH('Unit 1 a'!AM$7,'Rooms Walls and Glass'!$D$1:$AB$1,0))=0,"",INDEX('Rooms Walls and Glass'!$D$23:$AB$30, MATCH($D25,'Rooms Walls and Glass'!$A$23:$A$30,0), MATCH('Unit 1 a'!AM$7,'Rooms Walls and Glass'!$D$1:$AB$1,0))))</f>
        <v/>
      </c>
      <c r="AN25" s="68" t="str">
        <f t="shared" si="25"/>
        <v>-</v>
      </c>
      <c r="AO25" s="66" t="str">
        <f>IF(AO$7="","",IF(INDEX('Rooms Walls and Glass'!$D$23:$AB$30, MATCH($D25,'Rooms Walls and Glass'!$A$23:$A$30,0), MATCH('Unit 1 a'!AO$7,'Rooms Walls and Glass'!$D$1:$AB$1,0))=0,"",INDEX('Rooms Walls and Glass'!$D$23:$AB$30, MATCH($D25,'Rooms Walls and Glass'!$A$23:$A$30,0), MATCH('Unit 1 a'!AO$7,'Rooms Walls and Glass'!$D$1:$AB$1,0))))</f>
        <v/>
      </c>
      <c r="AP25" s="69" t="str">
        <f t="shared" si="26"/>
        <v>-</v>
      </c>
    </row>
    <row r="26" spans="2:42" ht="11.25" customHeight="1" thickBot="1" x14ac:dyDescent="0.2">
      <c r="B26" s="214"/>
      <c r="C26" s="15" t="s">
        <v>38</v>
      </c>
      <c r="D26" s="13" t="str">
        <f>'Rooms Walls and Glass'!A28</f>
        <v>South</v>
      </c>
      <c r="E26" s="13">
        <f>INDEX('Glass CLF Calculation'!$A$20:$G$27,MATCH('Unit 1 a'!D26,'Glass CLF Calculation'!$A$20:$A$27,0),7)</f>
        <v>16</v>
      </c>
      <c r="F26" s="14">
        <f>INDEX(Summary!$F$19:$F$30,MATCH('Unit 1 a'!C26,Summary!$D$19:$D$30,0))</f>
        <v>7.6999999999999999E-2</v>
      </c>
      <c r="G26" s="14">
        <f t="shared" si="109"/>
        <v>1.232</v>
      </c>
      <c r="H26" s="16" t="s">
        <v>6</v>
      </c>
      <c r="I26" s="65">
        <f t="shared" si="10"/>
        <v>0</v>
      </c>
      <c r="J26" s="68">
        <f t="shared" si="97"/>
        <v>0</v>
      </c>
      <c r="K26" s="66" t="str">
        <f>IF(K$7="","",IF(INDEX('Rooms Walls and Glass'!$D$23:$AB$30, MATCH($D26,'Rooms Walls and Glass'!$A$23:$A$30,0), MATCH('Unit 1 a'!K$7,'Rooms Walls and Glass'!$D$1:$AB$1,0))=0,"",INDEX('Rooms Walls and Glass'!$D$23:$AB$30, MATCH($D26,'Rooms Walls and Glass'!$A$23:$A$30,0), MATCH('Unit 1 a'!K$7,'Rooms Walls and Glass'!$D$1:$AB$1,0))))</f>
        <v/>
      </c>
      <c r="L26" s="68" t="str">
        <f t="shared" si="98"/>
        <v>-</v>
      </c>
      <c r="M26" s="66" t="str">
        <f>IF(M$7="","",IF(INDEX('Rooms Walls and Glass'!$D$23:$AB$30, MATCH($D26,'Rooms Walls and Glass'!$A$23:$A$30,0), MATCH('Unit 1 a'!M$7,'Rooms Walls and Glass'!$D$1:$AB$1,0))=0,"",INDEX('Rooms Walls and Glass'!$D$23:$AB$30, MATCH($D26,'Rooms Walls and Glass'!$A$23:$A$30,0), MATCH('Unit 1 a'!M$7,'Rooms Walls and Glass'!$D$1:$AB$1,0))))</f>
        <v/>
      </c>
      <c r="N26" s="68" t="str">
        <f t="shared" si="99"/>
        <v>-</v>
      </c>
      <c r="O26" s="66" t="str">
        <f>IF(O$7="","",IF(INDEX('Rooms Walls and Glass'!$D$23:$AB$30, MATCH($D26,'Rooms Walls and Glass'!$A$23:$A$30,0), MATCH('Unit 1 a'!O$7,'Rooms Walls and Glass'!$D$1:$AB$1,0))=0,"",INDEX('Rooms Walls and Glass'!$D$23:$AB$30, MATCH($D26,'Rooms Walls and Glass'!$A$23:$A$30,0), MATCH('Unit 1 a'!O$7,'Rooms Walls and Glass'!$D$1:$AB$1,0))))</f>
        <v/>
      </c>
      <c r="P26" s="68" t="str">
        <f t="shared" si="100"/>
        <v>-</v>
      </c>
      <c r="Q26" s="66" t="str">
        <f>IF(Q$7="","",IF(INDEX('Rooms Walls and Glass'!$D$23:$AB$30, MATCH($D26,'Rooms Walls and Glass'!$A$23:$A$30,0), MATCH('Unit 1 a'!Q$7,'Rooms Walls and Glass'!$D$1:$AB$1,0))=0,"",INDEX('Rooms Walls and Glass'!$D$23:$AB$30, MATCH($D26,'Rooms Walls and Glass'!$A$23:$A$30,0), MATCH('Unit 1 a'!Q$7,'Rooms Walls and Glass'!$D$1:$AB$1,0))))</f>
        <v/>
      </c>
      <c r="R26" s="68" t="str">
        <f t="shared" si="101"/>
        <v>-</v>
      </c>
      <c r="S26" s="66" t="str">
        <f>IF(S$7="","",IF(INDEX('Rooms Walls and Glass'!$D$23:$AB$30, MATCH($D26,'Rooms Walls and Glass'!$A$23:$A$30,0), MATCH('Unit 1 a'!S$7,'Rooms Walls and Glass'!$D$1:$AB$1,0))=0,"",INDEX('Rooms Walls and Glass'!$D$23:$AB$30, MATCH($D26,'Rooms Walls and Glass'!$A$23:$A$30,0), MATCH('Unit 1 a'!S$7,'Rooms Walls and Glass'!$D$1:$AB$1,0))))</f>
        <v/>
      </c>
      <c r="T26" s="68" t="str">
        <f t="shared" si="16"/>
        <v>-</v>
      </c>
      <c r="U26" s="66" t="str">
        <f>IF(U$7="","",IF(INDEX('Rooms Walls and Glass'!$D$23:$AB$30, MATCH($D26,'Rooms Walls and Glass'!$A$23:$A$30,0), MATCH('Unit 1 a'!U$7,'Rooms Walls and Glass'!$D$1:$AB$1,0))=0,"",INDEX('Rooms Walls and Glass'!$D$23:$AB$30, MATCH($D26,'Rooms Walls and Glass'!$A$23:$A$30,0), MATCH('Unit 1 a'!U$7,'Rooms Walls and Glass'!$D$1:$AB$1,0))))</f>
        <v/>
      </c>
      <c r="V26" s="68" t="str">
        <f t="shared" si="102"/>
        <v>-</v>
      </c>
      <c r="W26" s="66" t="str">
        <f>IF(W$7="","",IF(INDEX('Rooms Walls and Glass'!$D$23:$AB$30, MATCH($D26,'Rooms Walls and Glass'!$A$23:$A$30,0), MATCH('Unit 1 a'!W$7,'Rooms Walls and Glass'!$D$1:$AB$1,0))=0,"",INDEX('Rooms Walls and Glass'!$D$23:$AB$30, MATCH($D26,'Rooms Walls and Glass'!$A$23:$A$30,0), MATCH('Unit 1 a'!W$7,'Rooms Walls and Glass'!$D$1:$AB$1,0))))</f>
        <v/>
      </c>
      <c r="X26" s="68" t="str">
        <f t="shared" si="103"/>
        <v>-</v>
      </c>
      <c r="Y26" s="66" t="str">
        <f>IF(Y$7="","",IF(INDEX('Rooms Walls and Glass'!$D$23:$AB$30, MATCH($D26,'Rooms Walls and Glass'!$A$23:$A$30,0), MATCH('Unit 1 a'!Y$7,'Rooms Walls and Glass'!$D$1:$AB$1,0))=0,"",INDEX('Rooms Walls and Glass'!$D$23:$AB$30, MATCH($D26,'Rooms Walls and Glass'!$A$23:$A$30,0), MATCH('Unit 1 a'!Y$7,'Rooms Walls and Glass'!$D$1:$AB$1,0))))</f>
        <v/>
      </c>
      <c r="Z26" s="68" t="str">
        <f t="shared" si="104"/>
        <v>-</v>
      </c>
      <c r="AA26" s="66" t="str">
        <f>IF(AA$7="","",IF(INDEX('Rooms Walls and Glass'!$D$23:$AB$30, MATCH($D26,'Rooms Walls and Glass'!$A$23:$A$30,0), MATCH('Unit 1 a'!AA$7,'Rooms Walls and Glass'!$D$1:$AB$1,0))=0,"",INDEX('Rooms Walls and Glass'!$D$23:$AB$30, MATCH($D26,'Rooms Walls and Glass'!$A$23:$A$30,0), MATCH('Unit 1 a'!AA$7,'Rooms Walls and Glass'!$D$1:$AB$1,0))))</f>
        <v/>
      </c>
      <c r="AB26" s="68" t="str">
        <f t="shared" si="105"/>
        <v>-</v>
      </c>
      <c r="AC26" s="66" t="str">
        <f>IF(AC$7="","",IF(INDEX('Rooms Walls and Glass'!$D$23:$AB$30, MATCH($D26,'Rooms Walls and Glass'!$A$23:$A$30,0), MATCH('Unit 1 a'!AC$7,'Rooms Walls and Glass'!$D$1:$AB$1,0))=0,"",INDEX('Rooms Walls and Glass'!$D$23:$AB$30, MATCH($D26,'Rooms Walls and Glass'!$A$23:$A$30,0), MATCH('Unit 1 a'!AC$7,'Rooms Walls and Glass'!$D$1:$AB$1,0))))</f>
        <v/>
      </c>
      <c r="AD26" s="68" t="str">
        <f t="shared" ref="AD26" si="122">IF(AC26="","-",AC26*$G26)</f>
        <v>-</v>
      </c>
      <c r="AE26" s="66" t="str">
        <f>IF(AE$7="","",IF(INDEX('Rooms Walls and Glass'!$D$23:$AB$30, MATCH($D26,'Rooms Walls and Glass'!$A$23:$A$30,0), MATCH('Unit 1 a'!AE$7,'Rooms Walls and Glass'!$D$1:$AB$1,0))=0,"",INDEX('Rooms Walls and Glass'!$D$23:$AB$30, MATCH($D26,'Rooms Walls and Glass'!$A$23:$A$30,0), MATCH('Unit 1 a'!AE$7,'Rooms Walls and Glass'!$D$1:$AB$1,0))))</f>
        <v/>
      </c>
      <c r="AF26" s="68" t="str">
        <f t="shared" ref="AF26" si="123">IF(AE26="","-",AE26*$G26)</f>
        <v>-</v>
      </c>
      <c r="AG26" s="66" t="str">
        <f>IF(AG$7="","",IF(INDEX('Rooms Walls and Glass'!$D$23:$AB$30, MATCH($D26,'Rooms Walls and Glass'!$A$23:$A$30,0), MATCH('Unit 1 a'!AG$7,'Rooms Walls and Glass'!$D$1:$AB$1,0))=0,"",INDEX('Rooms Walls and Glass'!$D$23:$AB$30, MATCH($D26,'Rooms Walls and Glass'!$A$23:$A$30,0), MATCH('Unit 1 a'!AG$7,'Rooms Walls and Glass'!$D$1:$AB$1,0))))</f>
        <v/>
      </c>
      <c r="AH26" s="68" t="str">
        <f t="shared" si="106"/>
        <v>-</v>
      </c>
      <c r="AI26" s="66" t="str">
        <f>IF(AI$7="","",IF(INDEX('Rooms Walls and Glass'!$D$23:$AB$30, MATCH($D26,'Rooms Walls and Glass'!$A$23:$A$30,0), MATCH('Unit 1 a'!AI$7,'Rooms Walls and Glass'!$D$1:$AB$1,0))=0,"",INDEX('Rooms Walls and Glass'!$D$23:$AB$30, MATCH($D26,'Rooms Walls and Glass'!$A$23:$A$30,0), MATCH('Unit 1 a'!AI$7,'Rooms Walls and Glass'!$D$1:$AB$1,0))))</f>
        <v/>
      </c>
      <c r="AJ26" s="69" t="str">
        <f t="shared" si="23"/>
        <v>-</v>
      </c>
      <c r="AK26" s="66" t="str">
        <f>IF(AK$7="","",IF(INDEX('Rooms Walls and Glass'!$D$23:$AB$30, MATCH($D26,'Rooms Walls and Glass'!$A$23:$A$30,0), MATCH('Unit 1 a'!AK$7,'Rooms Walls and Glass'!$D$1:$AB$1,0))=0,"",INDEX('Rooms Walls and Glass'!$D$23:$AB$30, MATCH($D26,'Rooms Walls and Glass'!$A$23:$A$30,0), MATCH('Unit 1 a'!AK$7,'Rooms Walls and Glass'!$D$1:$AB$1,0))))</f>
        <v/>
      </c>
      <c r="AL26" s="69" t="str">
        <f t="shared" si="24"/>
        <v>-</v>
      </c>
      <c r="AM26" s="66" t="str">
        <f>IF(AM$7="","",IF(INDEX('Rooms Walls and Glass'!$D$23:$AB$30, MATCH($D26,'Rooms Walls and Glass'!$A$23:$A$30,0), MATCH('Unit 1 a'!AM$7,'Rooms Walls and Glass'!$D$1:$AB$1,0))=0,"",INDEX('Rooms Walls and Glass'!$D$23:$AB$30, MATCH($D26,'Rooms Walls and Glass'!$A$23:$A$30,0), MATCH('Unit 1 a'!AM$7,'Rooms Walls and Glass'!$D$1:$AB$1,0))))</f>
        <v/>
      </c>
      <c r="AN26" s="68" t="str">
        <f t="shared" si="25"/>
        <v>-</v>
      </c>
      <c r="AO26" s="66" t="str">
        <f>IF(AO$7="","",IF(INDEX('Rooms Walls and Glass'!$D$23:$AB$30, MATCH($D26,'Rooms Walls and Glass'!$A$23:$A$30,0), MATCH('Unit 1 a'!AO$7,'Rooms Walls and Glass'!$D$1:$AB$1,0))=0,"",INDEX('Rooms Walls and Glass'!$D$23:$AB$30, MATCH($D26,'Rooms Walls and Glass'!$A$23:$A$30,0), MATCH('Unit 1 a'!AO$7,'Rooms Walls and Glass'!$D$1:$AB$1,0))))</f>
        <v/>
      </c>
      <c r="AP26" s="69" t="str">
        <f t="shared" si="26"/>
        <v>-</v>
      </c>
    </row>
    <row r="27" spans="2:42" ht="11.25" customHeight="1" thickBot="1" x14ac:dyDescent="0.2">
      <c r="B27" s="214"/>
      <c r="C27" s="15" t="s">
        <v>38</v>
      </c>
      <c r="D27" s="13" t="str">
        <f>'Rooms Walls and Glass'!A29</f>
        <v>SouthWest</v>
      </c>
      <c r="E27" s="13">
        <f>INDEX('Glass CLF Calculation'!$A$20:$G$27,MATCH('Unit 1 a'!D27,'Glass CLF Calculation'!$A$20:$A$27,0),7)</f>
        <v>21</v>
      </c>
      <c r="F27" s="14">
        <f>INDEX(Summary!$F$19:$F$30,MATCH('Unit 1 a'!C27,Summary!$D$19:$D$30,0))</f>
        <v>7.6999999999999999E-2</v>
      </c>
      <c r="G27" s="14">
        <f t="shared" si="109"/>
        <v>1.617</v>
      </c>
      <c r="H27" s="16" t="s">
        <v>6</v>
      </c>
      <c r="I27" s="65">
        <f t="shared" si="10"/>
        <v>209</v>
      </c>
      <c r="J27" s="68">
        <f t="shared" si="97"/>
        <v>337.95299999999997</v>
      </c>
      <c r="K27" s="66" t="str">
        <f>IF(K$7="","",IF(INDEX('Rooms Walls and Glass'!$D$23:$AB$30, MATCH($D27,'Rooms Walls and Glass'!$A$23:$A$30,0), MATCH('Unit 1 a'!K$7,'Rooms Walls and Glass'!$D$1:$AB$1,0))=0,"",INDEX('Rooms Walls and Glass'!$D$23:$AB$30, MATCH($D27,'Rooms Walls and Glass'!$A$23:$A$30,0), MATCH('Unit 1 a'!K$7,'Rooms Walls and Glass'!$D$1:$AB$1,0))))</f>
        <v/>
      </c>
      <c r="L27" s="68" t="str">
        <f t="shared" si="98"/>
        <v>-</v>
      </c>
      <c r="M27" s="66" t="str">
        <f>IF(M$7="","",IF(INDEX('Rooms Walls and Glass'!$D$23:$AB$30, MATCH($D27,'Rooms Walls and Glass'!$A$23:$A$30,0), MATCH('Unit 1 a'!M$7,'Rooms Walls and Glass'!$D$1:$AB$1,0))=0,"",INDEX('Rooms Walls and Glass'!$D$23:$AB$30, MATCH($D27,'Rooms Walls and Glass'!$A$23:$A$30,0), MATCH('Unit 1 a'!M$7,'Rooms Walls and Glass'!$D$1:$AB$1,0))))</f>
        <v/>
      </c>
      <c r="N27" s="68" t="str">
        <f t="shared" si="99"/>
        <v>-</v>
      </c>
      <c r="O27" s="66" t="str">
        <f>IF(O$7="","",IF(INDEX('Rooms Walls and Glass'!$D$23:$AB$30, MATCH($D27,'Rooms Walls and Glass'!$A$23:$A$30,0), MATCH('Unit 1 a'!O$7,'Rooms Walls and Glass'!$D$1:$AB$1,0))=0,"",INDEX('Rooms Walls and Glass'!$D$23:$AB$30, MATCH($D27,'Rooms Walls and Glass'!$A$23:$A$30,0), MATCH('Unit 1 a'!O$7,'Rooms Walls and Glass'!$D$1:$AB$1,0))))</f>
        <v/>
      </c>
      <c r="P27" s="68" t="str">
        <f t="shared" si="100"/>
        <v>-</v>
      </c>
      <c r="Q27" s="66" t="str">
        <f>IF(Q$7="","",IF(INDEX('Rooms Walls and Glass'!$D$23:$AB$30, MATCH($D27,'Rooms Walls and Glass'!$A$23:$A$30,0), MATCH('Unit 1 a'!Q$7,'Rooms Walls and Glass'!$D$1:$AB$1,0))=0,"",INDEX('Rooms Walls and Glass'!$D$23:$AB$30, MATCH($D27,'Rooms Walls and Glass'!$A$23:$A$30,0), MATCH('Unit 1 a'!Q$7,'Rooms Walls and Glass'!$D$1:$AB$1,0))))</f>
        <v/>
      </c>
      <c r="R27" s="68" t="str">
        <f t="shared" si="101"/>
        <v>-</v>
      </c>
      <c r="S27" s="66" t="str">
        <f>IF(S$7="","",IF(INDEX('Rooms Walls and Glass'!$D$23:$AB$30, MATCH($D27,'Rooms Walls and Glass'!$A$23:$A$30,0), MATCH('Unit 1 a'!S$7,'Rooms Walls and Glass'!$D$1:$AB$1,0))=0,"",INDEX('Rooms Walls and Glass'!$D$23:$AB$30, MATCH($D27,'Rooms Walls and Glass'!$A$23:$A$30,0), MATCH('Unit 1 a'!S$7,'Rooms Walls and Glass'!$D$1:$AB$1,0))))</f>
        <v/>
      </c>
      <c r="T27" s="68" t="str">
        <f t="shared" si="16"/>
        <v>-</v>
      </c>
      <c r="U27" s="66" t="str">
        <f>IF(U$7="","",IF(INDEX('Rooms Walls and Glass'!$D$23:$AB$30, MATCH($D27,'Rooms Walls and Glass'!$A$23:$A$30,0), MATCH('Unit 1 a'!U$7,'Rooms Walls and Glass'!$D$1:$AB$1,0))=0,"",INDEX('Rooms Walls and Glass'!$D$23:$AB$30, MATCH($D27,'Rooms Walls and Glass'!$A$23:$A$30,0), MATCH('Unit 1 a'!U$7,'Rooms Walls and Glass'!$D$1:$AB$1,0))))</f>
        <v/>
      </c>
      <c r="V27" s="68" t="str">
        <f t="shared" si="102"/>
        <v>-</v>
      </c>
      <c r="W27" s="66">
        <f>IF(W$7="","",IF(INDEX('Rooms Walls and Glass'!$D$23:$AB$30, MATCH($D27,'Rooms Walls and Glass'!$A$23:$A$30,0), MATCH('Unit 1 a'!W$7,'Rooms Walls and Glass'!$D$1:$AB$1,0))=0,"",INDEX('Rooms Walls and Glass'!$D$23:$AB$30, MATCH($D27,'Rooms Walls and Glass'!$A$23:$A$30,0), MATCH('Unit 1 a'!W$7,'Rooms Walls and Glass'!$D$1:$AB$1,0))))</f>
        <v>94</v>
      </c>
      <c r="X27" s="68">
        <f t="shared" si="103"/>
        <v>151.99799999999999</v>
      </c>
      <c r="Y27" s="66">
        <f>IF(Y$7="","",IF(INDEX('Rooms Walls and Glass'!$D$23:$AB$30, MATCH($D27,'Rooms Walls and Glass'!$A$23:$A$30,0), MATCH('Unit 1 a'!Y$7,'Rooms Walls and Glass'!$D$1:$AB$1,0))=0,"",INDEX('Rooms Walls and Glass'!$D$23:$AB$30, MATCH($D27,'Rooms Walls and Glass'!$A$23:$A$30,0), MATCH('Unit 1 a'!Y$7,'Rooms Walls and Glass'!$D$1:$AB$1,0))))</f>
        <v>42</v>
      </c>
      <c r="Z27" s="68">
        <f t="shared" si="104"/>
        <v>67.914000000000001</v>
      </c>
      <c r="AA27" s="66">
        <f>IF(AA$7="","",IF(INDEX('Rooms Walls and Glass'!$D$23:$AB$30, MATCH($D27,'Rooms Walls and Glass'!$A$23:$A$30,0), MATCH('Unit 1 a'!AA$7,'Rooms Walls and Glass'!$D$1:$AB$1,0))=0,"",INDEX('Rooms Walls and Glass'!$D$23:$AB$30, MATCH($D27,'Rooms Walls and Glass'!$A$23:$A$30,0), MATCH('Unit 1 a'!AA$7,'Rooms Walls and Glass'!$D$1:$AB$1,0))))</f>
        <v>73</v>
      </c>
      <c r="AB27" s="68">
        <f t="shared" si="105"/>
        <v>118.041</v>
      </c>
      <c r="AC27" s="66" t="str">
        <f>IF(AC$7="","",IF(INDEX('Rooms Walls and Glass'!$D$23:$AB$30, MATCH($D27,'Rooms Walls and Glass'!$A$23:$A$30,0), MATCH('Unit 1 a'!AC$7,'Rooms Walls and Glass'!$D$1:$AB$1,0))=0,"",INDEX('Rooms Walls and Glass'!$D$23:$AB$30, MATCH($D27,'Rooms Walls and Glass'!$A$23:$A$30,0), MATCH('Unit 1 a'!AC$7,'Rooms Walls and Glass'!$D$1:$AB$1,0))))</f>
        <v/>
      </c>
      <c r="AD27" s="68" t="str">
        <f t="shared" ref="AD27" si="124">IF(AC27="","-",AC27*$G27)</f>
        <v>-</v>
      </c>
      <c r="AE27" s="66" t="str">
        <f>IF(AE$7="","",IF(INDEX('Rooms Walls and Glass'!$D$23:$AB$30, MATCH($D27,'Rooms Walls and Glass'!$A$23:$A$30,0), MATCH('Unit 1 a'!AE$7,'Rooms Walls and Glass'!$D$1:$AB$1,0))=0,"",INDEX('Rooms Walls and Glass'!$D$23:$AB$30, MATCH($D27,'Rooms Walls and Glass'!$A$23:$A$30,0), MATCH('Unit 1 a'!AE$7,'Rooms Walls and Glass'!$D$1:$AB$1,0))))</f>
        <v/>
      </c>
      <c r="AF27" s="68" t="str">
        <f t="shared" ref="AF27" si="125">IF(AE27="","-",AE27*$G27)</f>
        <v>-</v>
      </c>
      <c r="AG27" s="66" t="str">
        <f>IF(AG$7="","",IF(INDEX('Rooms Walls and Glass'!$D$23:$AB$30, MATCH($D27,'Rooms Walls and Glass'!$A$23:$A$30,0), MATCH('Unit 1 a'!AG$7,'Rooms Walls and Glass'!$D$1:$AB$1,0))=0,"",INDEX('Rooms Walls and Glass'!$D$23:$AB$30, MATCH($D27,'Rooms Walls and Glass'!$A$23:$A$30,0), MATCH('Unit 1 a'!AG$7,'Rooms Walls and Glass'!$D$1:$AB$1,0))))</f>
        <v/>
      </c>
      <c r="AH27" s="68" t="str">
        <f t="shared" si="106"/>
        <v>-</v>
      </c>
      <c r="AI27" s="66" t="str">
        <f>IF(AI$7="","",IF(INDEX('Rooms Walls and Glass'!$D$23:$AB$30, MATCH($D27,'Rooms Walls and Glass'!$A$23:$A$30,0), MATCH('Unit 1 a'!AI$7,'Rooms Walls and Glass'!$D$1:$AB$1,0))=0,"",INDEX('Rooms Walls and Glass'!$D$23:$AB$30, MATCH($D27,'Rooms Walls and Glass'!$A$23:$A$30,0), MATCH('Unit 1 a'!AI$7,'Rooms Walls and Glass'!$D$1:$AB$1,0))))</f>
        <v/>
      </c>
      <c r="AJ27" s="69" t="str">
        <f t="shared" si="23"/>
        <v>-</v>
      </c>
      <c r="AK27" s="66" t="str">
        <f>IF(AK$7="","",IF(INDEX('Rooms Walls and Glass'!$D$23:$AB$30, MATCH($D27,'Rooms Walls and Glass'!$A$23:$A$30,0), MATCH('Unit 1 a'!AK$7,'Rooms Walls and Glass'!$D$1:$AB$1,0))=0,"",INDEX('Rooms Walls and Glass'!$D$23:$AB$30, MATCH($D27,'Rooms Walls and Glass'!$A$23:$A$30,0), MATCH('Unit 1 a'!AK$7,'Rooms Walls and Glass'!$D$1:$AB$1,0))))</f>
        <v/>
      </c>
      <c r="AL27" s="69" t="str">
        <f t="shared" si="24"/>
        <v>-</v>
      </c>
      <c r="AM27" s="66" t="str">
        <f>IF(AM$7="","",IF(INDEX('Rooms Walls and Glass'!$D$23:$AB$30, MATCH($D27,'Rooms Walls and Glass'!$A$23:$A$30,0), MATCH('Unit 1 a'!AM$7,'Rooms Walls and Glass'!$D$1:$AB$1,0))=0,"",INDEX('Rooms Walls and Glass'!$D$23:$AB$30, MATCH($D27,'Rooms Walls and Glass'!$A$23:$A$30,0), MATCH('Unit 1 a'!AM$7,'Rooms Walls and Glass'!$D$1:$AB$1,0))))</f>
        <v/>
      </c>
      <c r="AN27" s="68" t="str">
        <f t="shared" si="25"/>
        <v>-</v>
      </c>
      <c r="AO27" s="66" t="str">
        <f>IF(AO$7="","",IF(INDEX('Rooms Walls and Glass'!$D$23:$AB$30, MATCH($D27,'Rooms Walls and Glass'!$A$23:$A$30,0), MATCH('Unit 1 a'!AO$7,'Rooms Walls and Glass'!$D$1:$AB$1,0))=0,"",INDEX('Rooms Walls and Glass'!$D$23:$AB$30, MATCH($D27,'Rooms Walls and Glass'!$A$23:$A$30,0), MATCH('Unit 1 a'!AO$7,'Rooms Walls and Glass'!$D$1:$AB$1,0))))</f>
        <v/>
      </c>
      <c r="AP27" s="69" t="str">
        <f t="shared" si="26"/>
        <v>-</v>
      </c>
    </row>
    <row r="28" spans="2:42" ht="11.25" customHeight="1" thickBot="1" x14ac:dyDescent="0.2">
      <c r="B28" s="213"/>
      <c r="C28" s="17" t="s">
        <v>38</v>
      </c>
      <c r="D28" s="13" t="str">
        <f>'Rooms Walls and Glass'!A30</f>
        <v>West</v>
      </c>
      <c r="E28" s="13">
        <f>INDEX('Glass CLF Calculation'!$A$20:$G$27,MATCH('Unit 1 a'!D28,'Glass CLF Calculation'!$A$20:$A$27,0),7)</f>
        <v>23</v>
      </c>
      <c r="F28" s="14">
        <f>INDEX(Summary!$F$19:$F$30,MATCH('Unit 1 a'!C28,Summary!$D$19:$D$30,0))</f>
        <v>7.6999999999999999E-2</v>
      </c>
      <c r="G28" s="14">
        <f t="shared" si="109"/>
        <v>1.7709999999999999</v>
      </c>
      <c r="H28" s="18" t="s">
        <v>6</v>
      </c>
      <c r="I28" s="65">
        <f t="shared" si="10"/>
        <v>0</v>
      </c>
      <c r="J28" s="70">
        <f t="shared" si="97"/>
        <v>0</v>
      </c>
      <c r="K28" s="66" t="str">
        <f>IF(K$7="","",IF(INDEX('Rooms Walls and Glass'!$D$23:$AB$30, MATCH($D28,'Rooms Walls and Glass'!$A$23:$A$30,0), MATCH('Unit 1 a'!K$7,'Rooms Walls and Glass'!$D$1:$AB$1,0))=0,"",INDEX('Rooms Walls and Glass'!$D$23:$AB$30, MATCH($D28,'Rooms Walls and Glass'!$A$23:$A$30,0), MATCH('Unit 1 a'!K$7,'Rooms Walls and Glass'!$D$1:$AB$1,0))))</f>
        <v/>
      </c>
      <c r="L28" s="70" t="str">
        <f t="shared" si="98"/>
        <v>-</v>
      </c>
      <c r="M28" s="66" t="str">
        <f>IF(M$7="","",IF(INDEX('Rooms Walls and Glass'!$D$23:$AB$30, MATCH($D28,'Rooms Walls and Glass'!$A$23:$A$30,0), MATCH('Unit 1 a'!M$7,'Rooms Walls and Glass'!$D$1:$AB$1,0))=0,"",INDEX('Rooms Walls and Glass'!$D$23:$AB$30, MATCH($D28,'Rooms Walls and Glass'!$A$23:$A$30,0), MATCH('Unit 1 a'!M$7,'Rooms Walls and Glass'!$D$1:$AB$1,0))))</f>
        <v/>
      </c>
      <c r="N28" s="70" t="str">
        <f t="shared" si="99"/>
        <v>-</v>
      </c>
      <c r="O28" s="66" t="str">
        <f>IF(O$7="","",IF(INDEX('Rooms Walls and Glass'!$D$23:$AB$30, MATCH($D28,'Rooms Walls and Glass'!$A$23:$A$30,0), MATCH('Unit 1 a'!O$7,'Rooms Walls and Glass'!$D$1:$AB$1,0))=0,"",INDEX('Rooms Walls and Glass'!$D$23:$AB$30, MATCH($D28,'Rooms Walls and Glass'!$A$23:$A$30,0), MATCH('Unit 1 a'!O$7,'Rooms Walls and Glass'!$D$1:$AB$1,0))))</f>
        <v/>
      </c>
      <c r="P28" s="70" t="str">
        <f t="shared" si="100"/>
        <v>-</v>
      </c>
      <c r="Q28" s="66" t="str">
        <f>IF(Q$7="","",IF(INDEX('Rooms Walls and Glass'!$D$23:$AB$30, MATCH($D28,'Rooms Walls and Glass'!$A$23:$A$30,0), MATCH('Unit 1 a'!Q$7,'Rooms Walls and Glass'!$D$1:$AB$1,0))=0,"",INDEX('Rooms Walls and Glass'!$D$23:$AB$30, MATCH($D28,'Rooms Walls and Glass'!$A$23:$A$30,0), MATCH('Unit 1 a'!Q$7,'Rooms Walls and Glass'!$D$1:$AB$1,0))))</f>
        <v/>
      </c>
      <c r="R28" s="70" t="str">
        <f t="shared" si="101"/>
        <v>-</v>
      </c>
      <c r="S28" s="66" t="str">
        <f>IF(S$7="","",IF(INDEX('Rooms Walls and Glass'!$D$23:$AB$30, MATCH($D28,'Rooms Walls and Glass'!$A$23:$A$30,0), MATCH('Unit 1 a'!S$7,'Rooms Walls and Glass'!$D$1:$AB$1,0))=0,"",INDEX('Rooms Walls and Glass'!$D$23:$AB$30, MATCH($D28,'Rooms Walls and Glass'!$A$23:$A$30,0), MATCH('Unit 1 a'!S$7,'Rooms Walls and Glass'!$D$1:$AB$1,0))))</f>
        <v/>
      </c>
      <c r="T28" s="70" t="str">
        <f t="shared" si="16"/>
        <v>-</v>
      </c>
      <c r="U28" s="66" t="str">
        <f>IF(U$7="","",IF(INDEX('Rooms Walls and Glass'!$D$23:$AB$30, MATCH($D28,'Rooms Walls and Glass'!$A$23:$A$30,0), MATCH('Unit 1 a'!U$7,'Rooms Walls and Glass'!$D$1:$AB$1,0))=0,"",INDEX('Rooms Walls and Glass'!$D$23:$AB$30, MATCH($D28,'Rooms Walls and Glass'!$A$23:$A$30,0), MATCH('Unit 1 a'!U$7,'Rooms Walls and Glass'!$D$1:$AB$1,0))))</f>
        <v/>
      </c>
      <c r="V28" s="70" t="str">
        <f t="shared" si="102"/>
        <v>-</v>
      </c>
      <c r="W28" s="66" t="str">
        <f>IF(W$7="","",IF(INDEX('Rooms Walls and Glass'!$D$23:$AB$30, MATCH($D28,'Rooms Walls and Glass'!$A$23:$A$30,0), MATCH('Unit 1 a'!W$7,'Rooms Walls and Glass'!$D$1:$AB$1,0))=0,"",INDEX('Rooms Walls and Glass'!$D$23:$AB$30, MATCH($D28,'Rooms Walls and Glass'!$A$23:$A$30,0), MATCH('Unit 1 a'!W$7,'Rooms Walls and Glass'!$D$1:$AB$1,0))))</f>
        <v/>
      </c>
      <c r="X28" s="70" t="str">
        <f t="shared" si="103"/>
        <v>-</v>
      </c>
      <c r="Y28" s="66" t="str">
        <f>IF(Y$7="","",IF(INDEX('Rooms Walls and Glass'!$D$23:$AB$30, MATCH($D28,'Rooms Walls and Glass'!$A$23:$A$30,0), MATCH('Unit 1 a'!Y$7,'Rooms Walls and Glass'!$D$1:$AB$1,0))=0,"",INDEX('Rooms Walls and Glass'!$D$23:$AB$30, MATCH($D28,'Rooms Walls and Glass'!$A$23:$A$30,0), MATCH('Unit 1 a'!Y$7,'Rooms Walls and Glass'!$D$1:$AB$1,0))))</f>
        <v/>
      </c>
      <c r="Z28" s="70" t="str">
        <f t="shared" si="104"/>
        <v>-</v>
      </c>
      <c r="AA28" s="66" t="str">
        <f>IF(AA$7="","",IF(INDEX('Rooms Walls and Glass'!$D$23:$AB$30, MATCH($D28,'Rooms Walls and Glass'!$A$23:$A$30,0), MATCH('Unit 1 a'!AA$7,'Rooms Walls and Glass'!$D$1:$AB$1,0))=0,"",INDEX('Rooms Walls and Glass'!$D$23:$AB$30, MATCH($D28,'Rooms Walls and Glass'!$A$23:$A$30,0), MATCH('Unit 1 a'!AA$7,'Rooms Walls and Glass'!$D$1:$AB$1,0))))</f>
        <v/>
      </c>
      <c r="AB28" s="70" t="str">
        <f t="shared" si="105"/>
        <v>-</v>
      </c>
      <c r="AC28" s="66" t="str">
        <f>IF(AC$7="","",IF(INDEX('Rooms Walls and Glass'!$D$23:$AB$30, MATCH($D28,'Rooms Walls and Glass'!$A$23:$A$30,0), MATCH('Unit 1 a'!AC$7,'Rooms Walls and Glass'!$D$1:$AB$1,0))=0,"",INDEX('Rooms Walls and Glass'!$D$23:$AB$30, MATCH($D28,'Rooms Walls and Glass'!$A$23:$A$30,0), MATCH('Unit 1 a'!AC$7,'Rooms Walls and Glass'!$D$1:$AB$1,0))))</f>
        <v/>
      </c>
      <c r="AD28" s="70" t="str">
        <f t="shared" ref="AD28" si="126">IF(AC28="","-",AC28*$G28)</f>
        <v>-</v>
      </c>
      <c r="AE28" s="66" t="str">
        <f>IF(AE$7="","",IF(INDEX('Rooms Walls and Glass'!$D$23:$AB$30, MATCH($D28,'Rooms Walls and Glass'!$A$23:$A$30,0), MATCH('Unit 1 a'!AE$7,'Rooms Walls and Glass'!$D$1:$AB$1,0))=0,"",INDEX('Rooms Walls and Glass'!$D$23:$AB$30, MATCH($D28,'Rooms Walls and Glass'!$A$23:$A$30,0), MATCH('Unit 1 a'!AE$7,'Rooms Walls and Glass'!$D$1:$AB$1,0))))</f>
        <v/>
      </c>
      <c r="AF28" s="70" t="str">
        <f t="shared" ref="AF28" si="127">IF(AE28="","-",AE28*$G28)</f>
        <v>-</v>
      </c>
      <c r="AG28" s="66" t="str">
        <f>IF(AG$7="","",IF(INDEX('Rooms Walls and Glass'!$D$23:$AB$30, MATCH($D28,'Rooms Walls and Glass'!$A$23:$A$30,0), MATCH('Unit 1 a'!AG$7,'Rooms Walls and Glass'!$D$1:$AB$1,0))=0,"",INDEX('Rooms Walls and Glass'!$D$23:$AB$30, MATCH($D28,'Rooms Walls and Glass'!$A$23:$A$30,0), MATCH('Unit 1 a'!AG$7,'Rooms Walls and Glass'!$D$1:$AB$1,0))))</f>
        <v/>
      </c>
      <c r="AH28" s="70" t="str">
        <f t="shared" si="106"/>
        <v>-</v>
      </c>
      <c r="AI28" s="66" t="str">
        <f>IF(AI$7="","",IF(INDEX('Rooms Walls and Glass'!$D$23:$AB$30, MATCH($D28,'Rooms Walls and Glass'!$A$23:$A$30,0), MATCH('Unit 1 a'!AI$7,'Rooms Walls and Glass'!$D$1:$AB$1,0))=0,"",INDEX('Rooms Walls and Glass'!$D$23:$AB$30, MATCH($D28,'Rooms Walls and Glass'!$A$23:$A$30,0), MATCH('Unit 1 a'!AI$7,'Rooms Walls and Glass'!$D$1:$AB$1,0))))</f>
        <v/>
      </c>
      <c r="AJ28" s="71" t="str">
        <f t="shared" si="23"/>
        <v>-</v>
      </c>
      <c r="AK28" s="66" t="str">
        <f>IF(AK$7="","",IF(INDEX('Rooms Walls and Glass'!$D$23:$AB$30, MATCH($D28,'Rooms Walls and Glass'!$A$23:$A$30,0), MATCH('Unit 1 a'!AK$7,'Rooms Walls and Glass'!$D$1:$AB$1,0))=0,"",INDEX('Rooms Walls and Glass'!$D$23:$AB$30, MATCH($D28,'Rooms Walls and Glass'!$A$23:$A$30,0), MATCH('Unit 1 a'!AK$7,'Rooms Walls and Glass'!$D$1:$AB$1,0))))</f>
        <v/>
      </c>
      <c r="AL28" s="71" t="str">
        <f t="shared" si="24"/>
        <v>-</v>
      </c>
      <c r="AM28" s="66" t="str">
        <f>IF(AM$7="","",IF(INDEX('Rooms Walls and Glass'!$D$23:$AB$30, MATCH($D28,'Rooms Walls and Glass'!$A$23:$A$30,0), MATCH('Unit 1 a'!AM$7,'Rooms Walls and Glass'!$D$1:$AB$1,0))=0,"",INDEX('Rooms Walls and Glass'!$D$23:$AB$30, MATCH($D28,'Rooms Walls and Glass'!$A$23:$A$30,0), MATCH('Unit 1 a'!AM$7,'Rooms Walls and Glass'!$D$1:$AB$1,0))))</f>
        <v/>
      </c>
      <c r="AN28" s="70" t="str">
        <f t="shared" si="25"/>
        <v>-</v>
      </c>
      <c r="AO28" s="66" t="str">
        <f>IF(AO$7="","",IF(INDEX('Rooms Walls and Glass'!$D$23:$AB$30, MATCH($D28,'Rooms Walls and Glass'!$A$23:$A$30,0), MATCH('Unit 1 a'!AO$7,'Rooms Walls and Glass'!$D$1:$AB$1,0))=0,"",INDEX('Rooms Walls and Glass'!$D$23:$AB$30, MATCH($D28,'Rooms Walls and Glass'!$A$23:$A$30,0), MATCH('Unit 1 a'!AO$7,'Rooms Walls and Glass'!$D$1:$AB$1,0))))</f>
        <v/>
      </c>
      <c r="AP28" s="71" t="str">
        <f t="shared" si="26"/>
        <v>-</v>
      </c>
    </row>
    <row r="29" spans="2:42" ht="11.25" customHeight="1" thickBot="1" x14ac:dyDescent="0.2">
      <c r="B29" s="212" t="s">
        <v>78</v>
      </c>
      <c r="C29" s="12" t="s">
        <v>38</v>
      </c>
      <c r="D29" s="13" t="str">
        <f>'Rooms Walls and Glass'!A35</f>
        <v>NorthWest</v>
      </c>
      <c r="E29" s="13">
        <f>INDEX('Glass CLF Calculation'!$A$20:$G$27,MATCH('Unit 1 a'!D29,'Glass CLF Calculation'!$A$20:$A$27,0),7)</f>
        <v>19</v>
      </c>
      <c r="F29" s="14">
        <f>INDEX(Summary!$F$19:$F$30,MATCH('Unit 1 a'!C29,Summary!$D$19:$D$30,0))</f>
        <v>7.6999999999999999E-2</v>
      </c>
      <c r="G29" s="14">
        <f t="shared" si="109"/>
        <v>1.4630000000000001</v>
      </c>
      <c r="H29" s="13" t="s">
        <v>6</v>
      </c>
      <c r="I29" s="65">
        <f t="shared" si="10"/>
        <v>0</v>
      </c>
      <c r="J29" s="65">
        <f t="shared" si="97"/>
        <v>0</v>
      </c>
      <c r="K29" s="66" t="str">
        <f>IF(K$7="","",IF(INDEX('Rooms Walls and Glass'!$D$35:$AB$42, MATCH($D29,'Rooms Walls and Glass'!$A$35:$A$42,0), MATCH('Unit 1 a'!K$7,'Rooms Walls and Glass'!$D$1:$AB$1,0))=0,"",INDEX('Rooms Walls and Glass'!$D$35:$AB$42, MATCH($D29,'Rooms Walls and Glass'!$A$35:$A$42,0), MATCH('Unit 1 a'!K$7,'Rooms Walls and Glass'!$D$1:$AB$1,0))))</f>
        <v/>
      </c>
      <c r="L29" s="65" t="str">
        <f t="shared" si="98"/>
        <v>-</v>
      </c>
      <c r="M29" s="66" t="str">
        <f>IF(M$7="","",IF(INDEX('Rooms Walls and Glass'!$D$35:$AB$42, MATCH($D29,'Rooms Walls and Glass'!$A$35:$A$42,0), MATCH('Unit 1 a'!M$7,'Rooms Walls and Glass'!$D$1:$AB$1,0))=0,"",INDEX('Rooms Walls and Glass'!$D$35:$AB$42, MATCH($D29,'Rooms Walls and Glass'!$A$35:$A$42,0), MATCH('Unit 1 a'!M$7,'Rooms Walls and Glass'!$D$1:$AB$1,0))))</f>
        <v/>
      </c>
      <c r="N29" s="65" t="str">
        <f t="shared" si="99"/>
        <v>-</v>
      </c>
      <c r="O29" s="66" t="str">
        <f>IF(O$7="","",IF(INDEX('Rooms Walls and Glass'!$D$35:$AB$42, MATCH($D29,'Rooms Walls and Glass'!$A$35:$A$42,0), MATCH('Unit 1 a'!O$7,'Rooms Walls and Glass'!$D$1:$AB$1,0))=0,"",INDEX('Rooms Walls and Glass'!$D$35:$AB$42, MATCH($D29,'Rooms Walls and Glass'!$A$35:$A$42,0), MATCH('Unit 1 a'!O$7,'Rooms Walls and Glass'!$D$1:$AB$1,0))))</f>
        <v/>
      </c>
      <c r="P29" s="65" t="str">
        <f t="shared" si="100"/>
        <v>-</v>
      </c>
      <c r="Q29" s="66" t="str">
        <f>IF(Q$7="","",IF(INDEX('Rooms Walls and Glass'!$D$35:$AB$42, MATCH($D29,'Rooms Walls and Glass'!$A$35:$A$42,0), MATCH('Unit 1 a'!Q$7,'Rooms Walls and Glass'!$D$1:$AB$1,0))=0,"",INDEX('Rooms Walls and Glass'!$D$35:$AB$42, MATCH($D29,'Rooms Walls and Glass'!$A$35:$A$42,0), MATCH('Unit 1 a'!Q$7,'Rooms Walls and Glass'!$D$1:$AB$1,0))))</f>
        <v/>
      </c>
      <c r="R29" s="65" t="str">
        <f t="shared" si="101"/>
        <v>-</v>
      </c>
      <c r="S29" s="66" t="str">
        <f>IF(S$7="","",IF(INDEX('Rooms Walls and Glass'!$D$35:$AB$42, MATCH($D29,'Rooms Walls and Glass'!$A$35:$A$42,0), MATCH('Unit 1 a'!S$7,'Rooms Walls and Glass'!$D$1:$AB$1,0))=0,"",INDEX('Rooms Walls and Glass'!$D$35:$AB$42, MATCH($D29,'Rooms Walls and Glass'!$A$35:$A$42,0), MATCH('Unit 1 a'!S$7,'Rooms Walls and Glass'!$D$1:$AB$1,0))))</f>
        <v/>
      </c>
      <c r="T29" s="65" t="str">
        <f t="shared" si="16"/>
        <v>-</v>
      </c>
      <c r="U29" s="66" t="str">
        <f>IF(U$7="","",IF(INDEX('Rooms Walls and Glass'!$D$35:$AB$42, MATCH($D29,'Rooms Walls and Glass'!$A$35:$A$42,0), MATCH('Unit 1 a'!U$7,'Rooms Walls and Glass'!$D$1:$AB$1,0))=0,"",INDEX('Rooms Walls and Glass'!$D$35:$AB$42, MATCH($D29,'Rooms Walls and Glass'!$A$35:$A$42,0), MATCH('Unit 1 a'!U$7,'Rooms Walls and Glass'!$D$1:$AB$1,0))))</f>
        <v/>
      </c>
      <c r="V29" s="65" t="str">
        <f t="shared" si="102"/>
        <v>-</v>
      </c>
      <c r="W29" s="66" t="str">
        <f>IF(W$7="","",IF(INDEX('Rooms Walls and Glass'!$D$35:$AB$42, MATCH($D29,'Rooms Walls and Glass'!$A$35:$A$42,0), MATCH('Unit 1 a'!W$7,'Rooms Walls and Glass'!$D$1:$AB$1,0))=0,"",INDEX('Rooms Walls and Glass'!$D$35:$AB$42, MATCH($D29,'Rooms Walls and Glass'!$A$35:$A$42,0), MATCH('Unit 1 a'!W$7,'Rooms Walls and Glass'!$D$1:$AB$1,0))))</f>
        <v/>
      </c>
      <c r="X29" s="65" t="str">
        <f t="shared" si="103"/>
        <v>-</v>
      </c>
      <c r="Y29" s="66" t="str">
        <f>IF(Y$7="","",IF(INDEX('Rooms Walls and Glass'!$D$35:$AB$42, MATCH($D29,'Rooms Walls and Glass'!$A$35:$A$42,0), MATCH('Unit 1 a'!Y$7,'Rooms Walls and Glass'!$D$1:$AB$1,0))=0,"",INDEX('Rooms Walls and Glass'!$D$35:$AB$42, MATCH($D29,'Rooms Walls and Glass'!$A$35:$A$42,0), MATCH('Unit 1 a'!Y$7,'Rooms Walls and Glass'!$D$1:$AB$1,0))))</f>
        <v/>
      </c>
      <c r="Z29" s="65" t="str">
        <f t="shared" si="104"/>
        <v>-</v>
      </c>
      <c r="AA29" s="66" t="str">
        <f>IF(AA$7="","",IF(INDEX('Rooms Walls and Glass'!$D$35:$AB$42, MATCH($D29,'Rooms Walls and Glass'!$A$35:$A$42,0), MATCH('Unit 1 a'!AA$7,'Rooms Walls and Glass'!$D$1:$AB$1,0))=0,"",INDEX('Rooms Walls and Glass'!$D$35:$AB$42, MATCH($D29,'Rooms Walls and Glass'!$A$35:$A$42,0), MATCH('Unit 1 a'!AA$7,'Rooms Walls and Glass'!$D$1:$AB$1,0))))</f>
        <v/>
      </c>
      <c r="AB29" s="65" t="str">
        <f t="shared" si="105"/>
        <v>-</v>
      </c>
      <c r="AC29" s="66" t="str">
        <f>IF(AC$7="","",IF(INDEX('Rooms Walls and Glass'!$D$35:$AB$42, MATCH($D29,'Rooms Walls and Glass'!$A$35:$A$42,0), MATCH('Unit 1 a'!AC$7,'Rooms Walls and Glass'!$D$1:$AB$1,0))=0,"",INDEX('Rooms Walls and Glass'!$D$35:$AB$42, MATCH($D29,'Rooms Walls and Glass'!$A$35:$A$42,0), MATCH('Unit 1 a'!AC$7,'Rooms Walls and Glass'!$D$1:$AB$1,0))))</f>
        <v/>
      </c>
      <c r="AD29" s="65" t="str">
        <f t="shared" ref="AD29" si="128">IF(AC29="","-",AC29*$G29)</f>
        <v>-</v>
      </c>
      <c r="AE29" s="66" t="str">
        <f>IF(AE$7="","",IF(INDEX('Rooms Walls and Glass'!$D$35:$AB$42, MATCH($D29,'Rooms Walls and Glass'!$A$35:$A$42,0), MATCH('Unit 1 a'!AE$7,'Rooms Walls and Glass'!$D$1:$AB$1,0))=0,"",INDEX('Rooms Walls and Glass'!$D$35:$AB$42, MATCH($D29,'Rooms Walls and Glass'!$A$35:$A$42,0), MATCH('Unit 1 a'!AE$7,'Rooms Walls and Glass'!$D$1:$AB$1,0))))</f>
        <v/>
      </c>
      <c r="AF29" s="65" t="str">
        <f t="shared" ref="AF29" si="129">IF(AE29="","-",AE29*$G29)</f>
        <v>-</v>
      </c>
      <c r="AG29" s="66" t="str">
        <f>IF(AG$7="","",IF(INDEX('Rooms Walls and Glass'!$D$35:$AB$42, MATCH($D29,'Rooms Walls and Glass'!$A$35:$A$42,0), MATCH('Unit 1 a'!AG$7,'Rooms Walls and Glass'!$D$1:$AB$1,0))=0,"",INDEX('Rooms Walls and Glass'!$D$35:$AB$42, MATCH($D29,'Rooms Walls and Glass'!$A$35:$A$42,0), MATCH('Unit 1 a'!AG$7,'Rooms Walls and Glass'!$D$1:$AB$1,0))))</f>
        <v/>
      </c>
      <c r="AH29" s="65" t="str">
        <f t="shared" si="106"/>
        <v>-</v>
      </c>
      <c r="AI29" s="66" t="str">
        <f>IF(AI$7="","",IF(INDEX('Rooms Walls and Glass'!$D$35:$AB$42, MATCH($D29,'Rooms Walls and Glass'!$A$35:$A$42,0), MATCH('Unit 1 a'!AI$7,'Rooms Walls and Glass'!$D$1:$AB$1,0))=0,"",INDEX('Rooms Walls and Glass'!$D$35:$AB$42, MATCH($D29,'Rooms Walls and Glass'!$A$35:$A$42,0), MATCH('Unit 1 a'!AI$7,'Rooms Walls and Glass'!$D$1:$AB$1,0))))</f>
        <v/>
      </c>
      <c r="AJ29" s="67" t="str">
        <f t="shared" si="23"/>
        <v>-</v>
      </c>
      <c r="AK29" s="66" t="str">
        <f>IF(AK$7="","",IF(INDEX('Rooms Walls and Glass'!$D$35:$AB$42, MATCH($D29,'Rooms Walls and Glass'!$A$35:$A$42,0), MATCH('Unit 1 a'!AK$7,'Rooms Walls and Glass'!$D$1:$AB$1,0))=0,"",INDEX('Rooms Walls and Glass'!$D$35:$AB$42, MATCH($D29,'Rooms Walls and Glass'!$A$35:$A$42,0), MATCH('Unit 1 a'!AK$7,'Rooms Walls and Glass'!$D$1:$AB$1,0))))</f>
        <v/>
      </c>
      <c r="AL29" s="67" t="str">
        <f t="shared" si="24"/>
        <v>-</v>
      </c>
      <c r="AM29" s="66" t="str">
        <f>IF(AM$7="","",IF(INDEX('Rooms Walls and Glass'!$D$35:$AB$42, MATCH($D29,'Rooms Walls and Glass'!$A$35:$A$42,0), MATCH('Unit 1 a'!AM$7,'Rooms Walls and Glass'!$D$1:$AB$1,0))=0,"",INDEX('Rooms Walls and Glass'!$D$35:$AB$42, MATCH($D29,'Rooms Walls and Glass'!$A$35:$A$42,0), MATCH('Unit 1 a'!AM$7,'Rooms Walls and Glass'!$D$1:$AB$1,0))))</f>
        <v/>
      </c>
      <c r="AN29" s="65" t="str">
        <f t="shared" si="25"/>
        <v>-</v>
      </c>
      <c r="AO29" s="66" t="str">
        <f>IF(AO$7="","",IF(INDEX('Rooms Walls and Glass'!$D$35:$AB$42, MATCH($D29,'Rooms Walls and Glass'!$A$35:$A$42,0), MATCH('Unit 1 a'!AO$7,'Rooms Walls and Glass'!$D$1:$AB$1,0))=0,"",INDEX('Rooms Walls and Glass'!$D$35:$AB$42, MATCH($D29,'Rooms Walls and Glass'!$A$35:$A$42,0), MATCH('Unit 1 a'!AO$7,'Rooms Walls and Glass'!$D$1:$AB$1,0))))</f>
        <v/>
      </c>
      <c r="AP29" s="67" t="str">
        <f t="shared" si="26"/>
        <v>-</v>
      </c>
    </row>
    <row r="30" spans="2:42" ht="11.25" customHeight="1" thickBot="1" x14ac:dyDescent="0.2">
      <c r="B30" s="214"/>
      <c r="C30" s="15" t="s">
        <v>38</v>
      </c>
      <c r="D30" s="13" t="str">
        <f>'Rooms Walls and Glass'!A36</f>
        <v>North</v>
      </c>
      <c r="E30" s="13">
        <f>INDEX('Glass CLF Calculation'!$A$20:$G$27,MATCH('Unit 1 a'!D30,'Glass CLF Calculation'!$A$20:$A$27,0),7)</f>
        <v>13</v>
      </c>
      <c r="F30" s="14">
        <f>INDEX(Summary!$F$19:$F$30,MATCH('Unit 1 a'!C30,Summary!$D$19:$D$30,0))</f>
        <v>7.6999999999999999E-2</v>
      </c>
      <c r="G30" s="14">
        <f t="shared" si="109"/>
        <v>1.0009999999999999</v>
      </c>
      <c r="H30" s="16" t="s">
        <v>6</v>
      </c>
      <c r="I30" s="65">
        <f t="shared" si="10"/>
        <v>0</v>
      </c>
      <c r="J30" s="68">
        <f t="shared" si="97"/>
        <v>0</v>
      </c>
      <c r="K30" s="66" t="str">
        <f>IF(K$7="","",IF(INDEX('Rooms Walls and Glass'!$D$35:$AB$42, MATCH($D30,'Rooms Walls and Glass'!$A$35:$A$42,0), MATCH('Unit 1 a'!K$7,'Rooms Walls and Glass'!$D$1:$AB$1,0))=0,"",INDEX('Rooms Walls and Glass'!$D$35:$AB$42, MATCH($D30,'Rooms Walls and Glass'!$A$35:$A$42,0), MATCH('Unit 1 a'!K$7,'Rooms Walls and Glass'!$D$1:$AB$1,0))))</f>
        <v/>
      </c>
      <c r="L30" s="68" t="str">
        <f t="shared" si="98"/>
        <v>-</v>
      </c>
      <c r="M30" s="66" t="str">
        <f>IF(M$7="","",IF(INDEX('Rooms Walls and Glass'!$D$35:$AB$42, MATCH($D30,'Rooms Walls and Glass'!$A$35:$A$42,0), MATCH('Unit 1 a'!M$7,'Rooms Walls and Glass'!$D$1:$AB$1,0))=0,"",INDEX('Rooms Walls and Glass'!$D$35:$AB$42, MATCH($D30,'Rooms Walls and Glass'!$A$35:$A$42,0), MATCH('Unit 1 a'!M$7,'Rooms Walls and Glass'!$D$1:$AB$1,0))))</f>
        <v/>
      </c>
      <c r="N30" s="68" t="str">
        <f t="shared" si="99"/>
        <v>-</v>
      </c>
      <c r="O30" s="66" t="str">
        <f>IF(O$7="","",IF(INDEX('Rooms Walls and Glass'!$D$35:$AB$42, MATCH($D30,'Rooms Walls and Glass'!$A$35:$A$42,0), MATCH('Unit 1 a'!O$7,'Rooms Walls and Glass'!$D$1:$AB$1,0))=0,"",INDEX('Rooms Walls and Glass'!$D$35:$AB$42, MATCH($D30,'Rooms Walls and Glass'!$A$35:$A$42,0), MATCH('Unit 1 a'!O$7,'Rooms Walls and Glass'!$D$1:$AB$1,0))))</f>
        <v/>
      </c>
      <c r="P30" s="68" t="str">
        <f t="shared" si="100"/>
        <v>-</v>
      </c>
      <c r="Q30" s="66" t="str">
        <f>IF(Q$7="","",IF(INDEX('Rooms Walls and Glass'!$D$35:$AB$42, MATCH($D30,'Rooms Walls and Glass'!$A$35:$A$42,0), MATCH('Unit 1 a'!Q$7,'Rooms Walls and Glass'!$D$1:$AB$1,0))=0,"",INDEX('Rooms Walls and Glass'!$D$35:$AB$42, MATCH($D30,'Rooms Walls and Glass'!$A$35:$A$42,0), MATCH('Unit 1 a'!Q$7,'Rooms Walls and Glass'!$D$1:$AB$1,0))))</f>
        <v/>
      </c>
      <c r="R30" s="68" t="str">
        <f t="shared" si="101"/>
        <v>-</v>
      </c>
      <c r="S30" s="66" t="str">
        <f>IF(S$7="","",IF(INDEX('Rooms Walls and Glass'!$D$35:$AB$42, MATCH($D30,'Rooms Walls and Glass'!$A$35:$A$42,0), MATCH('Unit 1 a'!S$7,'Rooms Walls and Glass'!$D$1:$AB$1,0))=0,"",INDEX('Rooms Walls and Glass'!$D$35:$AB$42, MATCH($D30,'Rooms Walls and Glass'!$A$35:$A$42,0), MATCH('Unit 1 a'!S$7,'Rooms Walls and Glass'!$D$1:$AB$1,0))))</f>
        <v/>
      </c>
      <c r="T30" s="68" t="str">
        <f t="shared" si="16"/>
        <v>-</v>
      </c>
      <c r="U30" s="66" t="str">
        <f>IF(U$7="","",IF(INDEX('Rooms Walls and Glass'!$D$35:$AB$42, MATCH($D30,'Rooms Walls and Glass'!$A$35:$A$42,0), MATCH('Unit 1 a'!U$7,'Rooms Walls and Glass'!$D$1:$AB$1,0))=0,"",INDEX('Rooms Walls and Glass'!$D$35:$AB$42, MATCH($D30,'Rooms Walls and Glass'!$A$35:$A$42,0), MATCH('Unit 1 a'!U$7,'Rooms Walls and Glass'!$D$1:$AB$1,0))))</f>
        <v/>
      </c>
      <c r="V30" s="68" t="str">
        <f t="shared" si="102"/>
        <v>-</v>
      </c>
      <c r="W30" s="66" t="str">
        <f>IF(W$7="","",IF(INDEX('Rooms Walls and Glass'!$D$35:$AB$42, MATCH($D30,'Rooms Walls and Glass'!$A$35:$A$42,0), MATCH('Unit 1 a'!W$7,'Rooms Walls and Glass'!$D$1:$AB$1,0))=0,"",INDEX('Rooms Walls and Glass'!$D$35:$AB$42, MATCH($D30,'Rooms Walls and Glass'!$A$35:$A$42,0), MATCH('Unit 1 a'!W$7,'Rooms Walls and Glass'!$D$1:$AB$1,0))))</f>
        <v/>
      </c>
      <c r="X30" s="68" t="str">
        <f t="shared" si="103"/>
        <v>-</v>
      </c>
      <c r="Y30" s="66" t="str">
        <f>IF(Y$7="","",IF(INDEX('Rooms Walls and Glass'!$D$35:$AB$42, MATCH($D30,'Rooms Walls and Glass'!$A$35:$A$42,0), MATCH('Unit 1 a'!Y$7,'Rooms Walls and Glass'!$D$1:$AB$1,0))=0,"",INDEX('Rooms Walls and Glass'!$D$35:$AB$42, MATCH($D30,'Rooms Walls and Glass'!$A$35:$A$42,0), MATCH('Unit 1 a'!Y$7,'Rooms Walls and Glass'!$D$1:$AB$1,0))))</f>
        <v/>
      </c>
      <c r="Z30" s="68" t="str">
        <f t="shared" si="104"/>
        <v>-</v>
      </c>
      <c r="AA30" s="66" t="str">
        <f>IF(AA$7="","",IF(INDEX('Rooms Walls and Glass'!$D$35:$AB$42, MATCH($D30,'Rooms Walls and Glass'!$A$35:$A$42,0), MATCH('Unit 1 a'!AA$7,'Rooms Walls and Glass'!$D$1:$AB$1,0))=0,"",INDEX('Rooms Walls and Glass'!$D$35:$AB$42, MATCH($D30,'Rooms Walls and Glass'!$A$35:$A$42,0), MATCH('Unit 1 a'!AA$7,'Rooms Walls and Glass'!$D$1:$AB$1,0))))</f>
        <v/>
      </c>
      <c r="AB30" s="68" t="str">
        <f t="shared" si="105"/>
        <v>-</v>
      </c>
      <c r="AC30" s="66" t="str">
        <f>IF(AC$7="","",IF(INDEX('Rooms Walls and Glass'!$D$35:$AB$42, MATCH($D30,'Rooms Walls and Glass'!$A$35:$A$42,0), MATCH('Unit 1 a'!AC$7,'Rooms Walls and Glass'!$D$1:$AB$1,0))=0,"",INDEX('Rooms Walls and Glass'!$D$35:$AB$42, MATCH($D30,'Rooms Walls and Glass'!$A$35:$A$42,0), MATCH('Unit 1 a'!AC$7,'Rooms Walls and Glass'!$D$1:$AB$1,0))))</f>
        <v/>
      </c>
      <c r="AD30" s="68" t="str">
        <f t="shared" ref="AD30" si="130">IF(AC30="","-",AC30*$G30)</f>
        <v>-</v>
      </c>
      <c r="AE30" s="66" t="str">
        <f>IF(AE$7="","",IF(INDEX('Rooms Walls and Glass'!$D$35:$AB$42, MATCH($D30,'Rooms Walls and Glass'!$A$35:$A$42,0), MATCH('Unit 1 a'!AE$7,'Rooms Walls and Glass'!$D$1:$AB$1,0))=0,"",INDEX('Rooms Walls and Glass'!$D$35:$AB$42, MATCH($D30,'Rooms Walls and Glass'!$A$35:$A$42,0), MATCH('Unit 1 a'!AE$7,'Rooms Walls and Glass'!$D$1:$AB$1,0))))</f>
        <v/>
      </c>
      <c r="AF30" s="68" t="str">
        <f t="shared" ref="AF30" si="131">IF(AE30="","-",AE30*$G30)</f>
        <v>-</v>
      </c>
      <c r="AG30" s="66" t="str">
        <f>IF(AG$7="","",IF(INDEX('Rooms Walls and Glass'!$D$35:$AB$42, MATCH($D30,'Rooms Walls and Glass'!$A$35:$A$42,0), MATCH('Unit 1 a'!AG$7,'Rooms Walls and Glass'!$D$1:$AB$1,0))=0,"",INDEX('Rooms Walls and Glass'!$D$35:$AB$42, MATCH($D30,'Rooms Walls and Glass'!$A$35:$A$42,0), MATCH('Unit 1 a'!AG$7,'Rooms Walls and Glass'!$D$1:$AB$1,0))))</f>
        <v/>
      </c>
      <c r="AH30" s="68" t="str">
        <f t="shared" si="106"/>
        <v>-</v>
      </c>
      <c r="AI30" s="66" t="str">
        <f>IF(AI$7="","",IF(INDEX('Rooms Walls and Glass'!$D$35:$AB$42, MATCH($D30,'Rooms Walls and Glass'!$A$35:$A$42,0), MATCH('Unit 1 a'!AI$7,'Rooms Walls and Glass'!$D$1:$AB$1,0))=0,"",INDEX('Rooms Walls and Glass'!$D$35:$AB$42, MATCH($D30,'Rooms Walls and Glass'!$A$35:$A$42,0), MATCH('Unit 1 a'!AI$7,'Rooms Walls and Glass'!$D$1:$AB$1,0))))</f>
        <v/>
      </c>
      <c r="AJ30" s="69" t="str">
        <f t="shared" si="23"/>
        <v>-</v>
      </c>
      <c r="AK30" s="66" t="str">
        <f>IF(AK$7="","",IF(INDEX('Rooms Walls and Glass'!$D$35:$AB$42, MATCH($D30,'Rooms Walls and Glass'!$A$35:$A$42,0), MATCH('Unit 1 a'!AK$7,'Rooms Walls and Glass'!$D$1:$AB$1,0))=0,"",INDEX('Rooms Walls and Glass'!$D$35:$AB$42, MATCH($D30,'Rooms Walls and Glass'!$A$35:$A$42,0), MATCH('Unit 1 a'!AK$7,'Rooms Walls and Glass'!$D$1:$AB$1,0))))</f>
        <v/>
      </c>
      <c r="AL30" s="69" t="str">
        <f t="shared" si="24"/>
        <v>-</v>
      </c>
      <c r="AM30" s="66" t="str">
        <f>IF(AM$7="","",IF(INDEX('Rooms Walls and Glass'!$D$35:$AB$42, MATCH($D30,'Rooms Walls and Glass'!$A$35:$A$42,0), MATCH('Unit 1 a'!AM$7,'Rooms Walls and Glass'!$D$1:$AB$1,0))=0,"",INDEX('Rooms Walls and Glass'!$D$35:$AB$42, MATCH($D30,'Rooms Walls and Glass'!$A$35:$A$42,0), MATCH('Unit 1 a'!AM$7,'Rooms Walls and Glass'!$D$1:$AB$1,0))))</f>
        <v/>
      </c>
      <c r="AN30" s="68" t="str">
        <f t="shared" si="25"/>
        <v>-</v>
      </c>
      <c r="AO30" s="66" t="str">
        <f>IF(AO$7="","",IF(INDEX('Rooms Walls and Glass'!$D$35:$AB$42, MATCH($D30,'Rooms Walls and Glass'!$A$35:$A$42,0), MATCH('Unit 1 a'!AO$7,'Rooms Walls and Glass'!$D$1:$AB$1,0))=0,"",INDEX('Rooms Walls and Glass'!$D$35:$AB$42, MATCH($D30,'Rooms Walls and Glass'!$A$35:$A$42,0), MATCH('Unit 1 a'!AO$7,'Rooms Walls and Glass'!$D$1:$AB$1,0))))</f>
        <v/>
      </c>
      <c r="AP30" s="69" t="str">
        <f t="shared" si="26"/>
        <v>-</v>
      </c>
    </row>
    <row r="31" spans="2:42" ht="11.25" customHeight="1" thickBot="1" x14ac:dyDescent="0.2">
      <c r="B31" s="214"/>
      <c r="C31" s="15" t="s">
        <v>38</v>
      </c>
      <c r="D31" s="13" t="str">
        <f>'Rooms Walls and Glass'!A37</f>
        <v>NorthEast</v>
      </c>
      <c r="E31" s="13">
        <f>INDEX('Glass CLF Calculation'!$A$20:$G$27,MATCH('Unit 1 a'!D31,'Glass CLF Calculation'!$A$20:$A$27,0),7)</f>
        <v>19</v>
      </c>
      <c r="F31" s="14">
        <f>INDEX(Summary!$F$19:$F$30,MATCH('Unit 1 a'!C31,Summary!$D$19:$D$30,0))</f>
        <v>7.6999999999999999E-2</v>
      </c>
      <c r="G31" s="14">
        <f t="shared" si="109"/>
        <v>1.4630000000000001</v>
      </c>
      <c r="H31" s="16" t="s">
        <v>6</v>
      </c>
      <c r="I31" s="65">
        <f t="shared" si="10"/>
        <v>0</v>
      </c>
      <c r="J31" s="68">
        <f t="shared" si="97"/>
        <v>0</v>
      </c>
      <c r="K31" s="66" t="str">
        <f>IF(K$7="","",IF(INDEX('Rooms Walls and Glass'!$D$35:$AB$42, MATCH($D31,'Rooms Walls and Glass'!$A$35:$A$42,0), MATCH('Unit 1 a'!K$7,'Rooms Walls and Glass'!$D$1:$AB$1,0))=0,"",INDEX('Rooms Walls and Glass'!$D$35:$AB$42, MATCH($D31,'Rooms Walls and Glass'!$A$35:$A$42,0), MATCH('Unit 1 a'!K$7,'Rooms Walls and Glass'!$D$1:$AB$1,0))))</f>
        <v/>
      </c>
      <c r="L31" s="68" t="str">
        <f t="shared" si="98"/>
        <v>-</v>
      </c>
      <c r="M31" s="66" t="str">
        <f>IF(M$7="","",IF(INDEX('Rooms Walls and Glass'!$D$35:$AB$42, MATCH($D31,'Rooms Walls and Glass'!$A$35:$A$42,0), MATCH('Unit 1 a'!M$7,'Rooms Walls and Glass'!$D$1:$AB$1,0))=0,"",INDEX('Rooms Walls and Glass'!$D$35:$AB$42, MATCH($D31,'Rooms Walls and Glass'!$A$35:$A$42,0), MATCH('Unit 1 a'!M$7,'Rooms Walls and Glass'!$D$1:$AB$1,0))))</f>
        <v/>
      </c>
      <c r="N31" s="68" t="str">
        <f t="shared" si="99"/>
        <v>-</v>
      </c>
      <c r="O31" s="66" t="str">
        <f>IF(O$7="","",IF(INDEX('Rooms Walls and Glass'!$D$35:$AB$42, MATCH($D31,'Rooms Walls and Glass'!$A$35:$A$42,0), MATCH('Unit 1 a'!O$7,'Rooms Walls and Glass'!$D$1:$AB$1,0))=0,"",INDEX('Rooms Walls and Glass'!$D$35:$AB$42, MATCH($D31,'Rooms Walls and Glass'!$A$35:$A$42,0), MATCH('Unit 1 a'!O$7,'Rooms Walls and Glass'!$D$1:$AB$1,0))))</f>
        <v/>
      </c>
      <c r="P31" s="68" t="str">
        <f t="shared" si="100"/>
        <v>-</v>
      </c>
      <c r="Q31" s="66" t="str">
        <f>IF(Q$7="","",IF(INDEX('Rooms Walls and Glass'!$D$35:$AB$42, MATCH($D31,'Rooms Walls and Glass'!$A$35:$A$42,0), MATCH('Unit 1 a'!Q$7,'Rooms Walls and Glass'!$D$1:$AB$1,0))=0,"",INDEX('Rooms Walls and Glass'!$D$35:$AB$42, MATCH($D31,'Rooms Walls and Glass'!$A$35:$A$42,0), MATCH('Unit 1 a'!Q$7,'Rooms Walls and Glass'!$D$1:$AB$1,0))))</f>
        <v/>
      </c>
      <c r="R31" s="68" t="str">
        <f t="shared" si="101"/>
        <v>-</v>
      </c>
      <c r="S31" s="66" t="str">
        <f>IF(S$7="","",IF(INDEX('Rooms Walls and Glass'!$D$35:$AB$42, MATCH($D31,'Rooms Walls and Glass'!$A$35:$A$42,0), MATCH('Unit 1 a'!S$7,'Rooms Walls and Glass'!$D$1:$AB$1,0))=0,"",INDEX('Rooms Walls and Glass'!$D$35:$AB$42, MATCH($D31,'Rooms Walls and Glass'!$A$35:$A$42,0), MATCH('Unit 1 a'!S$7,'Rooms Walls and Glass'!$D$1:$AB$1,0))))</f>
        <v/>
      </c>
      <c r="T31" s="68" t="str">
        <f t="shared" si="16"/>
        <v>-</v>
      </c>
      <c r="U31" s="66" t="str">
        <f>IF(U$7="","",IF(INDEX('Rooms Walls and Glass'!$D$35:$AB$42, MATCH($D31,'Rooms Walls and Glass'!$A$35:$A$42,0), MATCH('Unit 1 a'!U$7,'Rooms Walls and Glass'!$D$1:$AB$1,0))=0,"",INDEX('Rooms Walls and Glass'!$D$35:$AB$42, MATCH($D31,'Rooms Walls and Glass'!$A$35:$A$42,0), MATCH('Unit 1 a'!U$7,'Rooms Walls and Glass'!$D$1:$AB$1,0))))</f>
        <v/>
      </c>
      <c r="V31" s="68" t="str">
        <f t="shared" si="102"/>
        <v>-</v>
      </c>
      <c r="W31" s="66" t="str">
        <f>IF(W$7="","",IF(INDEX('Rooms Walls and Glass'!$D$35:$AB$42, MATCH($D31,'Rooms Walls and Glass'!$A$35:$A$42,0), MATCH('Unit 1 a'!W$7,'Rooms Walls and Glass'!$D$1:$AB$1,0))=0,"",INDEX('Rooms Walls and Glass'!$D$35:$AB$42, MATCH($D31,'Rooms Walls and Glass'!$A$35:$A$42,0), MATCH('Unit 1 a'!W$7,'Rooms Walls and Glass'!$D$1:$AB$1,0))))</f>
        <v/>
      </c>
      <c r="X31" s="68" t="str">
        <f t="shared" si="103"/>
        <v>-</v>
      </c>
      <c r="Y31" s="66" t="str">
        <f>IF(Y$7="","",IF(INDEX('Rooms Walls and Glass'!$D$35:$AB$42, MATCH($D31,'Rooms Walls and Glass'!$A$35:$A$42,0), MATCH('Unit 1 a'!Y$7,'Rooms Walls and Glass'!$D$1:$AB$1,0))=0,"",INDEX('Rooms Walls and Glass'!$D$35:$AB$42, MATCH($D31,'Rooms Walls and Glass'!$A$35:$A$42,0), MATCH('Unit 1 a'!Y$7,'Rooms Walls and Glass'!$D$1:$AB$1,0))))</f>
        <v/>
      </c>
      <c r="Z31" s="68" t="str">
        <f t="shared" si="104"/>
        <v>-</v>
      </c>
      <c r="AA31" s="66" t="str">
        <f>IF(AA$7="","",IF(INDEX('Rooms Walls and Glass'!$D$35:$AB$42, MATCH($D31,'Rooms Walls and Glass'!$A$35:$A$42,0), MATCH('Unit 1 a'!AA$7,'Rooms Walls and Glass'!$D$1:$AB$1,0))=0,"",INDEX('Rooms Walls and Glass'!$D$35:$AB$42, MATCH($D31,'Rooms Walls and Glass'!$A$35:$A$42,0), MATCH('Unit 1 a'!AA$7,'Rooms Walls and Glass'!$D$1:$AB$1,0))))</f>
        <v/>
      </c>
      <c r="AB31" s="68" t="str">
        <f t="shared" si="105"/>
        <v>-</v>
      </c>
      <c r="AC31" s="66" t="str">
        <f>IF(AC$7="","",IF(INDEX('Rooms Walls and Glass'!$D$35:$AB$42, MATCH($D31,'Rooms Walls and Glass'!$A$35:$A$42,0), MATCH('Unit 1 a'!AC$7,'Rooms Walls and Glass'!$D$1:$AB$1,0))=0,"",INDEX('Rooms Walls and Glass'!$D$35:$AB$42, MATCH($D31,'Rooms Walls and Glass'!$A$35:$A$42,0), MATCH('Unit 1 a'!AC$7,'Rooms Walls and Glass'!$D$1:$AB$1,0))))</f>
        <v/>
      </c>
      <c r="AD31" s="68" t="str">
        <f t="shared" ref="AD31" si="132">IF(AC31="","-",AC31*$G31)</f>
        <v>-</v>
      </c>
      <c r="AE31" s="66" t="str">
        <f>IF(AE$7="","",IF(INDEX('Rooms Walls and Glass'!$D$35:$AB$42, MATCH($D31,'Rooms Walls and Glass'!$A$35:$A$42,0), MATCH('Unit 1 a'!AE$7,'Rooms Walls and Glass'!$D$1:$AB$1,0))=0,"",INDEX('Rooms Walls and Glass'!$D$35:$AB$42, MATCH($D31,'Rooms Walls and Glass'!$A$35:$A$42,0), MATCH('Unit 1 a'!AE$7,'Rooms Walls and Glass'!$D$1:$AB$1,0))))</f>
        <v/>
      </c>
      <c r="AF31" s="68" t="str">
        <f t="shared" ref="AF31" si="133">IF(AE31="","-",AE31*$G31)</f>
        <v>-</v>
      </c>
      <c r="AG31" s="66" t="str">
        <f>IF(AG$7="","",IF(INDEX('Rooms Walls and Glass'!$D$35:$AB$42, MATCH($D31,'Rooms Walls and Glass'!$A$35:$A$42,0), MATCH('Unit 1 a'!AG$7,'Rooms Walls and Glass'!$D$1:$AB$1,0))=0,"",INDEX('Rooms Walls and Glass'!$D$35:$AB$42, MATCH($D31,'Rooms Walls and Glass'!$A$35:$A$42,0), MATCH('Unit 1 a'!AG$7,'Rooms Walls and Glass'!$D$1:$AB$1,0))))</f>
        <v/>
      </c>
      <c r="AH31" s="68" t="str">
        <f t="shared" si="106"/>
        <v>-</v>
      </c>
      <c r="AI31" s="66" t="str">
        <f>IF(AI$7="","",IF(INDEX('Rooms Walls and Glass'!$D$35:$AB$42, MATCH($D31,'Rooms Walls and Glass'!$A$35:$A$42,0), MATCH('Unit 1 a'!AI$7,'Rooms Walls and Glass'!$D$1:$AB$1,0))=0,"",INDEX('Rooms Walls and Glass'!$D$35:$AB$42, MATCH($D31,'Rooms Walls and Glass'!$A$35:$A$42,0), MATCH('Unit 1 a'!AI$7,'Rooms Walls and Glass'!$D$1:$AB$1,0))))</f>
        <v/>
      </c>
      <c r="AJ31" s="69" t="str">
        <f t="shared" si="23"/>
        <v>-</v>
      </c>
      <c r="AK31" s="66" t="str">
        <f>IF(AK$7="","",IF(INDEX('Rooms Walls and Glass'!$D$35:$AB$42, MATCH($D31,'Rooms Walls and Glass'!$A$35:$A$42,0), MATCH('Unit 1 a'!AK$7,'Rooms Walls and Glass'!$D$1:$AB$1,0))=0,"",INDEX('Rooms Walls and Glass'!$D$35:$AB$42, MATCH($D31,'Rooms Walls and Glass'!$A$35:$A$42,0), MATCH('Unit 1 a'!AK$7,'Rooms Walls and Glass'!$D$1:$AB$1,0))))</f>
        <v/>
      </c>
      <c r="AL31" s="69" t="str">
        <f t="shared" si="24"/>
        <v>-</v>
      </c>
      <c r="AM31" s="66" t="str">
        <f>IF(AM$7="","",IF(INDEX('Rooms Walls and Glass'!$D$35:$AB$42, MATCH($D31,'Rooms Walls and Glass'!$A$35:$A$42,0), MATCH('Unit 1 a'!AM$7,'Rooms Walls and Glass'!$D$1:$AB$1,0))=0,"",INDEX('Rooms Walls and Glass'!$D$35:$AB$42, MATCH($D31,'Rooms Walls and Glass'!$A$35:$A$42,0), MATCH('Unit 1 a'!AM$7,'Rooms Walls and Glass'!$D$1:$AB$1,0))))</f>
        <v/>
      </c>
      <c r="AN31" s="68" t="str">
        <f t="shared" si="25"/>
        <v>-</v>
      </c>
      <c r="AO31" s="66" t="str">
        <f>IF(AO$7="","",IF(INDEX('Rooms Walls and Glass'!$D$35:$AB$42, MATCH($D31,'Rooms Walls and Glass'!$A$35:$A$42,0), MATCH('Unit 1 a'!AO$7,'Rooms Walls and Glass'!$D$1:$AB$1,0))=0,"",INDEX('Rooms Walls and Glass'!$D$35:$AB$42, MATCH($D31,'Rooms Walls and Glass'!$A$35:$A$42,0), MATCH('Unit 1 a'!AO$7,'Rooms Walls and Glass'!$D$1:$AB$1,0))))</f>
        <v/>
      </c>
      <c r="AP31" s="69" t="str">
        <f t="shared" si="26"/>
        <v>-</v>
      </c>
    </row>
    <row r="32" spans="2:42" ht="11.25" customHeight="1" thickBot="1" x14ac:dyDescent="0.2">
      <c r="B32" s="214"/>
      <c r="C32" s="15" t="s">
        <v>38</v>
      </c>
      <c r="D32" s="13" t="str">
        <f>'Rooms Walls and Glass'!A38</f>
        <v>East</v>
      </c>
      <c r="E32" s="13">
        <f>INDEX('Glass CLF Calculation'!$A$20:$G$27,MATCH('Unit 1 a'!D32,'Glass CLF Calculation'!$A$20:$A$27,0),7)</f>
        <v>23</v>
      </c>
      <c r="F32" s="14">
        <f>INDEX(Summary!$F$19:$F$30,MATCH('Unit 1 a'!C32,Summary!$D$19:$D$30,0))</f>
        <v>7.6999999999999999E-2</v>
      </c>
      <c r="G32" s="14">
        <f t="shared" si="109"/>
        <v>1.7709999999999999</v>
      </c>
      <c r="H32" s="16" t="s">
        <v>6</v>
      </c>
      <c r="I32" s="65">
        <f t="shared" si="10"/>
        <v>0</v>
      </c>
      <c r="J32" s="68">
        <f t="shared" si="97"/>
        <v>0</v>
      </c>
      <c r="K32" s="66" t="str">
        <f>IF(K$7="","",IF(INDEX('Rooms Walls and Glass'!$D$35:$AB$42, MATCH($D32,'Rooms Walls and Glass'!$A$35:$A$42,0), MATCH('Unit 1 a'!K$7,'Rooms Walls and Glass'!$D$1:$AB$1,0))=0,"",INDEX('Rooms Walls and Glass'!$D$35:$AB$42, MATCH($D32,'Rooms Walls and Glass'!$A$35:$A$42,0), MATCH('Unit 1 a'!K$7,'Rooms Walls and Glass'!$D$1:$AB$1,0))))</f>
        <v/>
      </c>
      <c r="L32" s="68" t="str">
        <f t="shared" si="98"/>
        <v>-</v>
      </c>
      <c r="M32" s="66" t="str">
        <f>IF(M$7="","",IF(INDEX('Rooms Walls and Glass'!$D$35:$AB$42, MATCH($D32,'Rooms Walls and Glass'!$A$35:$A$42,0), MATCH('Unit 1 a'!M$7,'Rooms Walls and Glass'!$D$1:$AB$1,0))=0,"",INDEX('Rooms Walls and Glass'!$D$35:$AB$42, MATCH($D32,'Rooms Walls and Glass'!$A$35:$A$42,0), MATCH('Unit 1 a'!M$7,'Rooms Walls and Glass'!$D$1:$AB$1,0))))</f>
        <v/>
      </c>
      <c r="N32" s="68" t="str">
        <f t="shared" si="99"/>
        <v>-</v>
      </c>
      <c r="O32" s="66" t="str">
        <f>IF(O$7="","",IF(INDEX('Rooms Walls and Glass'!$D$35:$AB$42, MATCH($D32,'Rooms Walls and Glass'!$A$35:$A$42,0), MATCH('Unit 1 a'!O$7,'Rooms Walls and Glass'!$D$1:$AB$1,0))=0,"",INDEX('Rooms Walls and Glass'!$D$35:$AB$42, MATCH($D32,'Rooms Walls and Glass'!$A$35:$A$42,0), MATCH('Unit 1 a'!O$7,'Rooms Walls and Glass'!$D$1:$AB$1,0))))</f>
        <v/>
      </c>
      <c r="P32" s="68" t="str">
        <f t="shared" si="100"/>
        <v>-</v>
      </c>
      <c r="Q32" s="66" t="str">
        <f>IF(Q$7="","",IF(INDEX('Rooms Walls and Glass'!$D$35:$AB$42, MATCH($D32,'Rooms Walls and Glass'!$A$35:$A$42,0), MATCH('Unit 1 a'!Q$7,'Rooms Walls and Glass'!$D$1:$AB$1,0))=0,"",INDEX('Rooms Walls and Glass'!$D$35:$AB$42, MATCH($D32,'Rooms Walls and Glass'!$A$35:$A$42,0), MATCH('Unit 1 a'!Q$7,'Rooms Walls and Glass'!$D$1:$AB$1,0))))</f>
        <v/>
      </c>
      <c r="R32" s="68" t="str">
        <f t="shared" si="101"/>
        <v>-</v>
      </c>
      <c r="S32" s="66" t="str">
        <f>IF(S$7="","",IF(INDEX('Rooms Walls and Glass'!$D$35:$AB$42, MATCH($D32,'Rooms Walls and Glass'!$A$35:$A$42,0), MATCH('Unit 1 a'!S$7,'Rooms Walls and Glass'!$D$1:$AB$1,0))=0,"",INDEX('Rooms Walls and Glass'!$D$35:$AB$42, MATCH($D32,'Rooms Walls and Glass'!$A$35:$A$42,0), MATCH('Unit 1 a'!S$7,'Rooms Walls and Glass'!$D$1:$AB$1,0))))</f>
        <v/>
      </c>
      <c r="T32" s="68" t="str">
        <f t="shared" si="16"/>
        <v>-</v>
      </c>
      <c r="U32" s="66" t="str">
        <f>IF(U$7="","",IF(INDEX('Rooms Walls and Glass'!$D$35:$AB$42, MATCH($D32,'Rooms Walls and Glass'!$A$35:$A$42,0), MATCH('Unit 1 a'!U$7,'Rooms Walls and Glass'!$D$1:$AB$1,0))=0,"",INDEX('Rooms Walls and Glass'!$D$35:$AB$42, MATCH($D32,'Rooms Walls and Glass'!$A$35:$A$42,0), MATCH('Unit 1 a'!U$7,'Rooms Walls and Glass'!$D$1:$AB$1,0))))</f>
        <v/>
      </c>
      <c r="V32" s="68" t="str">
        <f t="shared" si="102"/>
        <v>-</v>
      </c>
      <c r="W32" s="66" t="str">
        <f>IF(W$7="","",IF(INDEX('Rooms Walls and Glass'!$D$35:$AB$42, MATCH($D32,'Rooms Walls and Glass'!$A$35:$A$42,0), MATCH('Unit 1 a'!W$7,'Rooms Walls and Glass'!$D$1:$AB$1,0))=0,"",INDEX('Rooms Walls and Glass'!$D$35:$AB$42, MATCH($D32,'Rooms Walls and Glass'!$A$35:$A$42,0), MATCH('Unit 1 a'!W$7,'Rooms Walls and Glass'!$D$1:$AB$1,0))))</f>
        <v/>
      </c>
      <c r="X32" s="68" t="str">
        <f t="shared" si="103"/>
        <v>-</v>
      </c>
      <c r="Y32" s="66" t="str">
        <f>IF(Y$7="","",IF(INDEX('Rooms Walls and Glass'!$D$35:$AB$42, MATCH($D32,'Rooms Walls and Glass'!$A$35:$A$42,0), MATCH('Unit 1 a'!Y$7,'Rooms Walls and Glass'!$D$1:$AB$1,0))=0,"",INDEX('Rooms Walls and Glass'!$D$35:$AB$42, MATCH($D32,'Rooms Walls and Glass'!$A$35:$A$42,0), MATCH('Unit 1 a'!Y$7,'Rooms Walls and Glass'!$D$1:$AB$1,0))))</f>
        <v/>
      </c>
      <c r="Z32" s="68" t="str">
        <f t="shared" si="104"/>
        <v>-</v>
      </c>
      <c r="AA32" s="66" t="str">
        <f>IF(AA$7="","",IF(INDEX('Rooms Walls and Glass'!$D$35:$AB$42, MATCH($D32,'Rooms Walls and Glass'!$A$35:$A$42,0), MATCH('Unit 1 a'!AA$7,'Rooms Walls and Glass'!$D$1:$AB$1,0))=0,"",INDEX('Rooms Walls and Glass'!$D$35:$AB$42, MATCH($D32,'Rooms Walls and Glass'!$A$35:$A$42,0), MATCH('Unit 1 a'!AA$7,'Rooms Walls and Glass'!$D$1:$AB$1,0))))</f>
        <v/>
      </c>
      <c r="AB32" s="68" t="str">
        <f t="shared" si="105"/>
        <v>-</v>
      </c>
      <c r="AC32" s="66" t="str">
        <f>IF(AC$7="","",IF(INDEX('Rooms Walls and Glass'!$D$35:$AB$42, MATCH($D32,'Rooms Walls and Glass'!$A$35:$A$42,0), MATCH('Unit 1 a'!AC$7,'Rooms Walls and Glass'!$D$1:$AB$1,0))=0,"",INDEX('Rooms Walls and Glass'!$D$35:$AB$42, MATCH($D32,'Rooms Walls and Glass'!$A$35:$A$42,0), MATCH('Unit 1 a'!AC$7,'Rooms Walls and Glass'!$D$1:$AB$1,0))))</f>
        <v/>
      </c>
      <c r="AD32" s="68" t="str">
        <f t="shared" ref="AD32" si="134">IF(AC32="","-",AC32*$G32)</f>
        <v>-</v>
      </c>
      <c r="AE32" s="66" t="str">
        <f>IF(AE$7="","",IF(INDEX('Rooms Walls and Glass'!$D$35:$AB$42, MATCH($D32,'Rooms Walls and Glass'!$A$35:$A$42,0), MATCH('Unit 1 a'!AE$7,'Rooms Walls and Glass'!$D$1:$AB$1,0))=0,"",INDEX('Rooms Walls and Glass'!$D$35:$AB$42, MATCH($D32,'Rooms Walls and Glass'!$A$35:$A$42,0), MATCH('Unit 1 a'!AE$7,'Rooms Walls and Glass'!$D$1:$AB$1,0))))</f>
        <v/>
      </c>
      <c r="AF32" s="68" t="str">
        <f t="shared" ref="AF32" si="135">IF(AE32="","-",AE32*$G32)</f>
        <v>-</v>
      </c>
      <c r="AG32" s="66" t="str">
        <f>IF(AG$7="","",IF(INDEX('Rooms Walls and Glass'!$D$35:$AB$42, MATCH($D32,'Rooms Walls and Glass'!$A$35:$A$42,0), MATCH('Unit 1 a'!AG$7,'Rooms Walls and Glass'!$D$1:$AB$1,0))=0,"",INDEX('Rooms Walls and Glass'!$D$35:$AB$42, MATCH($D32,'Rooms Walls and Glass'!$A$35:$A$42,0), MATCH('Unit 1 a'!AG$7,'Rooms Walls and Glass'!$D$1:$AB$1,0))))</f>
        <v/>
      </c>
      <c r="AH32" s="68" t="str">
        <f t="shared" si="106"/>
        <v>-</v>
      </c>
      <c r="AI32" s="66" t="str">
        <f>IF(AI$7="","",IF(INDEX('Rooms Walls and Glass'!$D$35:$AB$42, MATCH($D32,'Rooms Walls and Glass'!$A$35:$A$42,0), MATCH('Unit 1 a'!AI$7,'Rooms Walls and Glass'!$D$1:$AB$1,0))=0,"",INDEX('Rooms Walls and Glass'!$D$35:$AB$42, MATCH($D32,'Rooms Walls and Glass'!$A$35:$A$42,0), MATCH('Unit 1 a'!AI$7,'Rooms Walls and Glass'!$D$1:$AB$1,0))))</f>
        <v/>
      </c>
      <c r="AJ32" s="69" t="str">
        <f t="shared" si="23"/>
        <v>-</v>
      </c>
      <c r="AK32" s="66" t="str">
        <f>IF(AK$7="","",IF(INDEX('Rooms Walls and Glass'!$D$35:$AB$42, MATCH($D32,'Rooms Walls and Glass'!$A$35:$A$42,0), MATCH('Unit 1 a'!AK$7,'Rooms Walls and Glass'!$D$1:$AB$1,0))=0,"",INDEX('Rooms Walls and Glass'!$D$35:$AB$42, MATCH($D32,'Rooms Walls and Glass'!$A$35:$A$42,0), MATCH('Unit 1 a'!AK$7,'Rooms Walls and Glass'!$D$1:$AB$1,0))))</f>
        <v/>
      </c>
      <c r="AL32" s="69" t="str">
        <f t="shared" si="24"/>
        <v>-</v>
      </c>
      <c r="AM32" s="66" t="str">
        <f>IF(AM$7="","",IF(INDEX('Rooms Walls and Glass'!$D$35:$AB$42, MATCH($D32,'Rooms Walls and Glass'!$A$35:$A$42,0), MATCH('Unit 1 a'!AM$7,'Rooms Walls and Glass'!$D$1:$AB$1,0))=0,"",INDEX('Rooms Walls and Glass'!$D$35:$AB$42, MATCH($D32,'Rooms Walls and Glass'!$A$35:$A$42,0), MATCH('Unit 1 a'!AM$7,'Rooms Walls and Glass'!$D$1:$AB$1,0))))</f>
        <v/>
      </c>
      <c r="AN32" s="68" t="str">
        <f t="shared" si="25"/>
        <v>-</v>
      </c>
      <c r="AO32" s="66" t="str">
        <f>IF(AO$7="","",IF(INDEX('Rooms Walls and Glass'!$D$35:$AB$42, MATCH($D32,'Rooms Walls and Glass'!$A$35:$A$42,0), MATCH('Unit 1 a'!AO$7,'Rooms Walls and Glass'!$D$1:$AB$1,0))=0,"",INDEX('Rooms Walls and Glass'!$D$35:$AB$42, MATCH($D32,'Rooms Walls and Glass'!$A$35:$A$42,0), MATCH('Unit 1 a'!AO$7,'Rooms Walls and Glass'!$D$1:$AB$1,0))))</f>
        <v/>
      </c>
      <c r="AP32" s="69" t="str">
        <f t="shared" si="26"/>
        <v>-</v>
      </c>
    </row>
    <row r="33" spans="2:42" ht="11.25" customHeight="1" thickBot="1" x14ac:dyDescent="0.2">
      <c r="B33" s="214"/>
      <c r="C33" s="15" t="s">
        <v>38</v>
      </c>
      <c r="D33" s="13" t="str">
        <f>'Rooms Walls and Glass'!A39</f>
        <v>SouthEast</v>
      </c>
      <c r="E33" s="13">
        <f>INDEX('Glass CLF Calculation'!$A$20:$G$27,MATCH('Unit 1 a'!D33,'Glass CLF Calculation'!$A$20:$A$27,0),7)</f>
        <v>21</v>
      </c>
      <c r="F33" s="14">
        <f>INDEX(Summary!$F$19:$F$30,MATCH('Unit 1 a'!C33,Summary!$D$19:$D$30,0))</f>
        <v>7.6999999999999999E-2</v>
      </c>
      <c r="G33" s="14">
        <f t="shared" si="109"/>
        <v>1.617</v>
      </c>
      <c r="H33" s="16" t="s">
        <v>6</v>
      </c>
      <c r="I33" s="65">
        <f t="shared" si="10"/>
        <v>0</v>
      </c>
      <c r="J33" s="68">
        <f t="shared" si="97"/>
        <v>0</v>
      </c>
      <c r="K33" s="66" t="str">
        <f>IF(K$7="","",IF(INDEX('Rooms Walls and Glass'!$D$35:$AB$42, MATCH($D33,'Rooms Walls and Glass'!$A$35:$A$42,0), MATCH('Unit 1 a'!K$7,'Rooms Walls and Glass'!$D$1:$AB$1,0))=0,"",INDEX('Rooms Walls and Glass'!$D$35:$AB$42, MATCH($D33,'Rooms Walls and Glass'!$A$35:$A$42,0), MATCH('Unit 1 a'!K$7,'Rooms Walls and Glass'!$D$1:$AB$1,0))))</f>
        <v/>
      </c>
      <c r="L33" s="68" t="str">
        <f t="shared" si="98"/>
        <v>-</v>
      </c>
      <c r="M33" s="66" t="str">
        <f>IF(M$7="","",IF(INDEX('Rooms Walls and Glass'!$D$35:$AB$42, MATCH($D33,'Rooms Walls and Glass'!$A$35:$A$42,0), MATCH('Unit 1 a'!M$7,'Rooms Walls and Glass'!$D$1:$AB$1,0))=0,"",INDEX('Rooms Walls and Glass'!$D$35:$AB$42, MATCH($D33,'Rooms Walls and Glass'!$A$35:$A$42,0), MATCH('Unit 1 a'!M$7,'Rooms Walls and Glass'!$D$1:$AB$1,0))))</f>
        <v/>
      </c>
      <c r="N33" s="68" t="str">
        <f t="shared" si="99"/>
        <v>-</v>
      </c>
      <c r="O33" s="66" t="str">
        <f>IF(O$7="","",IF(INDEX('Rooms Walls and Glass'!$D$35:$AB$42, MATCH($D33,'Rooms Walls and Glass'!$A$35:$A$42,0), MATCH('Unit 1 a'!O$7,'Rooms Walls and Glass'!$D$1:$AB$1,0))=0,"",INDEX('Rooms Walls and Glass'!$D$35:$AB$42, MATCH($D33,'Rooms Walls and Glass'!$A$35:$A$42,0), MATCH('Unit 1 a'!O$7,'Rooms Walls and Glass'!$D$1:$AB$1,0))))</f>
        <v/>
      </c>
      <c r="P33" s="68" t="str">
        <f t="shared" si="100"/>
        <v>-</v>
      </c>
      <c r="Q33" s="66" t="str">
        <f>IF(Q$7="","",IF(INDEX('Rooms Walls and Glass'!$D$35:$AB$42, MATCH($D33,'Rooms Walls and Glass'!$A$35:$A$42,0), MATCH('Unit 1 a'!Q$7,'Rooms Walls and Glass'!$D$1:$AB$1,0))=0,"",INDEX('Rooms Walls and Glass'!$D$35:$AB$42, MATCH($D33,'Rooms Walls and Glass'!$A$35:$A$42,0), MATCH('Unit 1 a'!Q$7,'Rooms Walls and Glass'!$D$1:$AB$1,0))))</f>
        <v/>
      </c>
      <c r="R33" s="68" t="str">
        <f t="shared" si="101"/>
        <v>-</v>
      </c>
      <c r="S33" s="66" t="str">
        <f>IF(S$7="","",IF(INDEX('Rooms Walls and Glass'!$D$35:$AB$42, MATCH($D33,'Rooms Walls and Glass'!$A$35:$A$42,0), MATCH('Unit 1 a'!S$7,'Rooms Walls and Glass'!$D$1:$AB$1,0))=0,"",INDEX('Rooms Walls and Glass'!$D$35:$AB$42, MATCH($D33,'Rooms Walls and Glass'!$A$35:$A$42,0), MATCH('Unit 1 a'!S$7,'Rooms Walls and Glass'!$D$1:$AB$1,0))))</f>
        <v/>
      </c>
      <c r="T33" s="68" t="str">
        <f t="shared" si="16"/>
        <v>-</v>
      </c>
      <c r="U33" s="66" t="str">
        <f>IF(U$7="","",IF(INDEX('Rooms Walls and Glass'!$D$35:$AB$42, MATCH($D33,'Rooms Walls and Glass'!$A$35:$A$42,0), MATCH('Unit 1 a'!U$7,'Rooms Walls and Glass'!$D$1:$AB$1,0))=0,"",INDEX('Rooms Walls and Glass'!$D$35:$AB$42, MATCH($D33,'Rooms Walls and Glass'!$A$35:$A$42,0), MATCH('Unit 1 a'!U$7,'Rooms Walls and Glass'!$D$1:$AB$1,0))))</f>
        <v/>
      </c>
      <c r="V33" s="68" t="str">
        <f t="shared" si="102"/>
        <v>-</v>
      </c>
      <c r="W33" s="66" t="str">
        <f>IF(W$7="","",IF(INDEX('Rooms Walls and Glass'!$D$35:$AB$42, MATCH($D33,'Rooms Walls and Glass'!$A$35:$A$42,0), MATCH('Unit 1 a'!W$7,'Rooms Walls and Glass'!$D$1:$AB$1,0))=0,"",INDEX('Rooms Walls and Glass'!$D$35:$AB$42, MATCH($D33,'Rooms Walls and Glass'!$A$35:$A$42,0), MATCH('Unit 1 a'!W$7,'Rooms Walls and Glass'!$D$1:$AB$1,0))))</f>
        <v/>
      </c>
      <c r="X33" s="68" t="str">
        <f t="shared" si="103"/>
        <v>-</v>
      </c>
      <c r="Y33" s="66" t="str">
        <f>IF(Y$7="","",IF(INDEX('Rooms Walls and Glass'!$D$35:$AB$42, MATCH($D33,'Rooms Walls and Glass'!$A$35:$A$42,0), MATCH('Unit 1 a'!Y$7,'Rooms Walls and Glass'!$D$1:$AB$1,0))=0,"",INDEX('Rooms Walls and Glass'!$D$35:$AB$42, MATCH($D33,'Rooms Walls and Glass'!$A$35:$A$42,0), MATCH('Unit 1 a'!Y$7,'Rooms Walls and Glass'!$D$1:$AB$1,0))))</f>
        <v/>
      </c>
      <c r="Z33" s="68" t="str">
        <f t="shared" si="104"/>
        <v>-</v>
      </c>
      <c r="AA33" s="66" t="str">
        <f>IF(AA$7="","",IF(INDEX('Rooms Walls and Glass'!$D$35:$AB$42, MATCH($D33,'Rooms Walls and Glass'!$A$35:$A$42,0), MATCH('Unit 1 a'!AA$7,'Rooms Walls and Glass'!$D$1:$AB$1,0))=0,"",INDEX('Rooms Walls and Glass'!$D$35:$AB$42, MATCH($D33,'Rooms Walls and Glass'!$A$35:$A$42,0), MATCH('Unit 1 a'!AA$7,'Rooms Walls and Glass'!$D$1:$AB$1,0))))</f>
        <v/>
      </c>
      <c r="AB33" s="68" t="str">
        <f t="shared" si="105"/>
        <v>-</v>
      </c>
      <c r="AC33" s="66" t="str">
        <f>IF(AC$7="","",IF(INDEX('Rooms Walls and Glass'!$D$35:$AB$42, MATCH($D33,'Rooms Walls and Glass'!$A$35:$A$42,0), MATCH('Unit 1 a'!AC$7,'Rooms Walls and Glass'!$D$1:$AB$1,0))=0,"",INDEX('Rooms Walls and Glass'!$D$35:$AB$42, MATCH($D33,'Rooms Walls and Glass'!$A$35:$A$42,0), MATCH('Unit 1 a'!AC$7,'Rooms Walls and Glass'!$D$1:$AB$1,0))))</f>
        <v/>
      </c>
      <c r="AD33" s="68" t="str">
        <f t="shared" ref="AD33" si="136">IF(AC33="","-",AC33*$G33)</f>
        <v>-</v>
      </c>
      <c r="AE33" s="66" t="str">
        <f>IF(AE$7="","",IF(INDEX('Rooms Walls and Glass'!$D$35:$AB$42, MATCH($D33,'Rooms Walls and Glass'!$A$35:$A$42,0), MATCH('Unit 1 a'!AE$7,'Rooms Walls and Glass'!$D$1:$AB$1,0))=0,"",INDEX('Rooms Walls and Glass'!$D$35:$AB$42, MATCH($D33,'Rooms Walls and Glass'!$A$35:$A$42,0), MATCH('Unit 1 a'!AE$7,'Rooms Walls and Glass'!$D$1:$AB$1,0))))</f>
        <v/>
      </c>
      <c r="AF33" s="68" t="str">
        <f t="shared" ref="AF33" si="137">IF(AE33="","-",AE33*$G33)</f>
        <v>-</v>
      </c>
      <c r="AG33" s="66" t="str">
        <f>IF(AG$7="","",IF(INDEX('Rooms Walls and Glass'!$D$35:$AB$42, MATCH($D33,'Rooms Walls and Glass'!$A$35:$A$42,0), MATCH('Unit 1 a'!AG$7,'Rooms Walls and Glass'!$D$1:$AB$1,0))=0,"",INDEX('Rooms Walls and Glass'!$D$35:$AB$42, MATCH($D33,'Rooms Walls and Glass'!$A$35:$A$42,0), MATCH('Unit 1 a'!AG$7,'Rooms Walls and Glass'!$D$1:$AB$1,0))))</f>
        <v/>
      </c>
      <c r="AH33" s="68" t="str">
        <f t="shared" si="106"/>
        <v>-</v>
      </c>
      <c r="AI33" s="66" t="str">
        <f>IF(AI$7="","",IF(INDEX('Rooms Walls and Glass'!$D$35:$AB$42, MATCH($D33,'Rooms Walls and Glass'!$A$35:$A$42,0), MATCH('Unit 1 a'!AI$7,'Rooms Walls and Glass'!$D$1:$AB$1,0))=0,"",INDEX('Rooms Walls and Glass'!$D$35:$AB$42, MATCH($D33,'Rooms Walls and Glass'!$A$35:$A$42,0), MATCH('Unit 1 a'!AI$7,'Rooms Walls and Glass'!$D$1:$AB$1,0))))</f>
        <v/>
      </c>
      <c r="AJ33" s="69" t="str">
        <f t="shared" si="23"/>
        <v>-</v>
      </c>
      <c r="AK33" s="66" t="str">
        <f>IF(AK$7="","",IF(INDEX('Rooms Walls and Glass'!$D$35:$AB$42, MATCH($D33,'Rooms Walls and Glass'!$A$35:$A$42,0), MATCH('Unit 1 a'!AK$7,'Rooms Walls and Glass'!$D$1:$AB$1,0))=0,"",INDEX('Rooms Walls and Glass'!$D$35:$AB$42, MATCH($D33,'Rooms Walls and Glass'!$A$35:$A$42,0), MATCH('Unit 1 a'!AK$7,'Rooms Walls and Glass'!$D$1:$AB$1,0))))</f>
        <v/>
      </c>
      <c r="AL33" s="69" t="str">
        <f t="shared" si="24"/>
        <v>-</v>
      </c>
      <c r="AM33" s="66" t="str">
        <f>IF(AM$7="","",IF(INDEX('Rooms Walls and Glass'!$D$35:$AB$42, MATCH($D33,'Rooms Walls and Glass'!$A$35:$A$42,0), MATCH('Unit 1 a'!AM$7,'Rooms Walls and Glass'!$D$1:$AB$1,0))=0,"",INDEX('Rooms Walls and Glass'!$D$35:$AB$42, MATCH($D33,'Rooms Walls and Glass'!$A$35:$A$42,0), MATCH('Unit 1 a'!AM$7,'Rooms Walls and Glass'!$D$1:$AB$1,0))))</f>
        <v/>
      </c>
      <c r="AN33" s="68" t="str">
        <f t="shared" si="25"/>
        <v>-</v>
      </c>
      <c r="AO33" s="66" t="str">
        <f>IF(AO$7="","",IF(INDEX('Rooms Walls and Glass'!$D$35:$AB$42, MATCH($D33,'Rooms Walls and Glass'!$A$35:$A$42,0), MATCH('Unit 1 a'!AO$7,'Rooms Walls and Glass'!$D$1:$AB$1,0))=0,"",INDEX('Rooms Walls and Glass'!$D$35:$AB$42, MATCH($D33,'Rooms Walls and Glass'!$A$35:$A$42,0), MATCH('Unit 1 a'!AO$7,'Rooms Walls and Glass'!$D$1:$AB$1,0))))</f>
        <v/>
      </c>
      <c r="AP33" s="69" t="str">
        <f t="shared" si="26"/>
        <v>-</v>
      </c>
    </row>
    <row r="34" spans="2:42" ht="11.25" customHeight="1" thickBot="1" x14ac:dyDescent="0.2">
      <c r="B34" s="214"/>
      <c r="C34" s="15" t="s">
        <v>38</v>
      </c>
      <c r="D34" s="13" t="str">
        <f>'Rooms Walls and Glass'!A40</f>
        <v>South</v>
      </c>
      <c r="E34" s="13">
        <f>INDEX('Glass CLF Calculation'!$A$20:$G$27,MATCH('Unit 1 a'!D34,'Glass CLF Calculation'!$A$20:$A$27,0),7)</f>
        <v>16</v>
      </c>
      <c r="F34" s="14">
        <f>INDEX(Summary!$F$19:$F$30,MATCH('Unit 1 a'!C34,Summary!$D$19:$D$30,0))</f>
        <v>7.6999999999999999E-2</v>
      </c>
      <c r="G34" s="14">
        <f t="shared" si="109"/>
        <v>1.232</v>
      </c>
      <c r="H34" s="16" t="s">
        <v>6</v>
      </c>
      <c r="I34" s="65">
        <f t="shared" si="10"/>
        <v>0</v>
      </c>
      <c r="J34" s="68">
        <f t="shared" si="97"/>
        <v>0</v>
      </c>
      <c r="K34" s="66" t="str">
        <f>IF(K$7="","",IF(INDEX('Rooms Walls and Glass'!$D$35:$AB$42, MATCH($D34,'Rooms Walls and Glass'!$A$35:$A$42,0), MATCH('Unit 1 a'!K$7,'Rooms Walls and Glass'!$D$1:$AB$1,0))=0,"",INDEX('Rooms Walls and Glass'!$D$35:$AB$42, MATCH($D34,'Rooms Walls and Glass'!$A$35:$A$42,0), MATCH('Unit 1 a'!K$7,'Rooms Walls and Glass'!$D$1:$AB$1,0))))</f>
        <v/>
      </c>
      <c r="L34" s="68" t="str">
        <f t="shared" si="98"/>
        <v>-</v>
      </c>
      <c r="M34" s="66" t="str">
        <f>IF(M$7="","",IF(INDEX('Rooms Walls and Glass'!$D$35:$AB$42, MATCH($D34,'Rooms Walls and Glass'!$A$35:$A$42,0), MATCH('Unit 1 a'!M$7,'Rooms Walls and Glass'!$D$1:$AB$1,0))=0,"",INDEX('Rooms Walls and Glass'!$D$35:$AB$42, MATCH($D34,'Rooms Walls and Glass'!$A$35:$A$42,0), MATCH('Unit 1 a'!M$7,'Rooms Walls and Glass'!$D$1:$AB$1,0))))</f>
        <v/>
      </c>
      <c r="N34" s="68" t="str">
        <f t="shared" si="99"/>
        <v>-</v>
      </c>
      <c r="O34" s="66" t="str">
        <f>IF(O$7="","",IF(INDEX('Rooms Walls and Glass'!$D$35:$AB$42, MATCH($D34,'Rooms Walls and Glass'!$A$35:$A$42,0), MATCH('Unit 1 a'!O$7,'Rooms Walls and Glass'!$D$1:$AB$1,0))=0,"",INDEX('Rooms Walls and Glass'!$D$35:$AB$42, MATCH($D34,'Rooms Walls and Glass'!$A$35:$A$42,0), MATCH('Unit 1 a'!O$7,'Rooms Walls and Glass'!$D$1:$AB$1,0))))</f>
        <v/>
      </c>
      <c r="P34" s="68" t="str">
        <f t="shared" si="100"/>
        <v>-</v>
      </c>
      <c r="Q34" s="66" t="str">
        <f>IF(Q$7="","",IF(INDEX('Rooms Walls and Glass'!$D$35:$AB$42, MATCH($D34,'Rooms Walls and Glass'!$A$35:$A$42,0), MATCH('Unit 1 a'!Q$7,'Rooms Walls and Glass'!$D$1:$AB$1,0))=0,"",INDEX('Rooms Walls and Glass'!$D$35:$AB$42, MATCH($D34,'Rooms Walls and Glass'!$A$35:$A$42,0), MATCH('Unit 1 a'!Q$7,'Rooms Walls and Glass'!$D$1:$AB$1,0))))</f>
        <v/>
      </c>
      <c r="R34" s="68" t="str">
        <f t="shared" si="101"/>
        <v>-</v>
      </c>
      <c r="S34" s="66" t="str">
        <f>IF(S$7="","",IF(INDEX('Rooms Walls and Glass'!$D$35:$AB$42, MATCH($D34,'Rooms Walls and Glass'!$A$35:$A$42,0), MATCH('Unit 1 a'!S$7,'Rooms Walls and Glass'!$D$1:$AB$1,0))=0,"",INDEX('Rooms Walls and Glass'!$D$35:$AB$42, MATCH($D34,'Rooms Walls and Glass'!$A$35:$A$42,0), MATCH('Unit 1 a'!S$7,'Rooms Walls and Glass'!$D$1:$AB$1,0))))</f>
        <v/>
      </c>
      <c r="T34" s="68" t="str">
        <f t="shared" si="16"/>
        <v>-</v>
      </c>
      <c r="U34" s="66" t="str">
        <f>IF(U$7="","",IF(INDEX('Rooms Walls and Glass'!$D$35:$AB$42, MATCH($D34,'Rooms Walls and Glass'!$A$35:$A$42,0), MATCH('Unit 1 a'!U$7,'Rooms Walls and Glass'!$D$1:$AB$1,0))=0,"",INDEX('Rooms Walls and Glass'!$D$35:$AB$42, MATCH($D34,'Rooms Walls and Glass'!$A$35:$A$42,0), MATCH('Unit 1 a'!U$7,'Rooms Walls and Glass'!$D$1:$AB$1,0))))</f>
        <v/>
      </c>
      <c r="V34" s="68" t="str">
        <f t="shared" si="102"/>
        <v>-</v>
      </c>
      <c r="W34" s="66" t="str">
        <f>IF(W$7="","",IF(INDEX('Rooms Walls and Glass'!$D$35:$AB$42, MATCH($D34,'Rooms Walls and Glass'!$A$35:$A$42,0), MATCH('Unit 1 a'!W$7,'Rooms Walls and Glass'!$D$1:$AB$1,0))=0,"",INDEX('Rooms Walls and Glass'!$D$35:$AB$42, MATCH($D34,'Rooms Walls and Glass'!$A$35:$A$42,0), MATCH('Unit 1 a'!W$7,'Rooms Walls and Glass'!$D$1:$AB$1,0))))</f>
        <v/>
      </c>
      <c r="X34" s="68" t="str">
        <f t="shared" si="103"/>
        <v>-</v>
      </c>
      <c r="Y34" s="66" t="str">
        <f>IF(Y$7="","",IF(INDEX('Rooms Walls and Glass'!$D$35:$AB$42, MATCH($D34,'Rooms Walls and Glass'!$A$35:$A$42,0), MATCH('Unit 1 a'!Y$7,'Rooms Walls and Glass'!$D$1:$AB$1,0))=0,"",INDEX('Rooms Walls and Glass'!$D$35:$AB$42, MATCH($D34,'Rooms Walls and Glass'!$A$35:$A$42,0), MATCH('Unit 1 a'!Y$7,'Rooms Walls and Glass'!$D$1:$AB$1,0))))</f>
        <v/>
      </c>
      <c r="Z34" s="68" t="str">
        <f t="shared" si="104"/>
        <v>-</v>
      </c>
      <c r="AA34" s="66" t="str">
        <f>IF(AA$7="","",IF(INDEX('Rooms Walls and Glass'!$D$35:$AB$42, MATCH($D34,'Rooms Walls and Glass'!$A$35:$A$42,0), MATCH('Unit 1 a'!AA$7,'Rooms Walls and Glass'!$D$1:$AB$1,0))=0,"",INDEX('Rooms Walls and Glass'!$D$35:$AB$42, MATCH($D34,'Rooms Walls and Glass'!$A$35:$A$42,0), MATCH('Unit 1 a'!AA$7,'Rooms Walls and Glass'!$D$1:$AB$1,0))))</f>
        <v/>
      </c>
      <c r="AB34" s="68" t="str">
        <f t="shared" si="105"/>
        <v>-</v>
      </c>
      <c r="AC34" s="66" t="str">
        <f>IF(AC$7="","",IF(INDEX('Rooms Walls and Glass'!$D$35:$AB$42, MATCH($D34,'Rooms Walls and Glass'!$A$35:$A$42,0), MATCH('Unit 1 a'!AC$7,'Rooms Walls and Glass'!$D$1:$AB$1,0))=0,"",INDEX('Rooms Walls and Glass'!$D$35:$AB$42, MATCH($D34,'Rooms Walls and Glass'!$A$35:$A$42,0), MATCH('Unit 1 a'!AC$7,'Rooms Walls and Glass'!$D$1:$AB$1,0))))</f>
        <v/>
      </c>
      <c r="AD34" s="68" t="str">
        <f t="shared" ref="AD34" si="138">IF(AC34="","-",AC34*$G34)</f>
        <v>-</v>
      </c>
      <c r="AE34" s="66" t="str">
        <f>IF(AE$7="","",IF(INDEX('Rooms Walls and Glass'!$D$35:$AB$42, MATCH($D34,'Rooms Walls and Glass'!$A$35:$A$42,0), MATCH('Unit 1 a'!AE$7,'Rooms Walls and Glass'!$D$1:$AB$1,0))=0,"",INDEX('Rooms Walls and Glass'!$D$35:$AB$42, MATCH($D34,'Rooms Walls and Glass'!$A$35:$A$42,0), MATCH('Unit 1 a'!AE$7,'Rooms Walls and Glass'!$D$1:$AB$1,0))))</f>
        <v/>
      </c>
      <c r="AF34" s="68" t="str">
        <f t="shared" ref="AF34" si="139">IF(AE34="","-",AE34*$G34)</f>
        <v>-</v>
      </c>
      <c r="AG34" s="66" t="str">
        <f>IF(AG$7="","",IF(INDEX('Rooms Walls and Glass'!$D$35:$AB$42, MATCH($D34,'Rooms Walls and Glass'!$A$35:$A$42,0), MATCH('Unit 1 a'!AG$7,'Rooms Walls and Glass'!$D$1:$AB$1,0))=0,"",INDEX('Rooms Walls and Glass'!$D$35:$AB$42, MATCH($D34,'Rooms Walls and Glass'!$A$35:$A$42,0), MATCH('Unit 1 a'!AG$7,'Rooms Walls and Glass'!$D$1:$AB$1,0))))</f>
        <v/>
      </c>
      <c r="AH34" s="68" t="str">
        <f t="shared" si="106"/>
        <v>-</v>
      </c>
      <c r="AI34" s="66" t="str">
        <f>IF(AI$7="","",IF(INDEX('Rooms Walls and Glass'!$D$35:$AB$42, MATCH($D34,'Rooms Walls and Glass'!$A$35:$A$42,0), MATCH('Unit 1 a'!AI$7,'Rooms Walls and Glass'!$D$1:$AB$1,0))=0,"",INDEX('Rooms Walls and Glass'!$D$35:$AB$42, MATCH($D34,'Rooms Walls and Glass'!$A$35:$A$42,0), MATCH('Unit 1 a'!AI$7,'Rooms Walls and Glass'!$D$1:$AB$1,0))))</f>
        <v/>
      </c>
      <c r="AJ34" s="69" t="str">
        <f t="shared" si="23"/>
        <v>-</v>
      </c>
      <c r="AK34" s="66" t="str">
        <f>IF(AK$7="","",IF(INDEX('Rooms Walls and Glass'!$D$35:$AB$42, MATCH($D34,'Rooms Walls and Glass'!$A$35:$A$42,0), MATCH('Unit 1 a'!AK$7,'Rooms Walls and Glass'!$D$1:$AB$1,0))=0,"",INDEX('Rooms Walls and Glass'!$D$35:$AB$42, MATCH($D34,'Rooms Walls and Glass'!$A$35:$A$42,0), MATCH('Unit 1 a'!AK$7,'Rooms Walls and Glass'!$D$1:$AB$1,0))))</f>
        <v/>
      </c>
      <c r="AL34" s="69" t="str">
        <f t="shared" si="24"/>
        <v>-</v>
      </c>
      <c r="AM34" s="66" t="str">
        <f>IF(AM$7="","",IF(INDEX('Rooms Walls and Glass'!$D$35:$AB$42, MATCH($D34,'Rooms Walls and Glass'!$A$35:$A$42,0), MATCH('Unit 1 a'!AM$7,'Rooms Walls and Glass'!$D$1:$AB$1,0))=0,"",INDEX('Rooms Walls and Glass'!$D$35:$AB$42, MATCH($D34,'Rooms Walls and Glass'!$A$35:$A$42,0), MATCH('Unit 1 a'!AM$7,'Rooms Walls and Glass'!$D$1:$AB$1,0))))</f>
        <v/>
      </c>
      <c r="AN34" s="68" t="str">
        <f t="shared" si="25"/>
        <v>-</v>
      </c>
      <c r="AO34" s="66" t="str">
        <f>IF(AO$7="","",IF(INDEX('Rooms Walls and Glass'!$D$35:$AB$42, MATCH($D34,'Rooms Walls and Glass'!$A$35:$A$42,0), MATCH('Unit 1 a'!AO$7,'Rooms Walls and Glass'!$D$1:$AB$1,0))=0,"",INDEX('Rooms Walls and Glass'!$D$35:$AB$42, MATCH($D34,'Rooms Walls and Glass'!$A$35:$A$42,0), MATCH('Unit 1 a'!AO$7,'Rooms Walls and Glass'!$D$1:$AB$1,0))))</f>
        <v/>
      </c>
      <c r="AP34" s="69" t="str">
        <f t="shared" si="26"/>
        <v>-</v>
      </c>
    </row>
    <row r="35" spans="2:42" ht="11.25" customHeight="1" thickBot="1" x14ac:dyDescent="0.2">
      <c r="B35" s="214"/>
      <c r="C35" s="15" t="s">
        <v>38</v>
      </c>
      <c r="D35" s="13" t="str">
        <f>'Rooms Walls and Glass'!A41</f>
        <v>SouthWest</v>
      </c>
      <c r="E35" s="13">
        <f>INDEX('Glass CLF Calculation'!$A$20:$G$27,MATCH('Unit 1 a'!D35,'Glass CLF Calculation'!$A$20:$A$27,0),7)</f>
        <v>21</v>
      </c>
      <c r="F35" s="14">
        <f>INDEX(Summary!$F$19:$F$30,MATCH('Unit 1 a'!C35,Summary!$D$19:$D$30,0))</f>
        <v>7.6999999999999999E-2</v>
      </c>
      <c r="G35" s="14">
        <f t="shared" si="109"/>
        <v>1.617</v>
      </c>
      <c r="H35" s="16" t="s">
        <v>6</v>
      </c>
      <c r="I35" s="65">
        <f t="shared" si="10"/>
        <v>0</v>
      </c>
      <c r="J35" s="68">
        <f t="shared" si="97"/>
        <v>0</v>
      </c>
      <c r="K35" s="66" t="str">
        <f>IF(K$7="","",IF(INDEX('Rooms Walls and Glass'!$D$35:$AB$42, MATCH($D35,'Rooms Walls and Glass'!$A$35:$A$42,0), MATCH('Unit 1 a'!K$7,'Rooms Walls and Glass'!$D$1:$AB$1,0))=0,"",INDEX('Rooms Walls and Glass'!$D$35:$AB$42, MATCH($D35,'Rooms Walls and Glass'!$A$35:$A$42,0), MATCH('Unit 1 a'!K$7,'Rooms Walls and Glass'!$D$1:$AB$1,0))))</f>
        <v/>
      </c>
      <c r="L35" s="68" t="str">
        <f t="shared" si="98"/>
        <v>-</v>
      </c>
      <c r="M35" s="66" t="str">
        <f>IF(M$7="","",IF(INDEX('Rooms Walls and Glass'!$D$35:$AB$42, MATCH($D35,'Rooms Walls and Glass'!$A$35:$A$42,0), MATCH('Unit 1 a'!M$7,'Rooms Walls and Glass'!$D$1:$AB$1,0))=0,"",INDEX('Rooms Walls and Glass'!$D$35:$AB$42, MATCH($D35,'Rooms Walls and Glass'!$A$35:$A$42,0), MATCH('Unit 1 a'!M$7,'Rooms Walls and Glass'!$D$1:$AB$1,0))))</f>
        <v/>
      </c>
      <c r="N35" s="68" t="str">
        <f t="shared" si="99"/>
        <v>-</v>
      </c>
      <c r="O35" s="66" t="str">
        <f>IF(O$7="","",IF(INDEX('Rooms Walls and Glass'!$D$35:$AB$42, MATCH($D35,'Rooms Walls and Glass'!$A$35:$A$42,0), MATCH('Unit 1 a'!O$7,'Rooms Walls and Glass'!$D$1:$AB$1,0))=0,"",INDEX('Rooms Walls and Glass'!$D$35:$AB$42, MATCH($D35,'Rooms Walls and Glass'!$A$35:$A$42,0), MATCH('Unit 1 a'!O$7,'Rooms Walls and Glass'!$D$1:$AB$1,0))))</f>
        <v/>
      </c>
      <c r="P35" s="68" t="str">
        <f t="shared" si="100"/>
        <v>-</v>
      </c>
      <c r="Q35" s="66" t="str">
        <f>IF(Q$7="","",IF(INDEX('Rooms Walls and Glass'!$D$35:$AB$42, MATCH($D35,'Rooms Walls and Glass'!$A$35:$A$42,0), MATCH('Unit 1 a'!Q$7,'Rooms Walls and Glass'!$D$1:$AB$1,0))=0,"",INDEX('Rooms Walls and Glass'!$D$35:$AB$42, MATCH($D35,'Rooms Walls and Glass'!$A$35:$A$42,0), MATCH('Unit 1 a'!Q$7,'Rooms Walls and Glass'!$D$1:$AB$1,0))))</f>
        <v/>
      </c>
      <c r="R35" s="68" t="str">
        <f t="shared" si="101"/>
        <v>-</v>
      </c>
      <c r="S35" s="66" t="str">
        <f>IF(S$7="","",IF(INDEX('Rooms Walls and Glass'!$D$35:$AB$42, MATCH($D35,'Rooms Walls and Glass'!$A$35:$A$42,0), MATCH('Unit 1 a'!S$7,'Rooms Walls and Glass'!$D$1:$AB$1,0))=0,"",INDEX('Rooms Walls and Glass'!$D$35:$AB$42, MATCH($D35,'Rooms Walls and Glass'!$A$35:$A$42,0), MATCH('Unit 1 a'!S$7,'Rooms Walls and Glass'!$D$1:$AB$1,0))))</f>
        <v/>
      </c>
      <c r="T35" s="68" t="str">
        <f t="shared" si="16"/>
        <v>-</v>
      </c>
      <c r="U35" s="66" t="str">
        <f>IF(U$7="","",IF(INDEX('Rooms Walls and Glass'!$D$35:$AB$42, MATCH($D35,'Rooms Walls and Glass'!$A$35:$A$42,0), MATCH('Unit 1 a'!U$7,'Rooms Walls and Glass'!$D$1:$AB$1,0))=0,"",INDEX('Rooms Walls and Glass'!$D$35:$AB$42, MATCH($D35,'Rooms Walls and Glass'!$A$35:$A$42,0), MATCH('Unit 1 a'!U$7,'Rooms Walls and Glass'!$D$1:$AB$1,0))))</f>
        <v/>
      </c>
      <c r="V35" s="68" t="str">
        <f t="shared" si="102"/>
        <v>-</v>
      </c>
      <c r="W35" s="66" t="str">
        <f>IF(W$7="","",IF(INDEX('Rooms Walls and Glass'!$D$35:$AB$42, MATCH($D35,'Rooms Walls and Glass'!$A$35:$A$42,0), MATCH('Unit 1 a'!W$7,'Rooms Walls and Glass'!$D$1:$AB$1,0))=0,"",INDEX('Rooms Walls and Glass'!$D$35:$AB$42, MATCH($D35,'Rooms Walls and Glass'!$A$35:$A$42,0), MATCH('Unit 1 a'!W$7,'Rooms Walls and Glass'!$D$1:$AB$1,0))))</f>
        <v/>
      </c>
      <c r="X35" s="68" t="str">
        <f t="shared" si="103"/>
        <v>-</v>
      </c>
      <c r="Y35" s="66" t="str">
        <f>IF(Y$7="","",IF(INDEX('Rooms Walls and Glass'!$D$35:$AB$42, MATCH($D35,'Rooms Walls and Glass'!$A$35:$A$42,0), MATCH('Unit 1 a'!Y$7,'Rooms Walls and Glass'!$D$1:$AB$1,0))=0,"",INDEX('Rooms Walls and Glass'!$D$35:$AB$42, MATCH($D35,'Rooms Walls and Glass'!$A$35:$A$42,0), MATCH('Unit 1 a'!Y$7,'Rooms Walls and Glass'!$D$1:$AB$1,0))))</f>
        <v/>
      </c>
      <c r="Z35" s="68" t="str">
        <f t="shared" si="104"/>
        <v>-</v>
      </c>
      <c r="AA35" s="66" t="str">
        <f>IF(AA$7="","",IF(INDEX('Rooms Walls and Glass'!$D$35:$AB$42, MATCH($D35,'Rooms Walls and Glass'!$A$35:$A$42,0), MATCH('Unit 1 a'!AA$7,'Rooms Walls and Glass'!$D$1:$AB$1,0))=0,"",INDEX('Rooms Walls and Glass'!$D$35:$AB$42, MATCH($D35,'Rooms Walls and Glass'!$A$35:$A$42,0), MATCH('Unit 1 a'!AA$7,'Rooms Walls and Glass'!$D$1:$AB$1,0))))</f>
        <v/>
      </c>
      <c r="AB35" s="68" t="str">
        <f t="shared" si="105"/>
        <v>-</v>
      </c>
      <c r="AC35" s="66" t="str">
        <f>IF(AC$7="","",IF(INDEX('Rooms Walls and Glass'!$D$35:$AB$42, MATCH($D35,'Rooms Walls and Glass'!$A$35:$A$42,0), MATCH('Unit 1 a'!AC$7,'Rooms Walls and Glass'!$D$1:$AB$1,0))=0,"",INDEX('Rooms Walls and Glass'!$D$35:$AB$42, MATCH($D35,'Rooms Walls and Glass'!$A$35:$A$42,0), MATCH('Unit 1 a'!AC$7,'Rooms Walls and Glass'!$D$1:$AB$1,0))))</f>
        <v/>
      </c>
      <c r="AD35" s="68" t="str">
        <f t="shared" ref="AD35" si="140">IF(AC35="","-",AC35*$G35)</f>
        <v>-</v>
      </c>
      <c r="AE35" s="66" t="str">
        <f>IF(AE$7="","",IF(INDEX('Rooms Walls and Glass'!$D$35:$AB$42, MATCH($D35,'Rooms Walls and Glass'!$A$35:$A$42,0), MATCH('Unit 1 a'!AE$7,'Rooms Walls and Glass'!$D$1:$AB$1,0))=0,"",INDEX('Rooms Walls and Glass'!$D$35:$AB$42, MATCH($D35,'Rooms Walls and Glass'!$A$35:$A$42,0), MATCH('Unit 1 a'!AE$7,'Rooms Walls and Glass'!$D$1:$AB$1,0))))</f>
        <v/>
      </c>
      <c r="AF35" s="68" t="str">
        <f t="shared" ref="AF35" si="141">IF(AE35="","-",AE35*$G35)</f>
        <v>-</v>
      </c>
      <c r="AG35" s="66" t="str">
        <f>IF(AG$7="","",IF(INDEX('Rooms Walls and Glass'!$D$35:$AB$42, MATCH($D35,'Rooms Walls and Glass'!$A$35:$A$42,0), MATCH('Unit 1 a'!AG$7,'Rooms Walls and Glass'!$D$1:$AB$1,0))=0,"",INDEX('Rooms Walls and Glass'!$D$35:$AB$42, MATCH($D35,'Rooms Walls and Glass'!$A$35:$A$42,0), MATCH('Unit 1 a'!AG$7,'Rooms Walls and Glass'!$D$1:$AB$1,0))))</f>
        <v/>
      </c>
      <c r="AH35" s="68" t="str">
        <f t="shared" si="106"/>
        <v>-</v>
      </c>
      <c r="AI35" s="66" t="str">
        <f>IF(AI$7="","",IF(INDEX('Rooms Walls and Glass'!$D$35:$AB$42, MATCH($D35,'Rooms Walls and Glass'!$A$35:$A$42,0), MATCH('Unit 1 a'!AI$7,'Rooms Walls and Glass'!$D$1:$AB$1,0))=0,"",INDEX('Rooms Walls and Glass'!$D$35:$AB$42, MATCH($D35,'Rooms Walls and Glass'!$A$35:$A$42,0), MATCH('Unit 1 a'!AI$7,'Rooms Walls and Glass'!$D$1:$AB$1,0))))</f>
        <v/>
      </c>
      <c r="AJ35" s="69" t="str">
        <f t="shared" si="23"/>
        <v>-</v>
      </c>
      <c r="AK35" s="66" t="str">
        <f>IF(AK$7="","",IF(INDEX('Rooms Walls and Glass'!$D$35:$AB$42, MATCH($D35,'Rooms Walls and Glass'!$A$35:$A$42,0), MATCH('Unit 1 a'!AK$7,'Rooms Walls and Glass'!$D$1:$AB$1,0))=0,"",INDEX('Rooms Walls and Glass'!$D$35:$AB$42, MATCH($D35,'Rooms Walls and Glass'!$A$35:$A$42,0), MATCH('Unit 1 a'!AK$7,'Rooms Walls and Glass'!$D$1:$AB$1,0))))</f>
        <v/>
      </c>
      <c r="AL35" s="69" t="str">
        <f t="shared" si="24"/>
        <v>-</v>
      </c>
      <c r="AM35" s="66" t="str">
        <f>IF(AM$7="","",IF(INDEX('Rooms Walls and Glass'!$D$35:$AB$42, MATCH($D35,'Rooms Walls and Glass'!$A$35:$A$42,0), MATCH('Unit 1 a'!AM$7,'Rooms Walls and Glass'!$D$1:$AB$1,0))=0,"",INDEX('Rooms Walls and Glass'!$D$35:$AB$42, MATCH($D35,'Rooms Walls and Glass'!$A$35:$A$42,0), MATCH('Unit 1 a'!AM$7,'Rooms Walls and Glass'!$D$1:$AB$1,0))))</f>
        <v/>
      </c>
      <c r="AN35" s="68" t="str">
        <f t="shared" si="25"/>
        <v>-</v>
      </c>
      <c r="AO35" s="66" t="str">
        <f>IF(AO$7="","",IF(INDEX('Rooms Walls and Glass'!$D$35:$AB$42, MATCH($D35,'Rooms Walls and Glass'!$A$35:$A$42,0), MATCH('Unit 1 a'!AO$7,'Rooms Walls and Glass'!$D$1:$AB$1,0))=0,"",INDEX('Rooms Walls and Glass'!$D$35:$AB$42, MATCH($D35,'Rooms Walls and Glass'!$A$35:$A$42,0), MATCH('Unit 1 a'!AO$7,'Rooms Walls and Glass'!$D$1:$AB$1,0))))</f>
        <v/>
      </c>
      <c r="AP35" s="69" t="str">
        <f t="shared" si="26"/>
        <v>-</v>
      </c>
    </row>
    <row r="36" spans="2:42" ht="11.25" customHeight="1" thickBot="1" x14ac:dyDescent="0.2">
      <c r="B36" s="213"/>
      <c r="C36" s="17" t="s">
        <v>38</v>
      </c>
      <c r="D36" s="13" t="str">
        <f>'Rooms Walls and Glass'!A42</f>
        <v>West</v>
      </c>
      <c r="E36" s="13">
        <f>INDEX('Glass CLF Calculation'!$A$20:$G$27,MATCH('Unit 1 a'!D36,'Glass CLF Calculation'!$A$20:$A$27,0),7)</f>
        <v>23</v>
      </c>
      <c r="F36" s="14">
        <f>INDEX(Summary!$F$19:$F$30,MATCH('Unit 1 a'!C36,Summary!$D$19:$D$30,0))</f>
        <v>7.6999999999999999E-2</v>
      </c>
      <c r="G36" s="14">
        <f t="shared" si="109"/>
        <v>1.7709999999999999</v>
      </c>
      <c r="H36" s="18" t="s">
        <v>6</v>
      </c>
      <c r="I36" s="65">
        <f t="shared" si="10"/>
        <v>0</v>
      </c>
      <c r="J36" s="70">
        <f t="shared" si="97"/>
        <v>0</v>
      </c>
      <c r="K36" s="66" t="str">
        <f>IF(K$7="","",IF(INDEX('Rooms Walls and Glass'!$D$35:$AB$42, MATCH($D36,'Rooms Walls and Glass'!$A$35:$A$42,0), MATCH('Unit 1 a'!K$7,'Rooms Walls and Glass'!$D$1:$AB$1,0))=0,"",INDEX('Rooms Walls and Glass'!$D$35:$AB$42, MATCH($D36,'Rooms Walls and Glass'!$A$35:$A$42,0), MATCH('Unit 1 a'!K$7,'Rooms Walls and Glass'!$D$1:$AB$1,0))))</f>
        <v/>
      </c>
      <c r="L36" s="70" t="str">
        <f t="shared" si="98"/>
        <v>-</v>
      </c>
      <c r="M36" s="66" t="str">
        <f>IF(M$7="","",IF(INDEX('Rooms Walls and Glass'!$D$35:$AB$42, MATCH($D36,'Rooms Walls and Glass'!$A$35:$A$42,0), MATCH('Unit 1 a'!M$7,'Rooms Walls and Glass'!$D$1:$AB$1,0))=0,"",INDEX('Rooms Walls and Glass'!$D$35:$AB$42, MATCH($D36,'Rooms Walls and Glass'!$A$35:$A$42,0), MATCH('Unit 1 a'!M$7,'Rooms Walls and Glass'!$D$1:$AB$1,0))))</f>
        <v/>
      </c>
      <c r="N36" s="70" t="str">
        <f t="shared" si="99"/>
        <v>-</v>
      </c>
      <c r="O36" s="66" t="str">
        <f>IF(O$7="","",IF(INDEX('Rooms Walls and Glass'!$D$35:$AB$42, MATCH($D36,'Rooms Walls and Glass'!$A$35:$A$42,0), MATCH('Unit 1 a'!O$7,'Rooms Walls and Glass'!$D$1:$AB$1,0))=0,"",INDEX('Rooms Walls and Glass'!$D$35:$AB$42, MATCH($D36,'Rooms Walls and Glass'!$A$35:$A$42,0), MATCH('Unit 1 a'!O$7,'Rooms Walls and Glass'!$D$1:$AB$1,0))))</f>
        <v/>
      </c>
      <c r="P36" s="70" t="str">
        <f t="shared" si="100"/>
        <v>-</v>
      </c>
      <c r="Q36" s="66" t="str">
        <f>IF(Q$7="","",IF(INDEX('Rooms Walls and Glass'!$D$35:$AB$42, MATCH($D36,'Rooms Walls and Glass'!$A$35:$A$42,0), MATCH('Unit 1 a'!Q$7,'Rooms Walls and Glass'!$D$1:$AB$1,0))=0,"",INDEX('Rooms Walls and Glass'!$D$35:$AB$42, MATCH($D36,'Rooms Walls and Glass'!$A$35:$A$42,0), MATCH('Unit 1 a'!Q$7,'Rooms Walls and Glass'!$D$1:$AB$1,0))))</f>
        <v/>
      </c>
      <c r="R36" s="70" t="str">
        <f t="shared" si="101"/>
        <v>-</v>
      </c>
      <c r="S36" s="66" t="str">
        <f>IF(S$7="","",IF(INDEX('Rooms Walls and Glass'!$D$35:$AB$42, MATCH($D36,'Rooms Walls and Glass'!$A$35:$A$42,0), MATCH('Unit 1 a'!S$7,'Rooms Walls and Glass'!$D$1:$AB$1,0))=0,"",INDEX('Rooms Walls and Glass'!$D$35:$AB$42, MATCH($D36,'Rooms Walls and Glass'!$A$35:$A$42,0), MATCH('Unit 1 a'!S$7,'Rooms Walls and Glass'!$D$1:$AB$1,0))))</f>
        <v/>
      </c>
      <c r="T36" s="70" t="str">
        <f t="shared" si="16"/>
        <v>-</v>
      </c>
      <c r="U36" s="66" t="str">
        <f>IF(U$7="","",IF(INDEX('Rooms Walls and Glass'!$D$35:$AB$42, MATCH($D36,'Rooms Walls and Glass'!$A$35:$A$42,0), MATCH('Unit 1 a'!U$7,'Rooms Walls and Glass'!$D$1:$AB$1,0))=0,"",INDEX('Rooms Walls and Glass'!$D$35:$AB$42, MATCH($D36,'Rooms Walls and Glass'!$A$35:$A$42,0), MATCH('Unit 1 a'!U$7,'Rooms Walls and Glass'!$D$1:$AB$1,0))))</f>
        <v/>
      </c>
      <c r="V36" s="70" t="str">
        <f t="shared" si="102"/>
        <v>-</v>
      </c>
      <c r="W36" s="66" t="str">
        <f>IF(W$7="","",IF(INDEX('Rooms Walls and Glass'!$D$35:$AB$42, MATCH($D36,'Rooms Walls and Glass'!$A$35:$A$42,0), MATCH('Unit 1 a'!W$7,'Rooms Walls and Glass'!$D$1:$AB$1,0))=0,"",INDEX('Rooms Walls and Glass'!$D$35:$AB$42, MATCH($D36,'Rooms Walls and Glass'!$A$35:$A$42,0), MATCH('Unit 1 a'!W$7,'Rooms Walls and Glass'!$D$1:$AB$1,0))))</f>
        <v/>
      </c>
      <c r="X36" s="70" t="str">
        <f t="shared" si="103"/>
        <v>-</v>
      </c>
      <c r="Y36" s="66" t="str">
        <f>IF(Y$7="","",IF(INDEX('Rooms Walls and Glass'!$D$35:$AB$42, MATCH($D36,'Rooms Walls and Glass'!$A$35:$A$42,0), MATCH('Unit 1 a'!Y$7,'Rooms Walls and Glass'!$D$1:$AB$1,0))=0,"",INDEX('Rooms Walls and Glass'!$D$35:$AB$42, MATCH($D36,'Rooms Walls and Glass'!$A$35:$A$42,0), MATCH('Unit 1 a'!Y$7,'Rooms Walls and Glass'!$D$1:$AB$1,0))))</f>
        <v/>
      </c>
      <c r="Z36" s="70" t="str">
        <f t="shared" si="104"/>
        <v>-</v>
      </c>
      <c r="AA36" s="66" t="str">
        <f>IF(AA$7="","",IF(INDEX('Rooms Walls and Glass'!$D$35:$AB$42, MATCH($D36,'Rooms Walls and Glass'!$A$35:$A$42,0), MATCH('Unit 1 a'!AA$7,'Rooms Walls and Glass'!$D$1:$AB$1,0))=0,"",INDEX('Rooms Walls and Glass'!$D$35:$AB$42, MATCH($D36,'Rooms Walls and Glass'!$A$35:$A$42,0), MATCH('Unit 1 a'!AA$7,'Rooms Walls and Glass'!$D$1:$AB$1,0))))</f>
        <v/>
      </c>
      <c r="AB36" s="70" t="str">
        <f t="shared" si="105"/>
        <v>-</v>
      </c>
      <c r="AC36" s="66" t="str">
        <f>IF(AC$7="","",IF(INDEX('Rooms Walls and Glass'!$D$35:$AB$42, MATCH($D36,'Rooms Walls and Glass'!$A$35:$A$42,0), MATCH('Unit 1 a'!AC$7,'Rooms Walls and Glass'!$D$1:$AB$1,0))=0,"",INDEX('Rooms Walls and Glass'!$D$35:$AB$42, MATCH($D36,'Rooms Walls and Glass'!$A$35:$A$42,0), MATCH('Unit 1 a'!AC$7,'Rooms Walls and Glass'!$D$1:$AB$1,0))))</f>
        <v/>
      </c>
      <c r="AD36" s="70" t="str">
        <f t="shared" ref="AD36" si="142">IF(AC36="","-",AC36*$G36)</f>
        <v>-</v>
      </c>
      <c r="AE36" s="66" t="str">
        <f>IF(AE$7="","",IF(INDEX('Rooms Walls and Glass'!$D$35:$AB$42, MATCH($D36,'Rooms Walls and Glass'!$A$35:$A$42,0), MATCH('Unit 1 a'!AE$7,'Rooms Walls and Glass'!$D$1:$AB$1,0))=0,"",INDEX('Rooms Walls and Glass'!$D$35:$AB$42, MATCH($D36,'Rooms Walls and Glass'!$A$35:$A$42,0), MATCH('Unit 1 a'!AE$7,'Rooms Walls and Glass'!$D$1:$AB$1,0))))</f>
        <v/>
      </c>
      <c r="AF36" s="70" t="str">
        <f t="shared" ref="AF36" si="143">IF(AE36="","-",AE36*$G36)</f>
        <v>-</v>
      </c>
      <c r="AG36" s="66" t="str">
        <f>IF(AG$7="","",IF(INDEX('Rooms Walls and Glass'!$D$35:$AB$42, MATCH($D36,'Rooms Walls and Glass'!$A$35:$A$42,0), MATCH('Unit 1 a'!AG$7,'Rooms Walls and Glass'!$D$1:$AB$1,0))=0,"",INDEX('Rooms Walls and Glass'!$D$35:$AB$42, MATCH($D36,'Rooms Walls and Glass'!$A$35:$A$42,0), MATCH('Unit 1 a'!AG$7,'Rooms Walls and Glass'!$D$1:$AB$1,0))))</f>
        <v/>
      </c>
      <c r="AH36" s="70" t="str">
        <f t="shared" si="106"/>
        <v>-</v>
      </c>
      <c r="AI36" s="66" t="str">
        <f>IF(AI$7="","",IF(INDEX('Rooms Walls and Glass'!$D$35:$AB$42, MATCH($D36,'Rooms Walls and Glass'!$A$35:$A$42,0), MATCH('Unit 1 a'!AI$7,'Rooms Walls and Glass'!$D$1:$AB$1,0))=0,"",INDEX('Rooms Walls and Glass'!$D$35:$AB$42, MATCH($D36,'Rooms Walls and Glass'!$A$35:$A$42,0), MATCH('Unit 1 a'!AI$7,'Rooms Walls and Glass'!$D$1:$AB$1,0))))</f>
        <v/>
      </c>
      <c r="AJ36" s="71" t="str">
        <f t="shared" si="23"/>
        <v>-</v>
      </c>
      <c r="AK36" s="66" t="str">
        <f>IF(AK$7="","",IF(INDEX('Rooms Walls and Glass'!$D$35:$AB$42, MATCH($D36,'Rooms Walls and Glass'!$A$35:$A$42,0), MATCH('Unit 1 a'!AK$7,'Rooms Walls and Glass'!$D$1:$AB$1,0))=0,"",INDEX('Rooms Walls and Glass'!$D$35:$AB$42, MATCH($D36,'Rooms Walls and Glass'!$A$35:$A$42,0), MATCH('Unit 1 a'!AK$7,'Rooms Walls and Glass'!$D$1:$AB$1,0))))</f>
        <v/>
      </c>
      <c r="AL36" s="71" t="str">
        <f t="shared" si="24"/>
        <v>-</v>
      </c>
      <c r="AM36" s="66" t="str">
        <f>IF(AM$7="","",IF(INDEX('Rooms Walls and Glass'!$D$35:$AB$42, MATCH($D36,'Rooms Walls and Glass'!$A$35:$A$42,0), MATCH('Unit 1 a'!AM$7,'Rooms Walls and Glass'!$D$1:$AB$1,0))=0,"",INDEX('Rooms Walls and Glass'!$D$35:$AB$42, MATCH($D36,'Rooms Walls and Glass'!$A$35:$A$42,0), MATCH('Unit 1 a'!AM$7,'Rooms Walls and Glass'!$D$1:$AB$1,0))))</f>
        <v/>
      </c>
      <c r="AN36" s="70" t="str">
        <f t="shared" si="25"/>
        <v>-</v>
      </c>
      <c r="AO36" s="66" t="str">
        <f>IF(AO$7="","",IF(INDEX('Rooms Walls and Glass'!$D$35:$AB$42, MATCH($D36,'Rooms Walls and Glass'!$A$35:$A$42,0), MATCH('Unit 1 a'!AO$7,'Rooms Walls and Glass'!$D$1:$AB$1,0))=0,"",INDEX('Rooms Walls and Glass'!$D$35:$AB$42, MATCH($D36,'Rooms Walls and Glass'!$A$35:$A$42,0), MATCH('Unit 1 a'!AO$7,'Rooms Walls and Glass'!$D$1:$AB$1,0))))</f>
        <v/>
      </c>
      <c r="AP36" s="71" t="str">
        <f t="shared" si="26"/>
        <v>-</v>
      </c>
    </row>
    <row r="37" spans="2:42" ht="11.25" customHeight="1" thickBot="1" x14ac:dyDescent="0.2">
      <c r="B37" s="212" t="s">
        <v>80</v>
      </c>
      <c r="C37" s="12" t="s">
        <v>39</v>
      </c>
      <c r="D37" s="13" t="s">
        <v>45</v>
      </c>
      <c r="E37" s="13">
        <v>0</v>
      </c>
      <c r="F37" s="14">
        <f>INDEX(Summary!$F$19:$F$30,MATCH('Unit 1 a'!C37,Summary!$D$19:$D$30,0))</f>
        <v>6.7000000000000004E-2</v>
      </c>
      <c r="G37" s="14">
        <f t="shared" si="109"/>
        <v>0</v>
      </c>
      <c r="H37" s="13" t="s">
        <v>6</v>
      </c>
      <c r="I37" s="65">
        <f t="shared" si="10"/>
        <v>0</v>
      </c>
      <c r="J37" s="65">
        <f t="shared" si="97"/>
        <v>0</v>
      </c>
      <c r="K37" s="66" t="str">
        <f>IF(K$7="","",IF(INDEX('Rooms Walls and Glass'!$D$46:$AB$50, MATCH($D37,'Rooms Walls and Glass'!$A$46:$A$50,0), MATCH('Unit 1 a'!K$7,'Rooms Walls and Glass'!$D$1:$AB$1,0))=0,"",INDEX('Rooms Walls and Glass'!$D$46:$AB$50, MATCH($D37,'Rooms Walls and Glass'!$A$46:$A$50,0), MATCH('Unit 1 a'!K$7,'Rooms Walls and Glass'!$D$1:$AB$1,0))))</f>
        <v/>
      </c>
      <c r="L37" s="65" t="str">
        <f t="shared" si="98"/>
        <v>-</v>
      </c>
      <c r="M37" s="66" t="str">
        <f>IF(M$7="","",IF(INDEX('Rooms Walls and Glass'!$D$46:$AB$50, MATCH($D37,'Rooms Walls and Glass'!$A$46:$A$50,0), MATCH('Unit 1 a'!M$7,'Rooms Walls and Glass'!$D$1:$AB$1,0))=0,"",INDEX('Rooms Walls and Glass'!$D$46:$AB$50, MATCH($D37,'Rooms Walls and Glass'!$A$46:$A$50,0), MATCH('Unit 1 a'!M$7,'Rooms Walls and Glass'!$D$1:$AB$1,0))))</f>
        <v/>
      </c>
      <c r="N37" s="65" t="str">
        <f t="shared" si="99"/>
        <v>-</v>
      </c>
      <c r="O37" s="66" t="str">
        <f>IF(O$7="","",IF(INDEX('Rooms Walls and Glass'!$D$46:$AB$50, MATCH($D37,'Rooms Walls and Glass'!$A$46:$A$50,0), MATCH('Unit 1 a'!O$7,'Rooms Walls and Glass'!$D$1:$AB$1,0))=0,"",INDEX('Rooms Walls and Glass'!$D$46:$AB$50, MATCH($D37,'Rooms Walls and Glass'!$A$46:$A$50,0), MATCH('Unit 1 a'!O$7,'Rooms Walls and Glass'!$D$1:$AB$1,0))))</f>
        <v/>
      </c>
      <c r="P37" s="65" t="str">
        <f t="shared" si="100"/>
        <v>-</v>
      </c>
      <c r="Q37" s="66" t="str">
        <f>IF(Q$7="","",IF(INDEX('Rooms Walls and Glass'!$D$46:$AB$50, MATCH($D37,'Rooms Walls and Glass'!$A$46:$A$50,0), MATCH('Unit 1 a'!Q$7,'Rooms Walls and Glass'!$D$1:$AB$1,0))=0,"",INDEX('Rooms Walls and Glass'!$D$46:$AB$50, MATCH($D37,'Rooms Walls and Glass'!$A$46:$A$50,0), MATCH('Unit 1 a'!Q$7,'Rooms Walls and Glass'!$D$1:$AB$1,0))))</f>
        <v/>
      </c>
      <c r="R37" s="65" t="str">
        <f t="shared" si="101"/>
        <v>-</v>
      </c>
      <c r="S37" s="66" t="str">
        <f>IF(S$7="","",IF(INDEX('Rooms Walls and Glass'!$D$46:$AB$50, MATCH($D37,'Rooms Walls and Glass'!$A$46:$A$50,0), MATCH('Unit 1 a'!S$7,'Rooms Walls and Glass'!$D$1:$AB$1,0))=0,"",INDEX('Rooms Walls and Glass'!$D$46:$AB$50, MATCH($D37,'Rooms Walls and Glass'!$A$46:$A$50,0), MATCH('Unit 1 a'!S$7,'Rooms Walls and Glass'!$D$1:$AB$1,0))))</f>
        <v/>
      </c>
      <c r="T37" s="65" t="str">
        <f t="shared" si="16"/>
        <v>-</v>
      </c>
      <c r="U37" s="66" t="str">
        <f>IF(U$7="","",IF(INDEX('Rooms Walls and Glass'!$D$46:$AB$50, MATCH($D37,'Rooms Walls and Glass'!$A$46:$A$50,0), MATCH('Unit 1 a'!U$7,'Rooms Walls and Glass'!$D$1:$AB$1,0))=0,"",INDEX('Rooms Walls and Glass'!$D$46:$AB$50, MATCH($D37,'Rooms Walls and Glass'!$A$46:$A$50,0), MATCH('Unit 1 a'!U$7,'Rooms Walls and Glass'!$D$1:$AB$1,0))))</f>
        <v/>
      </c>
      <c r="V37" s="65" t="str">
        <f t="shared" si="102"/>
        <v>-</v>
      </c>
      <c r="W37" s="66" t="str">
        <f>IF(W$7="","",IF(INDEX('Rooms Walls and Glass'!$D$46:$AB$50, MATCH($D37,'Rooms Walls and Glass'!$A$46:$A$50,0), MATCH('Unit 1 a'!W$7,'Rooms Walls and Glass'!$D$1:$AB$1,0))=0,"",INDEX('Rooms Walls and Glass'!$D$46:$AB$50, MATCH($D37,'Rooms Walls and Glass'!$A$46:$A$50,0), MATCH('Unit 1 a'!W$7,'Rooms Walls and Glass'!$D$1:$AB$1,0))))</f>
        <v/>
      </c>
      <c r="X37" s="65" t="str">
        <f t="shared" si="103"/>
        <v>-</v>
      </c>
      <c r="Y37" s="66" t="str">
        <f>IF(Y$7="","",IF(INDEX('Rooms Walls and Glass'!$D$46:$AB$50, MATCH($D37,'Rooms Walls and Glass'!$A$46:$A$50,0), MATCH('Unit 1 a'!Y$7,'Rooms Walls and Glass'!$D$1:$AB$1,0))=0,"",INDEX('Rooms Walls and Glass'!$D$46:$AB$50, MATCH($D37,'Rooms Walls and Glass'!$A$46:$A$50,0), MATCH('Unit 1 a'!Y$7,'Rooms Walls and Glass'!$D$1:$AB$1,0))))</f>
        <v/>
      </c>
      <c r="Z37" s="65" t="str">
        <f t="shared" si="104"/>
        <v>-</v>
      </c>
      <c r="AA37" s="66" t="str">
        <f>IF(AA$7="","",IF(INDEX('Rooms Walls and Glass'!$D$46:$AB$50, MATCH($D37,'Rooms Walls and Glass'!$A$46:$A$50,0), MATCH('Unit 1 a'!AA$7,'Rooms Walls and Glass'!$D$1:$AB$1,0))=0,"",INDEX('Rooms Walls and Glass'!$D$46:$AB$50, MATCH($D37,'Rooms Walls and Glass'!$A$46:$A$50,0), MATCH('Unit 1 a'!AA$7,'Rooms Walls and Glass'!$D$1:$AB$1,0))))</f>
        <v/>
      </c>
      <c r="AB37" s="65" t="str">
        <f t="shared" si="105"/>
        <v>-</v>
      </c>
      <c r="AC37" s="66" t="str">
        <f>IF(AC$7="","",IF(INDEX('Rooms Walls and Glass'!$D$46:$AB$50, MATCH($D37,'Rooms Walls and Glass'!$A$46:$A$50,0), MATCH('Unit 1 a'!AC$7,'Rooms Walls and Glass'!$D$1:$AB$1,0))=0,"",INDEX('Rooms Walls and Glass'!$D$46:$AB$50, MATCH($D37,'Rooms Walls and Glass'!$A$46:$A$50,0), MATCH('Unit 1 a'!AC$7,'Rooms Walls and Glass'!$D$1:$AB$1,0))))</f>
        <v/>
      </c>
      <c r="AD37" s="65" t="str">
        <f t="shared" ref="AD37" si="144">IF(AC37="","-",AC37*$G37)</f>
        <v>-</v>
      </c>
      <c r="AE37" s="66" t="str">
        <f>IF(AE$7="","",IF(INDEX('Rooms Walls and Glass'!$D$46:$AB$50, MATCH($D37,'Rooms Walls and Glass'!$A$46:$A$50,0), MATCH('Unit 1 a'!AE$7,'Rooms Walls and Glass'!$D$1:$AB$1,0))=0,"",INDEX('Rooms Walls and Glass'!$D$46:$AB$50, MATCH($D37,'Rooms Walls and Glass'!$A$46:$A$50,0), MATCH('Unit 1 a'!AE$7,'Rooms Walls and Glass'!$D$1:$AB$1,0))))</f>
        <v/>
      </c>
      <c r="AF37" s="65" t="str">
        <f t="shared" ref="AF37" si="145">IF(AE37="","-",AE37*$G37)</f>
        <v>-</v>
      </c>
      <c r="AG37" s="66" t="str">
        <f>IF(AG$7="","",IF(INDEX('Rooms Walls and Glass'!$D$46:$AB$50, MATCH($D37,'Rooms Walls and Glass'!$A$46:$A$50,0), MATCH('Unit 1 a'!AG$7,'Rooms Walls and Glass'!$D$1:$AB$1,0))=0,"",INDEX('Rooms Walls and Glass'!$D$46:$AB$50, MATCH($D37,'Rooms Walls and Glass'!$A$46:$A$50,0), MATCH('Unit 1 a'!AG$7,'Rooms Walls and Glass'!$D$1:$AB$1,0))))</f>
        <v/>
      </c>
      <c r="AH37" s="65" t="str">
        <f t="shared" si="106"/>
        <v>-</v>
      </c>
      <c r="AI37" s="66" t="str">
        <f>IF(AI$7="","",IF(INDEX('Rooms Walls and Glass'!$D$46:$AB$50, MATCH($D37,'Rooms Walls and Glass'!$A$46:$A$50,0), MATCH('Unit 1 a'!AI$7,'Rooms Walls and Glass'!$D$1:$AB$1,0))=0,"",INDEX('Rooms Walls and Glass'!$D$46:$AB$50, MATCH($D37,'Rooms Walls and Glass'!$A$46:$A$50,0), MATCH('Unit 1 a'!AI$7,'Rooms Walls and Glass'!$D$1:$AB$1,0))))</f>
        <v/>
      </c>
      <c r="AJ37" s="67" t="str">
        <f t="shared" si="23"/>
        <v>-</v>
      </c>
      <c r="AK37" s="66" t="str">
        <f>IF(AK$7="","",IF(INDEX('Rooms Walls and Glass'!$D$46:$AB$50, MATCH($D37,'Rooms Walls and Glass'!$A$46:$A$50,0), MATCH('Unit 1 a'!AK$7,'Rooms Walls and Glass'!$D$1:$AB$1,0))=0,"",INDEX('Rooms Walls and Glass'!$D$46:$AB$50, MATCH($D37,'Rooms Walls and Glass'!$A$46:$A$50,0), MATCH('Unit 1 a'!AK$7,'Rooms Walls and Glass'!$D$1:$AB$1,0))))</f>
        <v/>
      </c>
      <c r="AL37" s="67" t="str">
        <f t="shared" si="24"/>
        <v>-</v>
      </c>
      <c r="AM37" s="66" t="str">
        <f>IF(AM$7="","",IF(INDEX('Rooms Walls and Glass'!$D$46:$AB$50, MATCH($D37,'Rooms Walls and Glass'!$A$46:$A$50,0), MATCH('Unit 1 a'!AM$7,'Rooms Walls and Glass'!$D$1:$AB$1,0))=0,"",INDEX('Rooms Walls and Glass'!$D$46:$AB$50, MATCH($D37,'Rooms Walls and Glass'!$A$46:$A$50,0), MATCH('Unit 1 a'!AM$7,'Rooms Walls and Glass'!$D$1:$AB$1,0))))</f>
        <v/>
      </c>
      <c r="AN37" s="65" t="str">
        <f t="shared" si="25"/>
        <v>-</v>
      </c>
      <c r="AO37" s="66" t="str">
        <f>IF(AO$7="","",IF(INDEX('Rooms Walls and Glass'!$D$46:$AB$50, MATCH($D37,'Rooms Walls and Glass'!$A$46:$A$50,0), MATCH('Unit 1 a'!AO$7,'Rooms Walls and Glass'!$D$1:$AB$1,0))=0,"",INDEX('Rooms Walls and Glass'!$D$46:$AB$50, MATCH($D37,'Rooms Walls and Glass'!$A$46:$A$50,0), MATCH('Unit 1 a'!AO$7,'Rooms Walls and Glass'!$D$1:$AB$1,0))))</f>
        <v/>
      </c>
      <c r="AP37" s="67" t="str">
        <f t="shared" si="26"/>
        <v>-</v>
      </c>
    </row>
    <row r="38" spans="2:42" ht="11.25" customHeight="1" thickBot="1" x14ac:dyDescent="0.2">
      <c r="B38" s="214"/>
      <c r="C38" s="15" t="s">
        <v>38</v>
      </c>
      <c r="D38" s="16" t="s">
        <v>46</v>
      </c>
      <c r="E38" s="16">
        <v>10</v>
      </c>
      <c r="F38" s="14">
        <f>INDEX(Summary!$F$19:$F$30,MATCH('Unit 1 a'!C38,Summary!$D$19:$D$30,0))</f>
        <v>7.6999999999999999E-2</v>
      </c>
      <c r="G38" s="14">
        <f t="shared" si="109"/>
        <v>0.77</v>
      </c>
      <c r="H38" s="16" t="s">
        <v>6</v>
      </c>
      <c r="I38" s="65">
        <f t="shared" si="10"/>
        <v>0</v>
      </c>
      <c r="J38" s="68">
        <f t="shared" si="97"/>
        <v>0</v>
      </c>
      <c r="K38" s="66" t="str">
        <f>IF(K$7="","",IF(INDEX('Rooms Walls and Glass'!$D$46:$AB$50, MATCH($D38,'Rooms Walls and Glass'!$A$46:$A$50,0), MATCH('Unit 1 a'!K$7,'Rooms Walls and Glass'!$D$1:$AB$1,0))=0,"",INDEX('Rooms Walls and Glass'!$D$46:$AB$50, MATCH($D38,'Rooms Walls and Glass'!$A$46:$A$50,0), MATCH('Unit 1 a'!K$7,'Rooms Walls and Glass'!$D$1:$AB$1,0))))</f>
        <v/>
      </c>
      <c r="L38" s="68" t="str">
        <f t="shared" si="98"/>
        <v>-</v>
      </c>
      <c r="M38" s="66" t="str">
        <f>IF(M$7="","",IF(INDEX('Rooms Walls and Glass'!$D$46:$AB$50, MATCH($D38,'Rooms Walls and Glass'!$A$46:$A$50,0), MATCH('Unit 1 a'!M$7,'Rooms Walls and Glass'!$D$1:$AB$1,0))=0,"",INDEX('Rooms Walls and Glass'!$D$46:$AB$50, MATCH($D38,'Rooms Walls and Glass'!$A$46:$A$50,0), MATCH('Unit 1 a'!M$7,'Rooms Walls and Glass'!$D$1:$AB$1,0))))</f>
        <v/>
      </c>
      <c r="N38" s="68" t="str">
        <f t="shared" si="99"/>
        <v>-</v>
      </c>
      <c r="O38" s="66" t="str">
        <f>IF(O$7="","",IF(INDEX('Rooms Walls and Glass'!$D$46:$AB$50, MATCH($D38,'Rooms Walls and Glass'!$A$46:$A$50,0), MATCH('Unit 1 a'!O$7,'Rooms Walls and Glass'!$D$1:$AB$1,0))=0,"",INDEX('Rooms Walls and Glass'!$D$46:$AB$50, MATCH($D38,'Rooms Walls and Glass'!$A$46:$A$50,0), MATCH('Unit 1 a'!O$7,'Rooms Walls and Glass'!$D$1:$AB$1,0))))</f>
        <v/>
      </c>
      <c r="P38" s="68" t="str">
        <f t="shared" si="100"/>
        <v>-</v>
      </c>
      <c r="Q38" s="66" t="str">
        <f>IF(Q$7="","",IF(INDEX('Rooms Walls and Glass'!$D$46:$AB$50, MATCH($D38,'Rooms Walls and Glass'!$A$46:$A$50,0), MATCH('Unit 1 a'!Q$7,'Rooms Walls and Glass'!$D$1:$AB$1,0))=0,"",INDEX('Rooms Walls and Glass'!$D$46:$AB$50, MATCH($D38,'Rooms Walls and Glass'!$A$46:$A$50,0), MATCH('Unit 1 a'!Q$7,'Rooms Walls and Glass'!$D$1:$AB$1,0))))</f>
        <v/>
      </c>
      <c r="R38" s="68" t="str">
        <f t="shared" si="101"/>
        <v>-</v>
      </c>
      <c r="S38" s="66" t="str">
        <f>IF(S$7="","",IF(INDEX('Rooms Walls and Glass'!$D$46:$AB$50, MATCH($D38,'Rooms Walls and Glass'!$A$46:$A$50,0), MATCH('Unit 1 a'!S$7,'Rooms Walls and Glass'!$D$1:$AB$1,0))=0,"",INDEX('Rooms Walls and Glass'!$D$46:$AB$50, MATCH($D38,'Rooms Walls and Glass'!$A$46:$A$50,0), MATCH('Unit 1 a'!S$7,'Rooms Walls and Glass'!$D$1:$AB$1,0))))</f>
        <v/>
      </c>
      <c r="T38" s="68" t="str">
        <f t="shared" si="16"/>
        <v>-</v>
      </c>
      <c r="U38" s="66" t="str">
        <f>IF(U$7="","",IF(INDEX('Rooms Walls and Glass'!$D$46:$AB$50, MATCH($D38,'Rooms Walls and Glass'!$A$46:$A$50,0), MATCH('Unit 1 a'!U$7,'Rooms Walls and Glass'!$D$1:$AB$1,0))=0,"",INDEX('Rooms Walls and Glass'!$D$46:$AB$50, MATCH($D38,'Rooms Walls and Glass'!$A$46:$A$50,0), MATCH('Unit 1 a'!U$7,'Rooms Walls and Glass'!$D$1:$AB$1,0))))</f>
        <v/>
      </c>
      <c r="V38" s="68" t="str">
        <f t="shared" si="102"/>
        <v>-</v>
      </c>
      <c r="W38" s="66" t="str">
        <f>IF(W$7="","",IF(INDEX('Rooms Walls and Glass'!$D$46:$AB$50, MATCH($D38,'Rooms Walls and Glass'!$A$46:$A$50,0), MATCH('Unit 1 a'!W$7,'Rooms Walls and Glass'!$D$1:$AB$1,0))=0,"",INDEX('Rooms Walls and Glass'!$D$46:$AB$50, MATCH($D38,'Rooms Walls and Glass'!$A$46:$A$50,0), MATCH('Unit 1 a'!W$7,'Rooms Walls and Glass'!$D$1:$AB$1,0))))</f>
        <v/>
      </c>
      <c r="X38" s="68" t="str">
        <f t="shared" si="103"/>
        <v>-</v>
      </c>
      <c r="Y38" s="66" t="str">
        <f>IF(Y$7="","",IF(INDEX('Rooms Walls and Glass'!$D$46:$AB$50, MATCH($D38,'Rooms Walls and Glass'!$A$46:$A$50,0), MATCH('Unit 1 a'!Y$7,'Rooms Walls and Glass'!$D$1:$AB$1,0))=0,"",INDEX('Rooms Walls and Glass'!$D$46:$AB$50, MATCH($D38,'Rooms Walls and Glass'!$A$46:$A$50,0), MATCH('Unit 1 a'!Y$7,'Rooms Walls and Glass'!$D$1:$AB$1,0))))</f>
        <v/>
      </c>
      <c r="Z38" s="68" t="str">
        <f t="shared" si="104"/>
        <v>-</v>
      </c>
      <c r="AA38" s="66" t="str">
        <f>IF(AA$7="","",IF(INDEX('Rooms Walls and Glass'!$D$46:$AB$50, MATCH($D38,'Rooms Walls and Glass'!$A$46:$A$50,0), MATCH('Unit 1 a'!AA$7,'Rooms Walls and Glass'!$D$1:$AB$1,0))=0,"",INDEX('Rooms Walls and Glass'!$D$46:$AB$50, MATCH($D38,'Rooms Walls and Glass'!$A$46:$A$50,0), MATCH('Unit 1 a'!AA$7,'Rooms Walls and Glass'!$D$1:$AB$1,0))))</f>
        <v/>
      </c>
      <c r="AB38" s="68" t="str">
        <f t="shared" si="105"/>
        <v>-</v>
      </c>
      <c r="AC38" s="66" t="str">
        <f>IF(AC$7="","",IF(INDEX('Rooms Walls and Glass'!$D$46:$AB$50, MATCH($D38,'Rooms Walls and Glass'!$A$46:$A$50,0), MATCH('Unit 1 a'!AC$7,'Rooms Walls and Glass'!$D$1:$AB$1,0))=0,"",INDEX('Rooms Walls and Glass'!$D$46:$AB$50, MATCH($D38,'Rooms Walls and Glass'!$A$46:$A$50,0), MATCH('Unit 1 a'!AC$7,'Rooms Walls and Glass'!$D$1:$AB$1,0))))</f>
        <v/>
      </c>
      <c r="AD38" s="68" t="str">
        <f t="shared" ref="AD38" si="146">IF(AC38="","-",AC38*$G38)</f>
        <v>-</v>
      </c>
      <c r="AE38" s="66" t="str">
        <f>IF(AE$7="","",IF(INDEX('Rooms Walls and Glass'!$D$46:$AB$50, MATCH($D38,'Rooms Walls and Glass'!$A$46:$A$50,0), MATCH('Unit 1 a'!AE$7,'Rooms Walls and Glass'!$D$1:$AB$1,0))=0,"",INDEX('Rooms Walls and Glass'!$D$46:$AB$50, MATCH($D38,'Rooms Walls and Glass'!$A$46:$A$50,0), MATCH('Unit 1 a'!AE$7,'Rooms Walls and Glass'!$D$1:$AB$1,0))))</f>
        <v/>
      </c>
      <c r="AF38" s="68" t="str">
        <f t="shared" ref="AF38" si="147">IF(AE38="","-",AE38*$G38)</f>
        <v>-</v>
      </c>
      <c r="AG38" s="66" t="str">
        <f>IF(AG$7="","",IF(INDEX('Rooms Walls and Glass'!$D$46:$AB$50, MATCH($D38,'Rooms Walls and Glass'!$A$46:$A$50,0), MATCH('Unit 1 a'!AG$7,'Rooms Walls and Glass'!$D$1:$AB$1,0))=0,"",INDEX('Rooms Walls and Glass'!$D$46:$AB$50, MATCH($D38,'Rooms Walls and Glass'!$A$46:$A$50,0), MATCH('Unit 1 a'!AG$7,'Rooms Walls and Glass'!$D$1:$AB$1,0))))</f>
        <v/>
      </c>
      <c r="AH38" s="68" t="str">
        <f t="shared" si="106"/>
        <v>-</v>
      </c>
      <c r="AI38" s="66" t="str">
        <f>IF(AI$7="","",IF(INDEX('Rooms Walls and Glass'!$D$46:$AB$50, MATCH($D38,'Rooms Walls and Glass'!$A$46:$A$50,0), MATCH('Unit 1 a'!AI$7,'Rooms Walls and Glass'!$D$1:$AB$1,0))=0,"",INDEX('Rooms Walls and Glass'!$D$46:$AB$50, MATCH($D38,'Rooms Walls and Glass'!$A$46:$A$50,0), MATCH('Unit 1 a'!AI$7,'Rooms Walls and Glass'!$D$1:$AB$1,0))))</f>
        <v/>
      </c>
      <c r="AJ38" s="69" t="str">
        <f t="shared" si="23"/>
        <v>-</v>
      </c>
      <c r="AK38" s="66" t="str">
        <f>IF(AK$7="","",IF(INDEX('Rooms Walls and Glass'!$D$46:$AB$50, MATCH($D38,'Rooms Walls and Glass'!$A$46:$A$50,0), MATCH('Unit 1 a'!AK$7,'Rooms Walls and Glass'!$D$1:$AB$1,0))=0,"",INDEX('Rooms Walls and Glass'!$D$46:$AB$50, MATCH($D38,'Rooms Walls and Glass'!$A$46:$A$50,0), MATCH('Unit 1 a'!AK$7,'Rooms Walls and Glass'!$D$1:$AB$1,0))))</f>
        <v/>
      </c>
      <c r="AL38" s="69" t="str">
        <f t="shared" si="24"/>
        <v>-</v>
      </c>
      <c r="AM38" s="66" t="str">
        <f>IF(AM$7="","",IF(INDEX('Rooms Walls and Glass'!$D$46:$AB$50, MATCH($D38,'Rooms Walls and Glass'!$A$46:$A$50,0), MATCH('Unit 1 a'!AM$7,'Rooms Walls and Glass'!$D$1:$AB$1,0))=0,"",INDEX('Rooms Walls and Glass'!$D$46:$AB$50, MATCH($D38,'Rooms Walls and Glass'!$A$46:$A$50,0), MATCH('Unit 1 a'!AM$7,'Rooms Walls and Glass'!$D$1:$AB$1,0))))</f>
        <v/>
      </c>
      <c r="AN38" s="68" t="str">
        <f t="shared" si="25"/>
        <v>-</v>
      </c>
      <c r="AO38" s="66" t="str">
        <f>IF(AO$7="","",IF(INDEX('Rooms Walls and Glass'!$D$46:$AB$50, MATCH($D38,'Rooms Walls and Glass'!$A$46:$A$50,0), MATCH('Unit 1 a'!AO$7,'Rooms Walls and Glass'!$D$1:$AB$1,0))=0,"",INDEX('Rooms Walls and Glass'!$D$46:$AB$50, MATCH($D38,'Rooms Walls and Glass'!$A$46:$A$50,0), MATCH('Unit 1 a'!AO$7,'Rooms Walls and Glass'!$D$1:$AB$1,0))))</f>
        <v/>
      </c>
      <c r="AP38" s="69" t="str">
        <f t="shared" si="26"/>
        <v>-</v>
      </c>
    </row>
    <row r="39" spans="2:42" ht="11.25" customHeight="1" thickBot="1" x14ac:dyDescent="0.2">
      <c r="B39" s="214"/>
      <c r="C39" s="15" t="s">
        <v>38</v>
      </c>
      <c r="D39" s="16" t="s">
        <v>36</v>
      </c>
      <c r="E39" s="16">
        <v>30</v>
      </c>
      <c r="F39" s="14">
        <f>INDEX(Summary!$F$19:$F$30,MATCH('Unit 1 a'!C39,Summary!$D$19:$D$30,0))</f>
        <v>7.6999999999999999E-2</v>
      </c>
      <c r="G39" s="14">
        <f t="shared" si="109"/>
        <v>2.31</v>
      </c>
      <c r="H39" s="19" t="s">
        <v>6</v>
      </c>
      <c r="I39" s="65">
        <f t="shared" si="10"/>
        <v>0</v>
      </c>
      <c r="J39" s="68">
        <f t="shared" si="97"/>
        <v>0</v>
      </c>
      <c r="K39" s="66" t="str">
        <f>IF(K$7="","",IF(INDEX('Rooms Walls and Glass'!$D$46:$AB$50, MATCH($D39,'Rooms Walls and Glass'!$A$46:$A$50,0), MATCH('Unit 1 a'!K$7,'Rooms Walls and Glass'!$D$1:$AB$1,0))=0,"",INDEX('Rooms Walls and Glass'!$D$46:$AB$50, MATCH($D39,'Rooms Walls and Glass'!$A$46:$A$50,0), MATCH('Unit 1 a'!K$7,'Rooms Walls and Glass'!$D$1:$AB$1,0))))</f>
        <v/>
      </c>
      <c r="L39" s="68" t="str">
        <f t="shared" si="98"/>
        <v>-</v>
      </c>
      <c r="M39" s="66" t="str">
        <f>IF(M$7="","",IF(INDEX('Rooms Walls and Glass'!$D$46:$AB$50, MATCH($D39,'Rooms Walls and Glass'!$A$46:$A$50,0), MATCH('Unit 1 a'!M$7,'Rooms Walls and Glass'!$D$1:$AB$1,0))=0,"",INDEX('Rooms Walls and Glass'!$D$46:$AB$50, MATCH($D39,'Rooms Walls and Glass'!$A$46:$A$50,0), MATCH('Unit 1 a'!M$7,'Rooms Walls and Glass'!$D$1:$AB$1,0))))</f>
        <v/>
      </c>
      <c r="N39" s="68" t="str">
        <f t="shared" si="99"/>
        <v>-</v>
      </c>
      <c r="O39" s="66" t="str">
        <f>IF(O$7="","",IF(INDEX('Rooms Walls and Glass'!$D$46:$AB$50, MATCH($D39,'Rooms Walls and Glass'!$A$46:$A$50,0), MATCH('Unit 1 a'!O$7,'Rooms Walls and Glass'!$D$1:$AB$1,0))=0,"",INDEX('Rooms Walls and Glass'!$D$46:$AB$50, MATCH($D39,'Rooms Walls and Glass'!$A$46:$A$50,0), MATCH('Unit 1 a'!O$7,'Rooms Walls and Glass'!$D$1:$AB$1,0))))</f>
        <v/>
      </c>
      <c r="P39" s="68" t="str">
        <f t="shared" si="100"/>
        <v>-</v>
      </c>
      <c r="Q39" s="66" t="str">
        <f>IF(Q$7="","",IF(INDEX('Rooms Walls and Glass'!$D$46:$AB$50, MATCH($D39,'Rooms Walls and Glass'!$A$46:$A$50,0), MATCH('Unit 1 a'!Q$7,'Rooms Walls and Glass'!$D$1:$AB$1,0))=0,"",INDEX('Rooms Walls and Glass'!$D$46:$AB$50, MATCH($D39,'Rooms Walls and Glass'!$A$46:$A$50,0), MATCH('Unit 1 a'!Q$7,'Rooms Walls and Glass'!$D$1:$AB$1,0))))</f>
        <v/>
      </c>
      <c r="R39" s="68" t="str">
        <f t="shared" si="101"/>
        <v>-</v>
      </c>
      <c r="S39" s="66" t="str">
        <f>IF(S$7="","",IF(INDEX('Rooms Walls and Glass'!$D$46:$AB$50, MATCH($D39,'Rooms Walls and Glass'!$A$46:$A$50,0), MATCH('Unit 1 a'!S$7,'Rooms Walls and Glass'!$D$1:$AB$1,0))=0,"",INDEX('Rooms Walls and Glass'!$D$46:$AB$50, MATCH($D39,'Rooms Walls and Glass'!$A$46:$A$50,0), MATCH('Unit 1 a'!S$7,'Rooms Walls and Glass'!$D$1:$AB$1,0))))</f>
        <v/>
      </c>
      <c r="T39" s="68" t="str">
        <f t="shared" si="16"/>
        <v>-</v>
      </c>
      <c r="U39" s="66" t="str">
        <f>IF(U$7="","",IF(INDEX('Rooms Walls and Glass'!$D$46:$AB$50, MATCH($D39,'Rooms Walls and Glass'!$A$46:$A$50,0), MATCH('Unit 1 a'!U$7,'Rooms Walls and Glass'!$D$1:$AB$1,0))=0,"",INDEX('Rooms Walls and Glass'!$D$46:$AB$50, MATCH($D39,'Rooms Walls and Glass'!$A$46:$A$50,0), MATCH('Unit 1 a'!U$7,'Rooms Walls and Glass'!$D$1:$AB$1,0))))</f>
        <v/>
      </c>
      <c r="V39" s="68" t="str">
        <f t="shared" si="102"/>
        <v>-</v>
      </c>
      <c r="W39" s="66" t="str">
        <f>IF(W$7="","",IF(INDEX('Rooms Walls and Glass'!$D$46:$AB$50, MATCH($D39,'Rooms Walls and Glass'!$A$46:$A$50,0), MATCH('Unit 1 a'!W$7,'Rooms Walls and Glass'!$D$1:$AB$1,0))=0,"",INDEX('Rooms Walls and Glass'!$D$46:$AB$50, MATCH($D39,'Rooms Walls and Glass'!$A$46:$A$50,0), MATCH('Unit 1 a'!W$7,'Rooms Walls and Glass'!$D$1:$AB$1,0))))</f>
        <v/>
      </c>
      <c r="X39" s="68" t="str">
        <f t="shared" si="103"/>
        <v>-</v>
      </c>
      <c r="Y39" s="66" t="str">
        <f>IF(Y$7="","",IF(INDEX('Rooms Walls and Glass'!$D$46:$AB$50, MATCH($D39,'Rooms Walls and Glass'!$A$46:$A$50,0), MATCH('Unit 1 a'!Y$7,'Rooms Walls and Glass'!$D$1:$AB$1,0))=0,"",INDEX('Rooms Walls and Glass'!$D$46:$AB$50, MATCH($D39,'Rooms Walls and Glass'!$A$46:$A$50,0), MATCH('Unit 1 a'!Y$7,'Rooms Walls and Glass'!$D$1:$AB$1,0))))</f>
        <v/>
      </c>
      <c r="Z39" s="68" t="str">
        <f t="shared" si="104"/>
        <v>-</v>
      </c>
      <c r="AA39" s="66" t="str">
        <f>IF(AA$7="","",IF(INDEX('Rooms Walls and Glass'!$D$46:$AB$50, MATCH($D39,'Rooms Walls and Glass'!$A$46:$A$50,0), MATCH('Unit 1 a'!AA$7,'Rooms Walls and Glass'!$D$1:$AB$1,0))=0,"",INDEX('Rooms Walls and Glass'!$D$46:$AB$50, MATCH($D39,'Rooms Walls and Glass'!$A$46:$A$50,0), MATCH('Unit 1 a'!AA$7,'Rooms Walls and Glass'!$D$1:$AB$1,0))))</f>
        <v/>
      </c>
      <c r="AB39" s="68" t="str">
        <f t="shared" si="105"/>
        <v>-</v>
      </c>
      <c r="AC39" s="66" t="str">
        <f>IF(AC$7="","",IF(INDEX('Rooms Walls and Glass'!$D$46:$AB$50, MATCH($D39,'Rooms Walls and Glass'!$A$46:$A$50,0), MATCH('Unit 1 a'!AC$7,'Rooms Walls and Glass'!$D$1:$AB$1,0))=0,"",INDEX('Rooms Walls and Glass'!$D$46:$AB$50, MATCH($D39,'Rooms Walls and Glass'!$A$46:$A$50,0), MATCH('Unit 1 a'!AC$7,'Rooms Walls and Glass'!$D$1:$AB$1,0))))</f>
        <v/>
      </c>
      <c r="AD39" s="68" t="str">
        <f t="shared" ref="AD39" si="148">IF(AC39="","-",AC39*$G39)</f>
        <v>-</v>
      </c>
      <c r="AE39" s="66" t="str">
        <f>IF(AE$7="","",IF(INDEX('Rooms Walls and Glass'!$D$46:$AB$50, MATCH($D39,'Rooms Walls and Glass'!$A$46:$A$50,0), MATCH('Unit 1 a'!AE$7,'Rooms Walls and Glass'!$D$1:$AB$1,0))=0,"",INDEX('Rooms Walls and Glass'!$D$46:$AB$50, MATCH($D39,'Rooms Walls and Glass'!$A$46:$A$50,0), MATCH('Unit 1 a'!AE$7,'Rooms Walls and Glass'!$D$1:$AB$1,0))))</f>
        <v/>
      </c>
      <c r="AF39" s="68" t="str">
        <f t="shared" ref="AF39" si="149">IF(AE39="","-",AE39*$G39)</f>
        <v>-</v>
      </c>
      <c r="AG39" s="66" t="str">
        <f>IF(AG$7="","",IF(INDEX('Rooms Walls and Glass'!$D$46:$AB$50, MATCH($D39,'Rooms Walls and Glass'!$A$46:$A$50,0), MATCH('Unit 1 a'!AG$7,'Rooms Walls and Glass'!$D$1:$AB$1,0))=0,"",INDEX('Rooms Walls and Glass'!$D$46:$AB$50, MATCH($D39,'Rooms Walls and Glass'!$A$46:$A$50,0), MATCH('Unit 1 a'!AG$7,'Rooms Walls and Glass'!$D$1:$AB$1,0))))</f>
        <v/>
      </c>
      <c r="AH39" s="68" t="str">
        <f t="shared" si="106"/>
        <v>-</v>
      </c>
      <c r="AI39" s="66" t="str">
        <f>IF(AI$7="","",IF(INDEX('Rooms Walls and Glass'!$D$46:$AB$50, MATCH($D39,'Rooms Walls and Glass'!$A$46:$A$50,0), MATCH('Unit 1 a'!AI$7,'Rooms Walls and Glass'!$D$1:$AB$1,0))=0,"",INDEX('Rooms Walls and Glass'!$D$46:$AB$50, MATCH($D39,'Rooms Walls and Glass'!$A$46:$A$50,0), MATCH('Unit 1 a'!AI$7,'Rooms Walls and Glass'!$D$1:$AB$1,0))))</f>
        <v/>
      </c>
      <c r="AJ39" s="69" t="str">
        <f t="shared" si="23"/>
        <v>-</v>
      </c>
      <c r="AK39" s="66" t="str">
        <f>IF(AK$7="","",IF(INDEX('Rooms Walls and Glass'!$D$46:$AB$50, MATCH($D39,'Rooms Walls and Glass'!$A$46:$A$50,0), MATCH('Unit 1 a'!AK$7,'Rooms Walls and Glass'!$D$1:$AB$1,0))=0,"",INDEX('Rooms Walls and Glass'!$D$46:$AB$50, MATCH($D39,'Rooms Walls and Glass'!$A$46:$A$50,0), MATCH('Unit 1 a'!AK$7,'Rooms Walls and Glass'!$D$1:$AB$1,0))))</f>
        <v/>
      </c>
      <c r="AL39" s="69" t="str">
        <f t="shared" si="24"/>
        <v>-</v>
      </c>
      <c r="AM39" s="66" t="str">
        <f>IF(AM$7="","",IF(INDEX('Rooms Walls and Glass'!$D$46:$AB$50, MATCH($D39,'Rooms Walls and Glass'!$A$46:$A$50,0), MATCH('Unit 1 a'!AM$7,'Rooms Walls and Glass'!$D$1:$AB$1,0))=0,"",INDEX('Rooms Walls and Glass'!$D$46:$AB$50, MATCH($D39,'Rooms Walls and Glass'!$A$46:$A$50,0), MATCH('Unit 1 a'!AM$7,'Rooms Walls and Glass'!$D$1:$AB$1,0))))</f>
        <v/>
      </c>
      <c r="AN39" s="68" t="str">
        <f t="shared" si="25"/>
        <v>-</v>
      </c>
      <c r="AO39" s="66" t="str">
        <f>IF(AO$7="","",IF(INDEX('Rooms Walls and Glass'!$D$46:$AB$50, MATCH($D39,'Rooms Walls and Glass'!$A$46:$A$50,0), MATCH('Unit 1 a'!AO$7,'Rooms Walls and Glass'!$D$1:$AB$1,0))=0,"",INDEX('Rooms Walls and Glass'!$D$46:$AB$50, MATCH($D39,'Rooms Walls and Glass'!$A$46:$A$50,0), MATCH('Unit 1 a'!AO$7,'Rooms Walls and Glass'!$D$1:$AB$1,0))))</f>
        <v/>
      </c>
      <c r="AP39" s="69" t="str">
        <f t="shared" si="26"/>
        <v>-</v>
      </c>
    </row>
    <row r="40" spans="2:42" ht="11.25" customHeight="1" thickBot="1" x14ac:dyDescent="0.2">
      <c r="B40" s="214"/>
      <c r="C40" s="15" t="s">
        <v>40</v>
      </c>
      <c r="D40" s="16" t="s">
        <v>47</v>
      </c>
      <c r="E40" s="16">
        <f>IF(Summary!P26="R-21 Spray Foam",15,55)</f>
        <v>55</v>
      </c>
      <c r="F40" s="14">
        <f>INDEX(Summary!$F$19:$F$30,MATCH('Unit 1 a'!C40,Summary!$D$19:$D$30,0))</f>
        <v>5.2999999999999999E-2</v>
      </c>
      <c r="G40" s="14">
        <f t="shared" si="109"/>
        <v>2.915</v>
      </c>
      <c r="H40" s="16" t="s">
        <v>6</v>
      </c>
      <c r="I40" s="65">
        <f t="shared" si="10"/>
        <v>0</v>
      </c>
      <c r="J40" s="68">
        <f t="shared" si="97"/>
        <v>0</v>
      </c>
      <c r="K40" s="66" t="str">
        <f>IF(K$7="","",IF(INDEX('Rooms Walls and Glass'!$D$46:$AB$50, MATCH($D40,'Rooms Walls and Glass'!$A$46:$A$50,0), MATCH('Unit 1 a'!K$7,'Rooms Walls and Glass'!$D$1:$AB$1,0))=0,"",INDEX('Rooms Walls and Glass'!$D$46:$AB$50, MATCH($D40,'Rooms Walls and Glass'!$A$46:$A$50,0), MATCH('Unit 1 a'!K$7,'Rooms Walls and Glass'!$D$1:$AB$1,0))))</f>
        <v/>
      </c>
      <c r="L40" s="68" t="str">
        <f t="shared" si="98"/>
        <v>-</v>
      </c>
      <c r="M40" s="66" t="str">
        <f>IF(M$7="","",IF(INDEX('Rooms Walls and Glass'!$D$46:$AB$50, MATCH($D40,'Rooms Walls and Glass'!$A$46:$A$50,0), MATCH('Unit 1 a'!M$7,'Rooms Walls and Glass'!$D$1:$AB$1,0))=0,"",INDEX('Rooms Walls and Glass'!$D$46:$AB$50, MATCH($D40,'Rooms Walls and Glass'!$A$46:$A$50,0), MATCH('Unit 1 a'!M$7,'Rooms Walls and Glass'!$D$1:$AB$1,0))))</f>
        <v/>
      </c>
      <c r="N40" s="68" t="str">
        <f t="shared" si="99"/>
        <v>-</v>
      </c>
      <c r="O40" s="66" t="str">
        <f>IF(O$7="","",IF(INDEX('Rooms Walls and Glass'!$D$46:$AB$50, MATCH($D40,'Rooms Walls and Glass'!$A$46:$A$50,0), MATCH('Unit 1 a'!O$7,'Rooms Walls and Glass'!$D$1:$AB$1,0))=0,"",INDEX('Rooms Walls and Glass'!$D$46:$AB$50, MATCH($D40,'Rooms Walls and Glass'!$A$46:$A$50,0), MATCH('Unit 1 a'!O$7,'Rooms Walls and Glass'!$D$1:$AB$1,0))))</f>
        <v/>
      </c>
      <c r="P40" s="68" t="str">
        <f t="shared" si="100"/>
        <v>-</v>
      </c>
      <c r="Q40" s="66" t="str">
        <f>IF(Q$7="","",IF(INDEX('Rooms Walls and Glass'!$D$46:$AB$50, MATCH($D40,'Rooms Walls and Glass'!$A$46:$A$50,0), MATCH('Unit 1 a'!Q$7,'Rooms Walls and Glass'!$D$1:$AB$1,0))=0,"",INDEX('Rooms Walls and Glass'!$D$46:$AB$50, MATCH($D40,'Rooms Walls and Glass'!$A$46:$A$50,0), MATCH('Unit 1 a'!Q$7,'Rooms Walls and Glass'!$D$1:$AB$1,0))))</f>
        <v/>
      </c>
      <c r="R40" s="68" t="str">
        <f t="shared" si="101"/>
        <v>-</v>
      </c>
      <c r="S40" s="66" t="str">
        <f>IF(S$7="","",IF(INDEX('Rooms Walls and Glass'!$D$46:$AB$50, MATCH($D40,'Rooms Walls and Glass'!$A$46:$A$50,0), MATCH('Unit 1 a'!S$7,'Rooms Walls and Glass'!$D$1:$AB$1,0))=0,"",INDEX('Rooms Walls and Glass'!$D$46:$AB$50, MATCH($D40,'Rooms Walls and Glass'!$A$46:$A$50,0), MATCH('Unit 1 a'!S$7,'Rooms Walls and Glass'!$D$1:$AB$1,0))))</f>
        <v/>
      </c>
      <c r="T40" s="68" t="str">
        <f t="shared" si="16"/>
        <v>-</v>
      </c>
      <c r="U40" s="66" t="str">
        <f>IF(U$7="","",IF(INDEX('Rooms Walls and Glass'!$D$46:$AB$50, MATCH($D40,'Rooms Walls and Glass'!$A$46:$A$50,0), MATCH('Unit 1 a'!U$7,'Rooms Walls and Glass'!$D$1:$AB$1,0))=0,"",INDEX('Rooms Walls and Glass'!$D$46:$AB$50, MATCH($D40,'Rooms Walls and Glass'!$A$46:$A$50,0), MATCH('Unit 1 a'!U$7,'Rooms Walls and Glass'!$D$1:$AB$1,0))))</f>
        <v/>
      </c>
      <c r="V40" s="68" t="str">
        <f t="shared" si="102"/>
        <v>-</v>
      </c>
      <c r="W40" s="66" t="str">
        <f>IF(W$7="","",IF(INDEX('Rooms Walls and Glass'!$D$46:$AB$50, MATCH($D40,'Rooms Walls and Glass'!$A$46:$A$50,0), MATCH('Unit 1 a'!W$7,'Rooms Walls and Glass'!$D$1:$AB$1,0))=0,"",INDEX('Rooms Walls and Glass'!$D$46:$AB$50, MATCH($D40,'Rooms Walls and Glass'!$A$46:$A$50,0), MATCH('Unit 1 a'!W$7,'Rooms Walls and Glass'!$D$1:$AB$1,0))))</f>
        <v/>
      </c>
      <c r="X40" s="68" t="str">
        <f t="shared" si="103"/>
        <v>-</v>
      </c>
      <c r="Y40" s="66" t="str">
        <f>IF(Y$7="","",IF(INDEX('Rooms Walls and Glass'!$D$46:$AB$50, MATCH($D40,'Rooms Walls and Glass'!$A$46:$A$50,0), MATCH('Unit 1 a'!Y$7,'Rooms Walls and Glass'!$D$1:$AB$1,0))=0,"",INDEX('Rooms Walls and Glass'!$D$46:$AB$50, MATCH($D40,'Rooms Walls and Glass'!$A$46:$A$50,0), MATCH('Unit 1 a'!Y$7,'Rooms Walls and Glass'!$D$1:$AB$1,0))))</f>
        <v/>
      </c>
      <c r="Z40" s="68" t="str">
        <f t="shared" si="104"/>
        <v>-</v>
      </c>
      <c r="AA40" s="66" t="str">
        <f>IF(AA$7="","",IF(INDEX('Rooms Walls and Glass'!$D$46:$AB$50, MATCH($D40,'Rooms Walls and Glass'!$A$46:$A$50,0), MATCH('Unit 1 a'!AA$7,'Rooms Walls and Glass'!$D$1:$AB$1,0))=0,"",INDEX('Rooms Walls and Glass'!$D$46:$AB$50, MATCH($D40,'Rooms Walls and Glass'!$A$46:$A$50,0), MATCH('Unit 1 a'!AA$7,'Rooms Walls and Glass'!$D$1:$AB$1,0))))</f>
        <v/>
      </c>
      <c r="AB40" s="68" t="str">
        <f t="shared" si="105"/>
        <v>-</v>
      </c>
      <c r="AC40" s="66" t="str">
        <f>IF(AC$7="","",IF(INDEX('Rooms Walls and Glass'!$D$46:$AB$50, MATCH($D40,'Rooms Walls and Glass'!$A$46:$A$50,0), MATCH('Unit 1 a'!AC$7,'Rooms Walls and Glass'!$D$1:$AB$1,0))=0,"",INDEX('Rooms Walls and Glass'!$D$46:$AB$50, MATCH($D40,'Rooms Walls and Glass'!$A$46:$A$50,0), MATCH('Unit 1 a'!AC$7,'Rooms Walls and Glass'!$D$1:$AB$1,0))))</f>
        <v/>
      </c>
      <c r="AD40" s="68" t="str">
        <f t="shared" ref="AD40" si="150">IF(AC40="","-",AC40*$G40)</f>
        <v>-</v>
      </c>
      <c r="AE40" s="66" t="str">
        <f>IF(AE$7="","",IF(INDEX('Rooms Walls and Glass'!$D$46:$AB$50, MATCH($D40,'Rooms Walls and Glass'!$A$46:$A$50,0), MATCH('Unit 1 a'!AE$7,'Rooms Walls and Glass'!$D$1:$AB$1,0))=0,"",INDEX('Rooms Walls and Glass'!$D$46:$AB$50, MATCH($D40,'Rooms Walls and Glass'!$A$46:$A$50,0), MATCH('Unit 1 a'!AE$7,'Rooms Walls and Glass'!$D$1:$AB$1,0))))</f>
        <v/>
      </c>
      <c r="AF40" s="68" t="str">
        <f t="shared" ref="AF40" si="151">IF(AE40="","-",AE40*$G40)</f>
        <v>-</v>
      </c>
      <c r="AG40" s="66" t="str">
        <f>IF(AG$7="","",IF(INDEX('Rooms Walls and Glass'!$D$46:$AB$50, MATCH($D40,'Rooms Walls and Glass'!$A$46:$A$50,0), MATCH('Unit 1 a'!AG$7,'Rooms Walls and Glass'!$D$1:$AB$1,0))=0,"",INDEX('Rooms Walls and Glass'!$D$46:$AB$50, MATCH($D40,'Rooms Walls and Glass'!$A$46:$A$50,0), MATCH('Unit 1 a'!AG$7,'Rooms Walls and Glass'!$D$1:$AB$1,0))))</f>
        <v/>
      </c>
      <c r="AH40" s="68" t="str">
        <f t="shared" si="106"/>
        <v>-</v>
      </c>
      <c r="AI40" s="66" t="str">
        <f>IF(AI$7="","",IF(INDEX('Rooms Walls and Glass'!$D$46:$AB$50, MATCH($D40,'Rooms Walls and Glass'!$A$46:$A$50,0), MATCH('Unit 1 a'!AI$7,'Rooms Walls and Glass'!$D$1:$AB$1,0))=0,"",INDEX('Rooms Walls and Glass'!$D$46:$AB$50, MATCH($D40,'Rooms Walls and Glass'!$A$46:$A$50,0), MATCH('Unit 1 a'!AI$7,'Rooms Walls and Glass'!$D$1:$AB$1,0))))</f>
        <v/>
      </c>
      <c r="AJ40" s="69" t="str">
        <f t="shared" si="23"/>
        <v>-</v>
      </c>
      <c r="AK40" s="66" t="str">
        <f>IF(AK$7="","",IF(INDEX('Rooms Walls and Glass'!$D$46:$AB$50, MATCH($D40,'Rooms Walls and Glass'!$A$46:$A$50,0), MATCH('Unit 1 a'!AK$7,'Rooms Walls and Glass'!$D$1:$AB$1,0))=0,"",INDEX('Rooms Walls and Glass'!$D$46:$AB$50, MATCH($D40,'Rooms Walls and Glass'!$A$46:$A$50,0), MATCH('Unit 1 a'!AK$7,'Rooms Walls and Glass'!$D$1:$AB$1,0))))</f>
        <v/>
      </c>
      <c r="AL40" s="69" t="str">
        <f t="shared" si="24"/>
        <v>-</v>
      </c>
      <c r="AM40" s="66" t="str">
        <f>IF(AM$7="","",IF(INDEX('Rooms Walls and Glass'!$D$46:$AB$50, MATCH($D40,'Rooms Walls and Glass'!$A$46:$A$50,0), MATCH('Unit 1 a'!AM$7,'Rooms Walls and Glass'!$D$1:$AB$1,0))=0,"",INDEX('Rooms Walls and Glass'!$D$46:$AB$50, MATCH($D40,'Rooms Walls and Glass'!$A$46:$A$50,0), MATCH('Unit 1 a'!AM$7,'Rooms Walls and Glass'!$D$1:$AB$1,0))))</f>
        <v/>
      </c>
      <c r="AN40" s="68" t="str">
        <f t="shared" si="25"/>
        <v>-</v>
      </c>
      <c r="AO40" s="66" t="str">
        <f>IF(AO$7="","",IF(INDEX('Rooms Walls and Glass'!$D$46:$AB$50, MATCH($D40,'Rooms Walls and Glass'!$A$46:$A$50,0), MATCH('Unit 1 a'!AO$7,'Rooms Walls and Glass'!$D$1:$AB$1,0))=0,"",INDEX('Rooms Walls and Glass'!$D$46:$AB$50, MATCH($D40,'Rooms Walls and Glass'!$A$46:$A$50,0), MATCH('Unit 1 a'!AO$7,'Rooms Walls and Glass'!$D$1:$AB$1,0))))</f>
        <v/>
      </c>
      <c r="AP40" s="69" t="str">
        <f t="shared" si="26"/>
        <v>-</v>
      </c>
    </row>
    <row r="41" spans="2:42" ht="11.25" customHeight="1" thickBot="1" x14ac:dyDescent="0.2">
      <c r="B41" s="213"/>
      <c r="C41" s="17" t="s">
        <v>40</v>
      </c>
      <c r="D41" s="18" t="s">
        <v>48</v>
      </c>
      <c r="E41" s="16">
        <f>IF(Summary!P27="R-21 Spray Foam",15,55)</f>
        <v>55</v>
      </c>
      <c r="F41" s="14">
        <f>INDEX(Summary!$F$19:$F$30,MATCH('Unit 1 a'!C41,Summary!$D$19:$D$30,0))</f>
        <v>5.2999999999999999E-2</v>
      </c>
      <c r="G41" s="14">
        <f t="shared" si="109"/>
        <v>2.915</v>
      </c>
      <c r="H41" s="18" t="s">
        <v>6</v>
      </c>
      <c r="I41" s="65">
        <f t="shared" si="10"/>
        <v>0</v>
      </c>
      <c r="J41" s="70">
        <f t="shared" si="97"/>
        <v>0</v>
      </c>
      <c r="K41" s="66" t="str">
        <f>IF(K$7="","",IF(INDEX('Rooms Walls and Glass'!$D$46:$AB$50, MATCH($D41,'Rooms Walls and Glass'!$A$46:$A$50,0), MATCH('Unit 1 a'!K$7,'Rooms Walls and Glass'!$D$1:$AB$1,0))=0,"",INDEX('Rooms Walls and Glass'!$D$46:$AB$50, MATCH($D41,'Rooms Walls and Glass'!$A$46:$A$50,0), MATCH('Unit 1 a'!K$7,'Rooms Walls and Glass'!$D$1:$AB$1,0))))</f>
        <v/>
      </c>
      <c r="L41" s="70" t="str">
        <f t="shared" si="98"/>
        <v>-</v>
      </c>
      <c r="M41" s="66" t="str">
        <f>IF(M$7="","",IF(INDEX('Rooms Walls and Glass'!$D$46:$AB$50, MATCH($D41,'Rooms Walls and Glass'!$A$46:$A$50,0), MATCH('Unit 1 a'!M$7,'Rooms Walls and Glass'!$D$1:$AB$1,0))=0,"",INDEX('Rooms Walls and Glass'!$D$46:$AB$50, MATCH($D41,'Rooms Walls and Glass'!$A$46:$A$50,0), MATCH('Unit 1 a'!M$7,'Rooms Walls and Glass'!$D$1:$AB$1,0))))</f>
        <v/>
      </c>
      <c r="N41" s="70" t="str">
        <f t="shared" si="99"/>
        <v>-</v>
      </c>
      <c r="O41" s="66" t="str">
        <f>IF(O$7="","",IF(INDEX('Rooms Walls and Glass'!$D$46:$AB$50, MATCH($D41,'Rooms Walls and Glass'!$A$46:$A$50,0), MATCH('Unit 1 a'!O$7,'Rooms Walls and Glass'!$D$1:$AB$1,0))=0,"",INDEX('Rooms Walls and Glass'!$D$46:$AB$50, MATCH($D41,'Rooms Walls and Glass'!$A$46:$A$50,0), MATCH('Unit 1 a'!O$7,'Rooms Walls and Glass'!$D$1:$AB$1,0))))</f>
        <v/>
      </c>
      <c r="P41" s="70" t="str">
        <f t="shared" si="100"/>
        <v>-</v>
      </c>
      <c r="Q41" s="66" t="str">
        <f>IF(Q$7="","",IF(INDEX('Rooms Walls and Glass'!$D$46:$AB$50, MATCH($D41,'Rooms Walls and Glass'!$A$46:$A$50,0), MATCH('Unit 1 a'!Q$7,'Rooms Walls and Glass'!$D$1:$AB$1,0))=0,"",INDEX('Rooms Walls and Glass'!$D$46:$AB$50, MATCH($D41,'Rooms Walls and Glass'!$A$46:$A$50,0), MATCH('Unit 1 a'!Q$7,'Rooms Walls and Glass'!$D$1:$AB$1,0))))</f>
        <v/>
      </c>
      <c r="R41" s="70" t="str">
        <f t="shared" si="101"/>
        <v>-</v>
      </c>
      <c r="S41" s="66" t="str">
        <f>IF(S$7="","",IF(INDEX('Rooms Walls and Glass'!$D$46:$AB$50, MATCH($D41,'Rooms Walls and Glass'!$A$46:$A$50,0), MATCH('Unit 1 a'!S$7,'Rooms Walls and Glass'!$D$1:$AB$1,0))=0,"",INDEX('Rooms Walls and Glass'!$D$46:$AB$50, MATCH($D41,'Rooms Walls and Glass'!$A$46:$A$50,0), MATCH('Unit 1 a'!S$7,'Rooms Walls and Glass'!$D$1:$AB$1,0))))</f>
        <v/>
      </c>
      <c r="T41" s="70" t="str">
        <f t="shared" si="16"/>
        <v>-</v>
      </c>
      <c r="U41" s="66" t="str">
        <f>IF(U$7="","",IF(INDEX('Rooms Walls and Glass'!$D$46:$AB$50, MATCH($D41,'Rooms Walls and Glass'!$A$46:$A$50,0), MATCH('Unit 1 a'!U$7,'Rooms Walls and Glass'!$D$1:$AB$1,0))=0,"",INDEX('Rooms Walls and Glass'!$D$46:$AB$50, MATCH($D41,'Rooms Walls and Glass'!$A$46:$A$50,0), MATCH('Unit 1 a'!U$7,'Rooms Walls and Glass'!$D$1:$AB$1,0))))</f>
        <v/>
      </c>
      <c r="V41" s="70" t="str">
        <f t="shared" si="102"/>
        <v>-</v>
      </c>
      <c r="W41" s="66" t="str">
        <f>IF(W$7="","",IF(INDEX('Rooms Walls and Glass'!$D$46:$AB$50, MATCH($D41,'Rooms Walls and Glass'!$A$46:$A$50,0), MATCH('Unit 1 a'!W$7,'Rooms Walls and Glass'!$D$1:$AB$1,0))=0,"",INDEX('Rooms Walls and Glass'!$D$46:$AB$50, MATCH($D41,'Rooms Walls and Glass'!$A$46:$A$50,0), MATCH('Unit 1 a'!W$7,'Rooms Walls and Glass'!$D$1:$AB$1,0))))</f>
        <v/>
      </c>
      <c r="X41" s="70" t="str">
        <f t="shared" si="103"/>
        <v>-</v>
      </c>
      <c r="Y41" s="66" t="str">
        <f>IF(Y$7="","",IF(INDEX('Rooms Walls and Glass'!$D$46:$AB$50, MATCH($D41,'Rooms Walls and Glass'!$A$46:$A$50,0), MATCH('Unit 1 a'!Y$7,'Rooms Walls and Glass'!$D$1:$AB$1,0))=0,"",INDEX('Rooms Walls and Glass'!$D$46:$AB$50, MATCH($D41,'Rooms Walls and Glass'!$A$46:$A$50,0), MATCH('Unit 1 a'!Y$7,'Rooms Walls and Glass'!$D$1:$AB$1,0))))</f>
        <v/>
      </c>
      <c r="Z41" s="70" t="str">
        <f t="shared" si="104"/>
        <v>-</v>
      </c>
      <c r="AA41" s="66" t="str">
        <f>IF(AA$7="","",IF(INDEX('Rooms Walls and Glass'!$D$46:$AB$50, MATCH($D41,'Rooms Walls and Glass'!$A$46:$A$50,0), MATCH('Unit 1 a'!AA$7,'Rooms Walls and Glass'!$D$1:$AB$1,0))=0,"",INDEX('Rooms Walls and Glass'!$D$46:$AB$50, MATCH($D41,'Rooms Walls and Glass'!$A$46:$A$50,0), MATCH('Unit 1 a'!AA$7,'Rooms Walls and Glass'!$D$1:$AB$1,0))))</f>
        <v/>
      </c>
      <c r="AB41" s="70" t="str">
        <f t="shared" si="105"/>
        <v>-</v>
      </c>
      <c r="AC41" s="66" t="str">
        <f>IF(AC$7="","",IF(INDEX('Rooms Walls and Glass'!$D$46:$AB$50, MATCH($D41,'Rooms Walls and Glass'!$A$46:$A$50,0), MATCH('Unit 1 a'!AC$7,'Rooms Walls and Glass'!$D$1:$AB$1,0))=0,"",INDEX('Rooms Walls and Glass'!$D$46:$AB$50, MATCH($D41,'Rooms Walls and Glass'!$A$46:$A$50,0), MATCH('Unit 1 a'!AC$7,'Rooms Walls and Glass'!$D$1:$AB$1,0))))</f>
        <v/>
      </c>
      <c r="AD41" s="70" t="str">
        <f t="shared" ref="AD41" si="152">IF(AC41="","-",AC41*$G41)</f>
        <v>-</v>
      </c>
      <c r="AE41" s="66" t="str">
        <f>IF(AE$7="","",IF(INDEX('Rooms Walls and Glass'!$D$46:$AB$50, MATCH($D41,'Rooms Walls and Glass'!$A$46:$A$50,0), MATCH('Unit 1 a'!AE$7,'Rooms Walls and Glass'!$D$1:$AB$1,0))=0,"",INDEX('Rooms Walls and Glass'!$D$46:$AB$50, MATCH($D41,'Rooms Walls and Glass'!$A$46:$A$50,0), MATCH('Unit 1 a'!AE$7,'Rooms Walls and Glass'!$D$1:$AB$1,0))))</f>
        <v/>
      </c>
      <c r="AF41" s="70" t="str">
        <f t="shared" ref="AF41" si="153">IF(AE41="","-",AE41*$G41)</f>
        <v>-</v>
      </c>
      <c r="AG41" s="66" t="str">
        <f>IF(AG$7="","",IF(INDEX('Rooms Walls and Glass'!$D$46:$AB$50, MATCH($D41,'Rooms Walls and Glass'!$A$46:$A$50,0), MATCH('Unit 1 a'!AG$7,'Rooms Walls and Glass'!$D$1:$AB$1,0))=0,"",INDEX('Rooms Walls and Glass'!$D$46:$AB$50, MATCH($D41,'Rooms Walls and Glass'!$A$46:$A$50,0), MATCH('Unit 1 a'!AG$7,'Rooms Walls and Glass'!$D$1:$AB$1,0))))</f>
        <v/>
      </c>
      <c r="AH41" s="70" t="str">
        <f t="shared" si="106"/>
        <v>-</v>
      </c>
      <c r="AI41" s="66" t="str">
        <f>IF(AI$7="","",IF(INDEX('Rooms Walls and Glass'!$D$46:$AB$50, MATCH($D41,'Rooms Walls and Glass'!$A$46:$A$50,0), MATCH('Unit 1 a'!AI$7,'Rooms Walls and Glass'!$D$1:$AB$1,0))=0,"",INDEX('Rooms Walls and Glass'!$D$46:$AB$50, MATCH($D41,'Rooms Walls and Glass'!$A$46:$A$50,0), MATCH('Unit 1 a'!AI$7,'Rooms Walls and Glass'!$D$1:$AB$1,0))))</f>
        <v/>
      </c>
      <c r="AJ41" s="71" t="str">
        <f t="shared" si="23"/>
        <v>-</v>
      </c>
      <c r="AK41" s="66" t="str">
        <f>IF(AK$7="","",IF(INDEX('Rooms Walls and Glass'!$D$46:$AB$50, MATCH($D41,'Rooms Walls and Glass'!$A$46:$A$50,0), MATCH('Unit 1 a'!AK$7,'Rooms Walls and Glass'!$D$1:$AB$1,0))=0,"",INDEX('Rooms Walls and Glass'!$D$46:$AB$50, MATCH($D41,'Rooms Walls and Glass'!$A$46:$A$50,0), MATCH('Unit 1 a'!AK$7,'Rooms Walls and Glass'!$D$1:$AB$1,0))))</f>
        <v/>
      </c>
      <c r="AL41" s="71" t="str">
        <f t="shared" si="24"/>
        <v>-</v>
      </c>
      <c r="AM41" s="66" t="str">
        <f>IF(AM$7="","",IF(INDEX('Rooms Walls and Glass'!$D$46:$AB$50, MATCH($D41,'Rooms Walls and Glass'!$A$46:$A$50,0), MATCH('Unit 1 a'!AM$7,'Rooms Walls and Glass'!$D$1:$AB$1,0))=0,"",INDEX('Rooms Walls and Glass'!$D$46:$AB$50, MATCH($D41,'Rooms Walls and Glass'!$A$46:$A$50,0), MATCH('Unit 1 a'!AM$7,'Rooms Walls and Glass'!$D$1:$AB$1,0))))</f>
        <v/>
      </c>
      <c r="AN41" s="70" t="str">
        <f t="shared" si="25"/>
        <v>-</v>
      </c>
      <c r="AO41" s="66" t="str">
        <f>IF(AO$7="","",IF(INDEX('Rooms Walls and Glass'!$D$46:$AB$50, MATCH($D41,'Rooms Walls and Glass'!$A$46:$A$50,0), MATCH('Unit 1 a'!AO$7,'Rooms Walls and Glass'!$D$1:$AB$1,0))=0,"",INDEX('Rooms Walls and Glass'!$D$46:$AB$50, MATCH($D41,'Rooms Walls and Glass'!$A$46:$A$50,0), MATCH('Unit 1 a'!AO$7,'Rooms Walls and Glass'!$D$1:$AB$1,0))))</f>
        <v/>
      </c>
      <c r="AP41" s="71" t="str">
        <f t="shared" si="26"/>
        <v>-</v>
      </c>
    </row>
    <row r="42" spans="2:42" ht="11.25" customHeight="1" thickBot="1" x14ac:dyDescent="0.2">
      <c r="B42" s="212" t="s">
        <v>81</v>
      </c>
      <c r="C42" s="12" t="s">
        <v>41</v>
      </c>
      <c r="D42" s="13" t="s">
        <v>49</v>
      </c>
      <c r="E42" s="13">
        <v>55</v>
      </c>
      <c r="F42" s="14">
        <f>INDEX(Summary!$F$19:$F$30,MATCH('Unit 1 a'!C42,Summary!$D$19:$D$30,0))</f>
        <v>2.5999999999999999E-2</v>
      </c>
      <c r="G42" s="14">
        <f t="shared" si="109"/>
        <v>1.43</v>
      </c>
      <c r="H42" s="13" t="s">
        <v>6</v>
      </c>
      <c r="I42" s="65">
        <f t="shared" si="10"/>
        <v>1474</v>
      </c>
      <c r="J42" s="65">
        <f t="shared" si="97"/>
        <v>2107.8199999999997</v>
      </c>
      <c r="K42" s="66">
        <f>IF(K$7="","",IF(INDEX('Rooms Walls and Glass'!$D$53:$AB$57, MATCH($D42,'Rooms Walls and Glass'!$A$53:$A$57,0), MATCH('Unit 1 a'!K$7,'Rooms Walls and Glass'!$D$1:$AB$1,0))=0,"",INDEX('Rooms Walls and Glass'!$D$53:$AB$57, MATCH($D42,'Rooms Walls and Glass'!$A$53:$A$57,0), MATCH('Unit 1 a'!K$7,'Rooms Walls and Glass'!$D$1:$AB$1,0))))</f>
        <v>163</v>
      </c>
      <c r="L42" s="65">
        <f t="shared" si="98"/>
        <v>233.09</v>
      </c>
      <c r="M42" s="66">
        <f>IF(M$7="","",IF(INDEX('Rooms Walls and Glass'!$D$53:$AB$57, MATCH($D42,'Rooms Walls and Glass'!$A$53:$A$57,0), MATCH('Unit 1 a'!M$7,'Rooms Walls and Glass'!$D$1:$AB$1,0))=0,"",INDEX('Rooms Walls and Glass'!$D$53:$AB$57, MATCH($D42,'Rooms Walls and Glass'!$A$53:$A$57,0), MATCH('Unit 1 a'!M$7,'Rooms Walls and Glass'!$D$1:$AB$1,0))))</f>
        <v>236</v>
      </c>
      <c r="N42" s="65">
        <f t="shared" si="99"/>
        <v>337.47999999999996</v>
      </c>
      <c r="O42" s="66">
        <f>IF(O$7="","",IF(INDEX('Rooms Walls and Glass'!$D$53:$AB$57, MATCH($D42,'Rooms Walls and Glass'!$A$53:$A$57,0), MATCH('Unit 1 a'!O$7,'Rooms Walls and Glass'!$D$1:$AB$1,0))=0,"",INDEX('Rooms Walls and Glass'!$D$53:$AB$57, MATCH($D42,'Rooms Walls and Glass'!$A$53:$A$57,0), MATCH('Unit 1 a'!O$7,'Rooms Walls and Glass'!$D$1:$AB$1,0))))</f>
        <v>371</v>
      </c>
      <c r="P42" s="65">
        <f t="shared" si="100"/>
        <v>530.53</v>
      </c>
      <c r="Q42" s="66">
        <f>IF(Q$7="","",IF(INDEX('Rooms Walls and Glass'!$D$53:$AB$57, MATCH($D42,'Rooms Walls and Glass'!$A$53:$A$57,0), MATCH('Unit 1 a'!Q$7,'Rooms Walls and Glass'!$D$1:$AB$1,0))=0,"",INDEX('Rooms Walls and Glass'!$D$53:$AB$57, MATCH($D42,'Rooms Walls and Glass'!$A$53:$A$57,0), MATCH('Unit 1 a'!Q$7,'Rooms Walls and Glass'!$D$1:$AB$1,0))))</f>
        <v>120</v>
      </c>
      <c r="R42" s="65">
        <f t="shared" si="101"/>
        <v>171.6</v>
      </c>
      <c r="S42" s="66">
        <f>IF(S$7="","",IF(INDEX('Rooms Walls and Glass'!$D$53:$AB$57, MATCH($D42,'Rooms Walls and Glass'!$A$53:$A$57,0), MATCH('Unit 1 a'!S$7,'Rooms Walls and Glass'!$D$1:$AB$1,0))=0,"",INDEX('Rooms Walls and Glass'!$D$53:$AB$57, MATCH($D42,'Rooms Walls and Glass'!$A$53:$A$57,0), MATCH('Unit 1 a'!S$7,'Rooms Walls and Glass'!$D$1:$AB$1,0))))</f>
        <v>89</v>
      </c>
      <c r="T42" s="65">
        <f t="shared" si="16"/>
        <v>127.27</v>
      </c>
      <c r="U42" s="66">
        <f>IF(U$7="","",IF(INDEX('Rooms Walls and Glass'!$D$53:$AB$57, MATCH($D42,'Rooms Walls and Glass'!$A$53:$A$57,0), MATCH('Unit 1 a'!U$7,'Rooms Walls and Glass'!$D$1:$AB$1,0))=0,"",INDEX('Rooms Walls and Glass'!$D$53:$AB$57, MATCH($D42,'Rooms Walls and Glass'!$A$53:$A$57,0), MATCH('Unit 1 a'!U$7,'Rooms Walls and Glass'!$D$1:$AB$1,0))))</f>
        <v>34</v>
      </c>
      <c r="V42" s="65">
        <f t="shared" si="102"/>
        <v>48.62</v>
      </c>
      <c r="W42" s="66">
        <f>IF(W$7="","",IF(INDEX('Rooms Walls and Glass'!$D$53:$AB$57, MATCH($D42,'Rooms Walls and Glass'!$A$53:$A$57,0), MATCH('Unit 1 a'!W$7,'Rooms Walls and Glass'!$D$1:$AB$1,0))=0,"",INDEX('Rooms Walls and Glass'!$D$53:$AB$57, MATCH($D42,'Rooms Walls and Glass'!$A$53:$A$57,0), MATCH('Unit 1 a'!W$7,'Rooms Walls and Glass'!$D$1:$AB$1,0))))</f>
        <v>160</v>
      </c>
      <c r="X42" s="65">
        <f t="shared" si="103"/>
        <v>228.79999999999998</v>
      </c>
      <c r="Y42" s="66">
        <f>IF(Y$7="","",IF(INDEX('Rooms Walls and Glass'!$D$53:$AB$57, MATCH($D42,'Rooms Walls and Glass'!$A$53:$A$57,0), MATCH('Unit 1 a'!Y$7,'Rooms Walls and Glass'!$D$1:$AB$1,0))=0,"",INDEX('Rooms Walls and Glass'!$D$53:$AB$57, MATCH($D42,'Rooms Walls and Glass'!$A$53:$A$57,0), MATCH('Unit 1 a'!Y$7,'Rooms Walls and Glass'!$D$1:$AB$1,0))))</f>
        <v>62</v>
      </c>
      <c r="Z42" s="65">
        <f t="shared" si="104"/>
        <v>88.66</v>
      </c>
      <c r="AA42" s="66">
        <f>IF(AA$7="","",IF(INDEX('Rooms Walls and Glass'!$D$53:$AB$57, MATCH($D42,'Rooms Walls and Glass'!$A$53:$A$57,0), MATCH('Unit 1 a'!AA$7,'Rooms Walls and Glass'!$D$1:$AB$1,0))=0,"",INDEX('Rooms Walls and Glass'!$D$53:$AB$57, MATCH($D42,'Rooms Walls and Glass'!$A$53:$A$57,0), MATCH('Unit 1 a'!AA$7,'Rooms Walls and Glass'!$D$1:$AB$1,0))))</f>
        <v>158</v>
      </c>
      <c r="AB42" s="65">
        <f t="shared" si="105"/>
        <v>225.94</v>
      </c>
      <c r="AC42" s="66">
        <f>IF(AC$7="","",IF(INDEX('Rooms Walls and Glass'!$D$53:$AB$57, MATCH($D42,'Rooms Walls and Glass'!$A$53:$A$57,0), MATCH('Unit 1 a'!AC$7,'Rooms Walls and Glass'!$D$1:$AB$1,0))=0,"",INDEX('Rooms Walls and Glass'!$D$53:$AB$57, MATCH($D42,'Rooms Walls and Glass'!$A$53:$A$57,0), MATCH('Unit 1 a'!AC$7,'Rooms Walls and Glass'!$D$1:$AB$1,0))))</f>
        <v>49</v>
      </c>
      <c r="AD42" s="65">
        <f t="shared" ref="AD42" si="154">IF(AC42="","-",AC42*$G42)</f>
        <v>70.069999999999993</v>
      </c>
      <c r="AE42" s="66">
        <f>IF(AE$7="","",IF(INDEX('Rooms Walls and Glass'!$D$53:$AB$57, MATCH($D42,'Rooms Walls and Glass'!$A$53:$A$57,0), MATCH('Unit 1 a'!AE$7,'Rooms Walls and Glass'!$D$1:$AB$1,0))=0,"",INDEX('Rooms Walls and Glass'!$D$53:$AB$57, MATCH($D42,'Rooms Walls and Glass'!$A$53:$A$57,0), MATCH('Unit 1 a'!AE$7,'Rooms Walls and Glass'!$D$1:$AB$1,0))))</f>
        <v>32</v>
      </c>
      <c r="AF42" s="65">
        <f t="shared" ref="AF42" si="155">IF(AE42="","-",AE42*$G42)</f>
        <v>45.76</v>
      </c>
      <c r="AG42" s="66" t="str">
        <f>IF(AG$7="","",IF(INDEX('Rooms Walls and Glass'!$D$53:$AB$57, MATCH($D42,'Rooms Walls and Glass'!$A$53:$A$57,0), MATCH('Unit 1 a'!AG$7,'Rooms Walls and Glass'!$D$1:$AB$1,0))=0,"",INDEX('Rooms Walls and Glass'!$D$53:$AB$57, MATCH($D42,'Rooms Walls and Glass'!$A$53:$A$57,0), MATCH('Unit 1 a'!AG$7,'Rooms Walls and Glass'!$D$1:$AB$1,0))))</f>
        <v/>
      </c>
      <c r="AH42" s="65" t="str">
        <f t="shared" si="106"/>
        <v>-</v>
      </c>
      <c r="AI42" s="66" t="str">
        <f>IF(AI$7="","",IF(INDEX('Rooms Walls and Glass'!$D$53:$AB$57, MATCH($D42,'Rooms Walls and Glass'!$A$53:$A$57,0), MATCH('Unit 1 a'!AI$7,'Rooms Walls and Glass'!$D$1:$AB$1,0))=0,"",INDEX('Rooms Walls and Glass'!$D$53:$AB$57, MATCH($D42,'Rooms Walls and Glass'!$A$53:$A$57,0), MATCH('Unit 1 a'!AI$7,'Rooms Walls and Glass'!$D$1:$AB$1,0))))</f>
        <v/>
      </c>
      <c r="AJ42" s="67" t="str">
        <f t="shared" si="23"/>
        <v>-</v>
      </c>
      <c r="AK42" s="66" t="str">
        <f>IF(AK$7="","",IF(INDEX('Rooms Walls and Glass'!$D$53:$AB$57, MATCH($D42,'Rooms Walls and Glass'!$A$53:$A$57,0), MATCH('Unit 1 a'!AK$7,'Rooms Walls and Glass'!$D$1:$AB$1,0))=0,"",INDEX('Rooms Walls and Glass'!$D$53:$AB$57, MATCH($D42,'Rooms Walls and Glass'!$A$53:$A$57,0), MATCH('Unit 1 a'!AK$7,'Rooms Walls and Glass'!$D$1:$AB$1,0))))</f>
        <v/>
      </c>
      <c r="AL42" s="67" t="str">
        <f t="shared" si="24"/>
        <v>-</v>
      </c>
      <c r="AM42" s="66" t="str">
        <f>IF(AM$7="","",IF(INDEX('Rooms Walls and Glass'!$D$53:$AB$57, MATCH($D42,'Rooms Walls and Glass'!$A$53:$A$57,0), MATCH('Unit 1 a'!AM$7,'Rooms Walls and Glass'!$D$1:$AB$1,0))=0,"",INDEX('Rooms Walls and Glass'!$D$53:$AB$57, MATCH($D42,'Rooms Walls and Glass'!$A$53:$A$57,0), MATCH('Unit 1 a'!AM$7,'Rooms Walls and Glass'!$D$1:$AB$1,0))))</f>
        <v/>
      </c>
      <c r="AN42" s="65" t="str">
        <f t="shared" si="25"/>
        <v>-</v>
      </c>
      <c r="AO42" s="66" t="str">
        <f>IF(AO$7="","",IF(INDEX('Rooms Walls and Glass'!$D$53:$AB$57, MATCH($D42,'Rooms Walls and Glass'!$A$53:$A$57,0), MATCH('Unit 1 a'!AO$7,'Rooms Walls and Glass'!$D$1:$AB$1,0))=0,"",INDEX('Rooms Walls and Glass'!$D$53:$AB$57, MATCH($D42,'Rooms Walls and Glass'!$A$53:$A$57,0), MATCH('Unit 1 a'!AO$7,'Rooms Walls and Glass'!$D$1:$AB$1,0))))</f>
        <v/>
      </c>
      <c r="AP42" s="67" t="str">
        <f t="shared" si="26"/>
        <v>-</v>
      </c>
    </row>
    <row r="43" spans="2:42" ht="11.25" customHeight="1" thickBot="1" x14ac:dyDescent="0.2">
      <c r="B43" s="213"/>
      <c r="C43" s="17" t="s">
        <v>42</v>
      </c>
      <c r="D43" s="18" t="s">
        <v>50</v>
      </c>
      <c r="E43" s="18">
        <v>55</v>
      </c>
      <c r="F43" s="14">
        <f>INDEX(Summary!$F$19:$F$30,MATCH('Unit 1 a'!C43,Summary!$D$19:$D$30,0))</f>
        <v>0.26</v>
      </c>
      <c r="G43" s="14">
        <f t="shared" si="109"/>
        <v>14.3</v>
      </c>
      <c r="H43" s="18" t="s">
        <v>6</v>
      </c>
      <c r="I43" s="65">
        <f t="shared" si="10"/>
        <v>0</v>
      </c>
      <c r="J43" s="70">
        <f t="shared" si="97"/>
        <v>0</v>
      </c>
      <c r="K43" s="66" t="str">
        <f>IF(K$7="","",IF(INDEX('Rooms Walls and Glass'!$D$53:$AB$57, MATCH($D43,'Rooms Walls and Glass'!$A$53:$A$57,0), MATCH('Unit 1 a'!K$7,'Rooms Walls and Glass'!$D$1:$AB$1,0))=0,"",INDEX('Rooms Walls and Glass'!$D$53:$AB$57, MATCH($D43,'Rooms Walls and Glass'!$A$53:$A$57,0), MATCH('Unit 1 a'!K$7,'Rooms Walls and Glass'!$D$1:$AB$1,0))))</f>
        <v/>
      </c>
      <c r="L43" s="70" t="str">
        <f t="shared" si="98"/>
        <v>-</v>
      </c>
      <c r="M43" s="66" t="str">
        <f>IF(M$7="","",IF(INDEX('Rooms Walls and Glass'!$D$53:$AB$57, MATCH($D43,'Rooms Walls and Glass'!$A$53:$A$57,0), MATCH('Unit 1 a'!M$7,'Rooms Walls and Glass'!$D$1:$AB$1,0))=0,"",INDEX('Rooms Walls and Glass'!$D$53:$AB$57, MATCH($D43,'Rooms Walls and Glass'!$A$53:$A$57,0), MATCH('Unit 1 a'!M$7,'Rooms Walls and Glass'!$D$1:$AB$1,0))))</f>
        <v/>
      </c>
      <c r="N43" s="70" t="str">
        <f t="shared" si="99"/>
        <v>-</v>
      </c>
      <c r="O43" s="66" t="str">
        <f>IF(O$7="","",IF(INDEX('Rooms Walls and Glass'!$D$53:$AB$57, MATCH($D43,'Rooms Walls and Glass'!$A$53:$A$57,0), MATCH('Unit 1 a'!O$7,'Rooms Walls and Glass'!$D$1:$AB$1,0))=0,"",INDEX('Rooms Walls and Glass'!$D$53:$AB$57, MATCH($D43,'Rooms Walls and Glass'!$A$53:$A$57,0), MATCH('Unit 1 a'!O$7,'Rooms Walls and Glass'!$D$1:$AB$1,0))))</f>
        <v/>
      </c>
      <c r="P43" s="70" t="str">
        <f t="shared" si="100"/>
        <v>-</v>
      </c>
      <c r="Q43" s="66" t="str">
        <f>IF(Q$7="","",IF(INDEX('Rooms Walls and Glass'!$D$53:$AB$57, MATCH($D43,'Rooms Walls and Glass'!$A$53:$A$57,0), MATCH('Unit 1 a'!Q$7,'Rooms Walls and Glass'!$D$1:$AB$1,0))=0,"",INDEX('Rooms Walls and Glass'!$D$53:$AB$57, MATCH($D43,'Rooms Walls and Glass'!$A$53:$A$57,0), MATCH('Unit 1 a'!Q$7,'Rooms Walls and Glass'!$D$1:$AB$1,0))))</f>
        <v/>
      </c>
      <c r="R43" s="70" t="str">
        <f t="shared" si="101"/>
        <v>-</v>
      </c>
      <c r="S43" s="66" t="str">
        <f>IF(S$7="","",IF(INDEX('Rooms Walls and Glass'!$D$53:$AB$57, MATCH($D43,'Rooms Walls and Glass'!$A$53:$A$57,0), MATCH('Unit 1 a'!S$7,'Rooms Walls and Glass'!$D$1:$AB$1,0))=0,"",INDEX('Rooms Walls and Glass'!$D$53:$AB$57, MATCH($D43,'Rooms Walls and Glass'!$A$53:$A$57,0), MATCH('Unit 1 a'!S$7,'Rooms Walls and Glass'!$D$1:$AB$1,0))))</f>
        <v/>
      </c>
      <c r="T43" s="70" t="str">
        <f t="shared" si="16"/>
        <v>-</v>
      </c>
      <c r="U43" s="66" t="str">
        <f>IF(U$7="","",IF(INDEX('Rooms Walls and Glass'!$D$53:$AB$57, MATCH($D43,'Rooms Walls and Glass'!$A$53:$A$57,0), MATCH('Unit 1 a'!U$7,'Rooms Walls and Glass'!$D$1:$AB$1,0))=0,"",INDEX('Rooms Walls and Glass'!$D$53:$AB$57, MATCH($D43,'Rooms Walls and Glass'!$A$53:$A$57,0), MATCH('Unit 1 a'!U$7,'Rooms Walls and Glass'!$D$1:$AB$1,0))))</f>
        <v/>
      </c>
      <c r="V43" s="70" t="str">
        <f t="shared" si="102"/>
        <v>-</v>
      </c>
      <c r="W43" s="66" t="str">
        <f>IF(W$7="","",IF(INDEX('Rooms Walls and Glass'!$D$53:$AB$57, MATCH($D43,'Rooms Walls and Glass'!$A$53:$A$57,0), MATCH('Unit 1 a'!W$7,'Rooms Walls and Glass'!$D$1:$AB$1,0))=0,"",INDEX('Rooms Walls and Glass'!$D$53:$AB$57, MATCH($D43,'Rooms Walls and Glass'!$A$53:$A$57,0), MATCH('Unit 1 a'!W$7,'Rooms Walls and Glass'!$D$1:$AB$1,0))))</f>
        <v/>
      </c>
      <c r="X43" s="70" t="str">
        <f t="shared" si="103"/>
        <v>-</v>
      </c>
      <c r="Y43" s="66" t="str">
        <f>IF(Y$7="","",IF(INDEX('Rooms Walls and Glass'!$D$53:$AB$57, MATCH($D43,'Rooms Walls and Glass'!$A$53:$A$57,0), MATCH('Unit 1 a'!Y$7,'Rooms Walls and Glass'!$D$1:$AB$1,0))=0,"",INDEX('Rooms Walls and Glass'!$D$53:$AB$57, MATCH($D43,'Rooms Walls and Glass'!$A$53:$A$57,0), MATCH('Unit 1 a'!Y$7,'Rooms Walls and Glass'!$D$1:$AB$1,0))))</f>
        <v/>
      </c>
      <c r="Z43" s="70" t="str">
        <f t="shared" si="104"/>
        <v>-</v>
      </c>
      <c r="AA43" s="66" t="str">
        <f>IF(AA$7="","",IF(INDEX('Rooms Walls and Glass'!$D$53:$AB$57, MATCH($D43,'Rooms Walls and Glass'!$A$53:$A$57,0), MATCH('Unit 1 a'!AA$7,'Rooms Walls and Glass'!$D$1:$AB$1,0))=0,"",INDEX('Rooms Walls and Glass'!$D$53:$AB$57, MATCH($D43,'Rooms Walls and Glass'!$A$53:$A$57,0), MATCH('Unit 1 a'!AA$7,'Rooms Walls and Glass'!$D$1:$AB$1,0))))</f>
        <v/>
      </c>
      <c r="AB43" s="70" t="str">
        <f t="shared" si="105"/>
        <v>-</v>
      </c>
      <c r="AC43" s="66" t="str">
        <f>IF(AC$7="","",IF(INDEX('Rooms Walls and Glass'!$D$53:$AB$57, MATCH($D43,'Rooms Walls and Glass'!$A$53:$A$57,0), MATCH('Unit 1 a'!AC$7,'Rooms Walls and Glass'!$D$1:$AB$1,0))=0,"",INDEX('Rooms Walls and Glass'!$D$53:$AB$57, MATCH($D43,'Rooms Walls and Glass'!$A$53:$A$57,0), MATCH('Unit 1 a'!AC$7,'Rooms Walls and Glass'!$D$1:$AB$1,0))))</f>
        <v/>
      </c>
      <c r="AD43" s="70" t="str">
        <f t="shared" ref="AD43" si="156">IF(AC43="","-",AC43*$G43)</f>
        <v>-</v>
      </c>
      <c r="AE43" s="66" t="str">
        <f>IF(AE$7="","",IF(INDEX('Rooms Walls and Glass'!$D$53:$AB$57, MATCH($D43,'Rooms Walls and Glass'!$A$53:$A$57,0), MATCH('Unit 1 a'!AE$7,'Rooms Walls and Glass'!$D$1:$AB$1,0))=0,"",INDEX('Rooms Walls and Glass'!$D$53:$AB$57, MATCH($D43,'Rooms Walls and Glass'!$A$53:$A$57,0), MATCH('Unit 1 a'!AE$7,'Rooms Walls and Glass'!$D$1:$AB$1,0))))</f>
        <v/>
      </c>
      <c r="AF43" s="70" t="str">
        <f t="shared" ref="AF43" si="157">IF(AE43="","-",AE43*$G43)</f>
        <v>-</v>
      </c>
      <c r="AG43" s="66" t="str">
        <f>IF(AG$7="","",IF(INDEX('Rooms Walls and Glass'!$D$53:$AB$57, MATCH($D43,'Rooms Walls and Glass'!$A$53:$A$57,0), MATCH('Unit 1 a'!AG$7,'Rooms Walls and Glass'!$D$1:$AB$1,0))=0,"",INDEX('Rooms Walls and Glass'!$D$53:$AB$57, MATCH($D43,'Rooms Walls and Glass'!$A$53:$A$57,0), MATCH('Unit 1 a'!AG$7,'Rooms Walls and Glass'!$D$1:$AB$1,0))))</f>
        <v/>
      </c>
      <c r="AH43" s="70" t="str">
        <f t="shared" si="106"/>
        <v>-</v>
      </c>
      <c r="AI43" s="66"/>
      <c r="AJ43" s="71" t="str">
        <f t="shared" si="23"/>
        <v>-</v>
      </c>
      <c r="AK43" s="66" t="str">
        <f>IF(AK$7="","",IF(INDEX('Rooms Walls and Glass'!$D$53:$AB$57, MATCH($D43,'Rooms Walls and Glass'!$A$53:$A$57,0), MATCH('Unit 1 a'!AK$7,'Rooms Walls and Glass'!$D$1:$AB$1,0))=0,"",INDEX('Rooms Walls and Glass'!$D$53:$AB$57, MATCH($D43,'Rooms Walls and Glass'!$A$53:$A$57,0), MATCH('Unit 1 a'!AK$7,'Rooms Walls and Glass'!$D$1:$AB$1,0))))</f>
        <v/>
      </c>
      <c r="AL43" s="71" t="str">
        <f t="shared" si="24"/>
        <v>-</v>
      </c>
      <c r="AM43" s="66" t="str">
        <f>IF(AM$7="","",IF(INDEX('Rooms Walls and Glass'!$D$53:$AB$57, MATCH($D43,'Rooms Walls and Glass'!$A$53:$A$57,0), MATCH('Unit 1 a'!AM$7,'Rooms Walls and Glass'!$D$1:$AB$1,0))=0,"",INDEX('Rooms Walls and Glass'!$D$53:$AB$57, MATCH($D43,'Rooms Walls and Glass'!$A$53:$A$57,0), MATCH('Unit 1 a'!AM$7,'Rooms Walls and Glass'!$D$1:$AB$1,0))))</f>
        <v/>
      </c>
      <c r="AN43" s="70" t="str">
        <f t="shared" si="25"/>
        <v>-</v>
      </c>
      <c r="AO43" s="66" t="str">
        <f>IF(AO$7="","",IF(INDEX('Rooms Walls and Glass'!$D$53:$AB$57, MATCH($D43,'Rooms Walls and Glass'!$A$53:$A$57,0), MATCH('Unit 1 a'!AO$7,'Rooms Walls and Glass'!$D$1:$AB$1,0))=0,"",INDEX('Rooms Walls and Glass'!$D$53:$AB$57, MATCH($D43,'Rooms Walls and Glass'!$A$53:$A$57,0), MATCH('Unit 1 a'!AO$7,'Rooms Walls and Glass'!$D$1:$AB$1,0))))</f>
        <v/>
      </c>
      <c r="AP43" s="71" t="str">
        <f t="shared" si="26"/>
        <v>-</v>
      </c>
    </row>
    <row r="44" spans="2:42" ht="11.25" customHeight="1" thickBot="1" x14ac:dyDescent="0.2">
      <c r="B44" s="212" t="s">
        <v>82</v>
      </c>
      <c r="C44" s="12" t="s">
        <v>43</v>
      </c>
      <c r="D44" s="13" t="s">
        <v>51</v>
      </c>
      <c r="E44" s="13">
        <v>11</v>
      </c>
      <c r="F44" s="14">
        <f>INDEX(Summary!$F$19:$F$30,MATCH('Unit 1 a'!C44,Summary!$D$19:$D$30,0))</f>
        <v>5.2999999999999999E-2</v>
      </c>
      <c r="G44" s="14">
        <f t="shared" si="109"/>
        <v>0.58299999999999996</v>
      </c>
      <c r="H44" s="13" t="s">
        <v>6</v>
      </c>
      <c r="I44" s="65">
        <f t="shared" si="10"/>
        <v>0</v>
      </c>
      <c r="J44" s="65">
        <f t="shared" si="97"/>
        <v>0</v>
      </c>
      <c r="K44" s="66" t="str">
        <f>IF(K$7="","",IF(INDEX('Rooms Walls and Glass'!$D$53:$AB$57, MATCH($D44,'Rooms Walls and Glass'!$A$53:$A$57,0), MATCH('Unit 1 a'!K$7,'Rooms Walls and Glass'!$D$1:$AB$1,0))=0,"",INDEX('Rooms Walls and Glass'!$D$53:$AB$57, MATCH($D44,'Rooms Walls and Glass'!$A$53:$A$57,0), MATCH('Unit 1 a'!K$7,'Rooms Walls and Glass'!$D$1:$AB$1,0))))</f>
        <v/>
      </c>
      <c r="L44" s="65" t="str">
        <f t="shared" si="98"/>
        <v>-</v>
      </c>
      <c r="M44" s="66" t="str">
        <f>IF(M$7="","",IF(INDEX('Rooms Walls and Glass'!$D$53:$AB$57, MATCH($D44,'Rooms Walls and Glass'!$A$53:$A$57,0), MATCH('Unit 1 a'!M$7,'Rooms Walls and Glass'!$D$1:$AB$1,0))=0,"",INDEX('Rooms Walls and Glass'!$D$53:$AB$57, MATCH($D44,'Rooms Walls and Glass'!$A$53:$A$57,0), MATCH('Unit 1 a'!M$7,'Rooms Walls and Glass'!$D$1:$AB$1,0))))</f>
        <v/>
      </c>
      <c r="N44" s="65" t="str">
        <f t="shared" si="99"/>
        <v>-</v>
      </c>
      <c r="O44" s="66" t="str">
        <f>IF(O$7="","",IF(INDEX('Rooms Walls and Glass'!$D$53:$AB$57, MATCH($D44,'Rooms Walls and Glass'!$A$53:$A$57,0), MATCH('Unit 1 a'!O$7,'Rooms Walls and Glass'!$D$1:$AB$1,0))=0,"",INDEX('Rooms Walls and Glass'!$D$53:$AB$57, MATCH($D44,'Rooms Walls and Glass'!$A$53:$A$57,0), MATCH('Unit 1 a'!O$7,'Rooms Walls and Glass'!$D$1:$AB$1,0))))</f>
        <v/>
      </c>
      <c r="P44" s="65" t="str">
        <f t="shared" si="100"/>
        <v>-</v>
      </c>
      <c r="Q44" s="66" t="str">
        <f>IF(Q$7="","",IF(INDEX('Rooms Walls and Glass'!$D$53:$AB$57, MATCH($D44,'Rooms Walls and Glass'!$A$53:$A$57,0), MATCH('Unit 1 a'!Q$7,'Rooms Walls and Glass'!$D$1:$AB$1,0))=0,"",INDEX('Rooms Walls and Glass'!$D$53:$AB$57, MATCH($D44,'Rooms Walls and Glass'!$A$53:$A$57,0), MATCH('Unit 1 a'!Q$7,'Rooms Walls and Glass'!$D$1:$AB$1,0))))</f>
        <v/>
      </c>
      <c r="R44" s="65" t="str">
        <f t="shared" si="101"/>
        <v>-</v>
      </c>
      <c r="S44" s="66" t="str">
        <f>IF(S$7="","",IF(INDEX('Rooms Walls and Glass'!$D$53:$AB$57, MATCH($D44,'Rooms Walls and Glass'!$A$53:$A$57,0), MATCH('Unit 1 a'!S$7,'Rooms Walls and Glass'!$D$1:$AB$1,0))=0,"",INDEX('Rooms Walls and Glass'!$D$53:$AB$57, MATCH($D44,'Rooms Walls and Glass'!$A$53:$A$57,0), MATCH('Unit 1 a'!S$7,'Rooms Walls and Glass'!$D$1:$AB$1,0))))</f>
        <v/>
      </c>
      <c r="T44" s="65" t="str">
        <f t="shared" si="16"/>
        <v>-</v>
      </c>
      <c r="U44" s="66" t="str">
        <f>IF(U$7="","",IF(INDEX('Rooms Walls and Glass'!$D$53:$AB$57, MATCH($D44,'Rooms Walls and Glass'!$A$53:$A$57,0), MATCH('Unit 1 a'!U$7,'Rooms Walls and Glass'!$D$1:$AB$1,0))=0,"",INDEX('Rooms Walls and Glass'!$D$53:$AB$57, MATCH($D44,'Rooms Walls and Glass'!$A$53:$A$57,0), MATCH('Unit 1 a'!U$7,'Rooms Walls and Glass'!$D$1:$AB$1,0))))</f>
        <v/>
      </c>
      <c r="V44" s="65" t="str">
        <f t="shared" si="102"/>
        <v>-</v>
      </c>
      <c r="W44" s="66" t="str">
        <f>IF(W$7="","",IF(INDEX('Rooms Walls and Glass'!$D$53:$AB$57, MATCH($D44,'Rooms Walls and Glass'!$A$53:$A$57,0), MATCH('Unit 1 a'!W$7,'Rooms Walls and Glass'!$D$1:$AB$1,0))=0,"",INDEX('Rooms Walls and Glass'!$D$53:$AB$57, MATCH($D44,'Rooms Walls and Glass'!$A$53:$A$57,0), MATCH('Unit 1 a'!W$7,'Rooms Walls and Glass'!$D$1:$AB$1,0))))</f>
        <v/>
      </c>
      <c r="X44" s="65" t="str">
        <f t="shared" si="103"/>
        <v>-</v>
      </c>
      <c r="Y44" s="66" t="str">
        <f>IF(Y$7="","",IF(INDEX('Rooms Walls and Glass'!$D$53:$AB$57, MATCH($D44,'Rooms Walls and Glass'!$A$53:$A$57,0), MATCH('Unit 1 a'!Y$7,'Rooms Walls and Glass'!$D$1:$AB$1,0))=0,"",INDEX('Rooms Walls and Glass'!$D$53:$AB$57, MATCH($D44,'Rooms Walls and Glass'!$A$53:$A$57,0), MATCH('Unit 1 a'!Y$7,'Rooms Walls and Glass'!$D$1:$AB$1,0))))</f>
        <v/>
      </c>
      <c r="Z44" s="65" t="str">
        <f t="shared" si="104"/>
        <v>-</v>
      </c>
      <c r="AA44" s="66" t="str">
        <f>IF(AA$7="","",IF(INDEX('Rooms Walls and Glass'!$D$53:$AB$57, MATCH($D44,'Rooms Walls and Glass'!$A$53:$A$57,0), MATCH('Unit 1 a'!AA$7,'Rooms Walls and Glass'!$D$1:$AB$1,0))=0,"",INDEX('Rooms Walls and Glass'!$D$53:$AB$57, MATCH($D44,'Rooms Walls and Glass'!$A$53:$A$57,0), MATCH('Unit 1 a'!AA$7,'Rooms Walls and Glass'!$D$1:$AB$1,0))))</f>
        <v/>
      </c>
      <c r="AB44" s="65" t="str">
        <f t="shared" si="105"/>
        <v>-</v>
      </c>
      <c r="AC44" s="66" t="str">
        <f>IF(AC$7="","",IF(INDEX('Rooms Walls and Glass'!$D$53:$AB$57, MATCH($D44,'Rooms Walls and Glass'!$A$53:$A$57,0), MATCH('Unit 1 a'!AC$7,'Rooms Walls and Glass'!$D$1:$AB$1,0))=0,"",INDEX('Rooms Walls and Glass'!$D$53:$AB$57, MATCH($D44,'Rooms Walls and Glass'!$A$53:$A$57,0), MATCH('Unit 1 a'!AC$7,'Rooms Walls and Glass'!$D$1:$AB$1,0))))</f>
        <v/>
      </c>
      <c r="AD44" s="65" t="str">
        <f t="shared" ref="AD44" si="158">IF(AC44="","-",AC44*$G44)</f>
        <v>-</v>
      </c>
      <c r="AE44" s="66" t="str">
        <f>IF(AE$7="","",IF(INDEX('Rooms Walls and Glass'!$D$53:$AB$57, MATCH($D44,'Rooms Walls and Glass'!$A$53:$A$57,0), MATCH('Unit 1 a'!AE$7,'Rooms Walls and Glass'!$D$1:$AB$1,0))=0,"",INDEX('Rooms Walls and Glass'!$D$53:$AB$57, MATCH($D44,'Rooms Walls and Glass'!$A$53:$A$57,0), MATCH('Unit 1 a'!AE$7,'Rooms Walls and Glass'!$D$1:$AB$1,0))))</f>
        <v/>
      </c>
      <c r="AF44" s="65" t="str">
        <f t="shared" ref="AF44" si="159">IF(AE44="","-",AE44*$G44)</f>
        <v>-</v>
      </c>
      <c r="AG44" s="66" t="str">
        <f>IF(AG$7="","",IF(INDEX('Rooms Walls and Glass'!$D$53:$AB$57, MATCH($D44,'Rooms Walls and Glass'!$A$53:$A$57,0), MATCH('Unit 1 a'!AG$7,'Rooms Walls and Glass'!$D$1:$AB$1,0))=0,"",INDEX('Rooms Walls and Glass'!$D$53:$AB$57, MATCH($D44,'Rooms Walls and Glass'!$A$53:$A$57,0), MATCH('Unit 1 a'!AG$7,'Rooms Walls and Glass'!$D$1:$AB$1,0))))</f>
        <v/>
      </c>
      <c r="AH44" s="65" t="str">
        <f t="shared" si="106"/>
        <v>-</v>
      </c>
      <c r="AI44" s="66" t="str">
        <f>IF(AI$7="","",IF(INDEX('Rooms Walls and Glass'!$D$53:$AB$57, MATCH($D44,'Rooms Walls and Glass'!$A$53:$A$57,0), MATCH('Unit 1 a'!AI$7,'Rooms Walls and Glass'!$D$1:$AB$1,0))=0,"",INDEX('Rooms Walls and Glass'!$D$53:$AB$57, MATCH($D44,'Rooms Walls and Glass'!$A$53:$A$57,0), MATCH('Unit 1 a'!AI$7,'Rooms Walls and Glass'!$D$1:$AB$1,0))))</f>
        <v/>
      </c>
      <c r="AJ44" s="67" t="str">
        <f t="shared" si="23"/>
        <v>-</v>
      </c>
      <c r="AK44" s="66" t="str">
        <f>IF(AK$7="","",IF(INDEX('Rooms Walls and Glass'!$D$53:$AB$57, MATCH($D44,'Rooms Walls and Glass'!$A$53:$A$57,0), MATCH('Unit 1 a'!AK$7,'Rooms Walls and Glass'!$D$1:$AB$1,0))=0,"",INDEX('Rooms Walls and Glass'!$D$53:$AB$57, MATCH($D44,'Rooms Walls and Glass'!$A$53:$A$57,0), MATCH('Unit 1 a'!AK$7,'Rooms Walls and Glass'!$D$1:$AB$1,0))))</f>
        <v/>
      </c>
      <c r="AL44" s="67" t="str">
        <f t="shared" si="24"/>
        <v>-</v>
      </c>
      <c r="AM44" s="66" t="str">
        <f>IF(AM$7="","",IF(INDEX('Rooms Walls and Glass'!$D$53:$AB$57, MATCH($D44,'Rooms Walls and Glass'!$A$53:$A$57,0), MATCH('Unit 1 a'!AM$7,'Rooms Walls and Glass'!$D$1:$AB$1,0))=0,"",INDEX('Rooms Walls and Glass'!$D$53:$AB$57, MATCH($D44,'Rooms Walls and Glass'!$A$53:$A$57,0), MATCH('Unit 1 a'!AM$7,'Rooms Walls and Glass'!$D$1:$AB$1,0))))</f>
        <v/>
      </c>
      <c r="AN44" s="65" t="str">
        <f t="shared" si="25"/>
        <v>-</v>
      </c>
      <c r="AO44" s="66" t="str">
        <f>IF(AO$7="","",IF(INDEX('Rooms Walls and Glass'!$D$53:$AB$57, MATCH($D44,'Rooms Walls and Glass'!$A$53:$A$57,0), MATCH('Unit 1 a'!AO$7,'Rooms Walls and Glass'!$D$1:$AB$1,0))=0,"",INDEX('Rooms Walls and Glass'!$D$53:$AB$57, MATCH($D44,'Rooms Walls and Glass'!$A$53:$A$57,0), MATCH('Unit 1 a'!AO$7,'Rooms Walls and Glass'!$D$1:$AB$1,0))))</f>
        <v/>
      </c>
      <c r="AP44" s="67" t="str">
        <f t="shared" si="26"/>
        <v>-</v>
      </c>
    </row>
    <row r="45" spans="2:42" ht="11.25" customHeight="1" thickBot="1" x14ac:dyDescent="0.2">
      <c r="B45" s="214"/>
      <c r="C45" s="15" t="s">
        <v>43</v>
      </c>
      <c r="D45" s="16" t="s">
        <v>36</v>
      </c>
      <c r="E45" s="16">
        <v>30</v>
      </c>
      <c r="F45" s="14">
        <f>INDEX(Summary!$F$19:$F$30,MATCH('Unit 1 a'!C45,Summary!$D$19:$D$30,0))</f>
        <v>5.2999999999999999E-2</v>
      </c>
      <c r="G45" s="14">
        <f t="shared" si="109"/>
        <v>1.5899999999999999</v>
      </c>
      <c r="H45" s="16" t="s">
        <v>6</v>
      </c>
      <c r="I45" s="65">
        <f t="shared" si="10"/>
        <v>399</v>
      </c>
      <c r="J45" s="68">
        <f t="shared" si="97"/>
        <v>634.41</v>
      </c>
      <c r="K45" s="66" t="str">
        <f>IF(K$7="","",IF(INDEX('Rooms Walls and Glass'!$D$53:$AB$57, MATCH($D45,'Rooms Walls and Glass'!$A$53:$A$57,0), MATCH('Unit 1 a'!K$7,'Rooms Walls and Glass'!$D$1:$AB$1,0))=0,"",INDEX('Rooms Walls and Glass'!$D$53:$AB$57, MATCH($D45,'Rooms Walls and Glass'!$A$53:$A$57,0), MATCH('Unit 1 a'!K$7,'Rooms Walls and Glass'!$D$1:$AB$1,0))))</f>
        <v/>
      </c>
      <c r="L45" s="68" t="str">
        <f t="shared" si="98"/>
        <v>-</v>
      </c>
      <c r="M45" s="66" t="str">
        <f>IF(M$7="","",IF(INDEX('Rooms Walls and Glass'!$D$53:$AB$57, MATCH($D45,'Rooms Walls and Glass'!$A$53:$A$57,0), MATCH('Unit 1 a'!M$7,'Rooms Walls and Glass'!$D$1:$AB$1,0))=0,"",INDEX('Rooms Walls and Glass'!$D$53:$AB$57, MATCH($D45,'Rooms Walls and Glass'!$A$53:$A$57,0), MATCH('Unit 1 a'!M$7,'Rooms Walls and Glass'!$D$1:$AB$1,0))))</f>
        <v/>
      </c>
      <c r="N45" s="68" t="str">
        <f t="shared" si="99"/>
        <v>-</v>
      </c>
      <c r="O45" s="66">
        <f>IF(O$7="","",IF(INDEX('Rooms Walls and Glass'!$D$53:$AB$57, MATCH($D45,'Rooms Walls and Glass'!$A$53:$A$57,0), MATCH('Unit 1 a'!O$7,'Rooms Walls and Glass'!$D$1:$AB$1,0))=0,"",INDEX('Rooms Walls and Glass'!$D$53:$AB$57, MATCH($D45,'Rooms Walls and Glass'!$A$53:$A$57,0), MATCH('Unit 1 a'!O$7,'Rooms Walls and Glass'!$D$1:$AB$1,0))))</f>
        <v>371</v>
      </c>
      <c r="P45" s="68">
        <f t="shared" si="100"/>
        <v>589.89</v>
      </c>
      <c r="Q45" s="66">
        <f>IF(Q$7="","",IF(INDEX('Rooms Walls and Glass'!$D$53:$AB$57, MATCH($D45,'Rooms Walls and Glass'!$A$53:$A$57,0), MATCH('Unit 1 a'!Q$7,'Rooms Walls and Glass'!$D$1:$AB$1,0))=0,"",INDEX('Rooms Walls and Glass'!$D$53:$AB$57, MATCH($D45,'Rooms Walls and Glass'!$A$53:$A$57,0), MATCH('Unit 1 a'!Q$7,'Rooms Walls and Glass'!$D$1:$AB$1,0))))</f>
        <v>28</v>
      </c>
      <c r="R45" s="68">
        <f t="shared" si="101"/>
        <v>44.519999999999996</v>
      </c>
      <c r="S45" s="66" t="str">
        <f>IF(S$7="","",IF(INDEX('Rooms Walls and Glass'!$D$53:$AB$57, MATCH($D45,'Rooms Walls and Glass'!$A$53:$A$57,0), MATCH('Unit 1 a'!S$7,'Rooms Walls and Glass'!$D$1:$AB$1,0))=0,"",INDEX('Rooms Walls and Glass'!$D$53:$AB$57, MATCH($D45,'Rooms Walls and Glass'!$A$53:$A$57,0), MATCH('Unit 1 a'!S$7,'Rooms Walls and Glass'!$D$1:$AB$1,0))))</f>
        <v/>
      </c>
      <c r="T45" s="68" t="str">
        <f t="shared" si="16"/>
        <v>-</v>
      </c>
      <c r="U45" s="66" t="str">
        <f>IF(U$7="","",IF(INDEX('Rooms Walls and Glass'!$D$53:$AB$57, MATCH($D45,'Rooms Walls and Glass'!$A$53:$A$57,0), MATCH('Unit 1 a'!U$7,'Rooms Walls and Glass'!$D$1:$AB$1,0))=0,"",INDEX('Rooms Walls and Glass'!$D$53:$AB$57, MATCH($D45,'Rooms Walls and Glass'!$A$53:$A$57,0), MATCH('Unit 1 a'!U$7,'Rooms Walls and Glass'!$D$1:$AB$1,0))))</f>
        <v/>
      </c>
      <c r="V45" s="68" t="str">
        <f t="shared" si="102"/>
        <v>-</v>
      </c>
      <c r="W45" s="66" t="str">
        <f>IF(W$7="","",IF(INDEX('Rooms Walls and Glass'!$D$53:$AB$57, MATCH($D45,'Rooms Walls and Glass'!$A$53:$A$57,0), MATCH('Unit 1 a'!W$7,'Rooms Walls and Glass'!$D$1:$AB$1,0))=0,"",INDEX('Rooms Walls and Glass'!$D$53:$AB$57, MATCH($D45,'Rooms Walls and Glass'!$A$53:$A$57,0), MATCH('Unit 1 a'!W$7,'Rooms Walls and Glass'!$D$1:$AB$1,0))))</f>
        <v/>
      </c>
      <c r="X45" s="68" t="str">
        <f t="shared" si="103"/>
        <v>-</v>
      </c>
      <c r="Y45" s="66" t="str">
        <f>IF(Y$7="","",IF(INDEX('Rooms Walls and Glass'!$D$53:$AB$57, MATCH($D45,'Rooms Walls and Glass'!$A$53:$A$57,0), MATCH('Unit 1 a'!Y$7,'Rooms Walls and Glass'!$D$1:$AB$1,0))=0,"",INDEX('Rooms Walls and Glass'!$D$53:$AB$57, MATCH($D45,'Rooms Walls and Glass'!$A$53:$A$57,0), MATCH('Unit 1 a'!Y$7,'Rooms Walls and Glass'!$D$1:$AB$1,0))))</f>
        <v/>
      </c>
      <c r="Z45" s="68" t="str">
        <f t="shared" si="104"/>
        <v>-</v>
      </c>
      <c r="AA45" s="66" t="str">
        <f>IF(AA$7="","",IF(INDEX('Rooms Walls and Glass'!$D$53:$AB$57, MATCH($D45,'Rooms Walls and Glass'!$A$53:$A$57,0), MATCH('Unit 1 a'!AA$7,'Rooms Walls and Glass'!$D$1:$AB$1,0))=0,"",INDEX('Rooms Walls and Glass'!$D$53:$AB$57, MATCH($D45,'Rooms Walls and Glass'!$A$53:$A$57,0), MATCH('Unit 1 a'!AA$7,'Rooms Walls and Glass'!$D$1:$AB$1,0))))</f>
        <v/>
      </c>
      <c r="AB45" s="68" t="str">
        <f t="shared" si="105"/>
        <v>-</v>
      </c>
      <c r="AC45" s="66" t="str">
        <f>IF(AC$7="","",IF(INDEX('Rooms Walls and Glass'!$D$53:$AB$57, MATCH($D45,'Rooms Walls and Glass'!$A$53:$A$57,0), MATCH('Unit 1 a'!AC$7,'Rooms Walls and Glass'!$D$1:$AB$1,0))=0,"",INDEX('Rooms Walls and Glass'!$D$53:$AB$57, MATCH($D45,'Rooms Walls and Glass'!$A$53:$A$57,0), MATCH('Unit 1 a'!AC$7,'Rooms Walls and Glass'!$D$1:$AB$1,0))))</f>
        <v/>
      </c>
      <c r="AD45" s="68" t="str">
        <f t="shared" ref="AD45" si="160">IF(AC45="","-",AC45*$G45)</f>
        <v>-</v>
      </c>
      <c r="AE45" s="66" t="str">
        <f>IF(AE$7="","",IF(INDEX('Rooms Walls and Glass'!$D$53:$AB$57, MATCH($D45,'Rooms Walls and Glass'!$A$53:$A$57,0), MATCH('Unit 1 a'!AE$7,'Rooms Walls and Glass'!$D$1:$AB$1,0))=0,"",INDEX('Rooms Walls and Glass'!$D$53:$AB$57, MATCH($D45,'Rooms Walls and Glass'!$A$53:$A$57,0), MATCH('Unit 1 a'!AE$7,'Rooms Walls and Glass'!$D$1:$AB$1,0))))</f>
        <v/>
      </c>
      <c r="AF45" s="68" t="str">
        <f t="shared" ref="AF45" si="161">IF(AE45="","-",AE45*$G45)</f>
        <v>-</v>
      </c>
      <c r="AG45" s="66" t="str">
        <f>IF(AG$7="","",IF(INDEX('Rooms Walls and Glass'!$D$53:$AB$57, MATCH($D45,'Rooms Walls and Glass'!$A$53:$A$57,0), MATCH('Unit 1 a'!AG$7,'Rooms Walls and Glass'!$D$1:$AB$1,0))=0,"",INDEX('Rooms Walls and Glass'!$D$53:$AB$57, MATCH($D45,'Rooms Walls and Glass'!$A$53:$A$57,0), MATCH('Unit 1 a'!AG$7,'Rooms Walls and Glass'!$D$1:$AB$1,0))))</f>
        <v/>
      </c>
      <c r="AH45" s="68" t="str">
        <f t="shared" si="106"/>
        <v>-</v>
      </c>
      <c r="AI45" s="66" t="str">
        <f>IF(AI$7="","",IF(INDEX('Rooms Walls and Glass'!$D$53:$AB$57, MATCH($D45,'Rooms Walls and Glass'!$A$53:$A$57,0), MATCH('Unit 1 a'!AI$7,'Rooms Walls and Glass'!$D$1:$AB$1,0))=0,"",INDEX('Rooms Walls and Glass'!$D$53:$AB$57, MATCH($D45,'Rooms Walls and Glass'!$A$53:$A$57,0), MATCH('Unit 1 a'!AI$7,'Rooms Walls and Glass'!$D$1:$AB$1,0))))</f>
        <v/>
      </c>
      <c r="AJ45" s="69" t="str">
        <f t="shared" si="23"/>
        <v>-</v>
      </c>
      <c r="AK45" s="66" t="str">
        <f>IF(AK$7="","",IF(INDEX('Rooms Walls and Glass'!$D$53:$AB$57, MATCH($D45,'Rooms Walls and Glass'!$A$53:$A$57,0), MATCH('Unit 1 a'!AK$7,'Rooms Walls and Glass'!$D$1:$AB$1,0))=0,"",INDEX('Rooms Walls and Glass'!$D$53:$AB$57, MATCH($D45,'Rooms Walls and Glass'!$A$53:$A$57,0), MATCH('Unit 1 a'!AK$7,'Rooms Walls and Glass'!$D$1:$AB$1,0))))</f>
        <v/>
      </c>
      <c r="AL45" s="69" t="str">
        <f t="shared" si="24"/>
        <v>-</v>
      </c>
      <c r="AM45" s="66" t="str">
        <f>IF(AM$7="","",IF(INDEX('Rooms Walls and Glass'!$D$53:$AB$57, MATCH($D45,'Rooms Walls and Glass'!$A$53:$A$57,0), MATCH('Unit 1 a'!AM$7,'Rooms Walls and Glass'!$D$1:$AB$1,0))=0,"",INDEX('Rooms Walls and Glass'!$D$53:$AB$57, MATCH($D45,'Rooms Walls and Glass'!$A$53:$A$57,0), MATCH('Unit 1 a'!AM$7,'Rooms Walls and Glass'!$D$1:$AB$1,0))))</f>
        <v/>
      </c>
      <c r="AN45" s="68" t="str">
        <f t="shared" si="25"/>
        <v>-</v>
      </c>
      <c r="AO45" s="66" t="str">
        <f>IF(AO$7="","",IF(INDEX('Rooms Walls and Glass'!$D$53:$AB$57, MATCH($D45,'Rooms Walls and Glass'!$A$53:$A$57,0), MATCH('Unit 1 a'!AO$7,'Rooms Walls and Glass'!$D$1:$AB$1,0))=0,"",INDEX('Rooms Walls and Glass'!$D$53:$AB$57, MATCH($D45,'Rooms Walls and Glass'!$A$53:$A$57,0), MATCH('Unit 1 a'!AO$7,'Rooms Walls and Glass'!$D$1:$AB$1,0))))</f>
        <v/>
      </c>
      <c r="AP45" s="69" t="str">
        <f t="shared" si="26"/>
        <v>-</v>
      </c>
    </row>
    <row r="46" spans="2:42" ht="11.25" customHeight="1" thickBot="1" x14ac:dyDescent="0.2">
      <c r="B46" s="213"/>
      <c r="C46" s="17" t="s">
        <v>44</v>
      </c>
      <c r="D46" s="18" t="s">
        <v>52</v>
      </c>
      <c r="E46" s="18">
        <v>0</v>
      </c>
      <c r="F46" s="14">
        <f>INDEX(Summary!$F$19:$F$30,MATCH('Unit 1 a'!C46,Summary!$D$19:$D$30,0))</f>
        <v>0.1</v>
      </c>
      <c r="G46" s="14">
        <f t="shared" si="109"/>
        <v>0</v>
      </c>
      <c r="H46" s="18" t="s">
        <v>6</v>
      </c>
      <c r="I46" s="65">
        <f t="shared" si="10"/>
        <v>0</v>
      </c>
      <c r="J46" s="70">
        <f t="shared" si="97"/>
        <v>0</v>
      </c>
      <c r="K46" s="66" t="str">
        <f>IF(K$7="","",IF(INDEX('Rooms Walls and Glass'!$D$53:$AB$57, MATCH($D46,'Rooms Walls and Glass'!$A$53:$A$57,0), MATCH('Unit 1 a'!K$7,'Rooms Walls and Glass'!$D$1:$AB$1,0))=0,"",INDEX('Rooms Walls and Glass'!$D$53:$AB$57, MATCH($D46,'Rooms Walls and Glass'!$A$53:$A$57,0), MATCH('Unit 1 a'!K$7,'Rooms Walls and Glass'!$D$1:$AB$1,0))))</f>
        <v/>
      </c>
      <c r="L46" s="70" t="str">
        <f t="shared" si="98"/>
        <v>-</v>
      </c>
      <c r="M46" s="66" t="str">
        <f>IF(M$7="","",IF(INDEX('Rooms Walls and Glass'!$D$53:$AB$57, MATCH($D46,'Rooms Walls and Glass'!$A$53:$A$57,0), MATCH('Unit 1 a'!M$7,'Rooms Walls and Glass'!$D$1:$AB$1,0))=0,"",INDEX('Rooms Walls and Glass'!$D$53:$AB$57, MATCH($D46,'Rooms Walls and Glass'!$A$53:$A$57,0), MATCH('Unit 1 a'!M$7,'Rooms Walls and Glass'!$D$1:$AB$1,0))))</f>
        <v/>
      </c>
      <c r="N46" s="70" t="str">
        <f t="shared" si="99"/>
        <v>-</v>
      </c>
      <c r="O46" s="66" t="str">
        <f>IF(O$7="","",IF(INDEX('Rooms Walls and Glass'!$D$53:$AB$57, MATCH($D46,'Rooms Walls and Glass'!$A$53:$A$57,0), MATCH('Unit 1 a'!O$7,'Rooms Walls and Glass'!$D$1:$AB$1,0))=0,"",INDEX('Rooms Walls and Glass'!$D$53:$AB$57, MATCH($D46,'Rooms Walls and Glass'!$A$53:$A$57,0), MATCH('Unit 1 a'!O$7,'Rooms Walls and Glass'!$D$1:$AB$1,0))))</f>
        <v/>
      </c>
      <c r="P46" s="70" t="str">
        <f t="shared" si="100"/>
        <v>-</v>
      </c>
      <c r="Q46" s="66" t="str">
        <f>IF(Q$7="","",IF(INDEX('Rooms Walls and Glass'!$D$53:$AB$57, MATCH($D46,'Rooms Walls and Glass'!$A$53:$A$57,0), MATCH('Unit 1 a'!Q$7,'Rooms Walls and Glass'!$D$1:$AB$1,0))=0,"",INDEX('Rooms Walls and Glass'!$D$53:$AB$57, MATCH($D46,'Rooms Walls and Glass'!$A$53:$A$57,0), MATCH('Unit 1 a'!Q$7,'Rooms Walls and Glass'!$D$1:$AB$1,0))))</f>
        <v/>
      </c>
      <c r="R46" s="70" t="str">
        <f t="shared" si="101"/>
        <v>-</v>
      </c>
      <c r="S46" s="66" t="str">
        <f>IF(S$7="","",IF(INDEX('Rooms Walls and Glass'!$D$53:$AB$57, MATCH($D46,'Rooms Walls and Glass'!$A$53:$A$57,0), MATCH('Unit 1 a'!S$7,'Rooms Walls and Glass'!$D$1:$AB$1,0))=0,"",INDEX('Rooms Walls and Glass'!$D$53:$AB$57, MATCH($D46,'Rooms Walls and Glass'!$A$53:$A$57,0), MATCH('Unit 1 a'!S$7,'Rooms Walls and Glass'!$D$1:$AB$1,0))))</f>
        <v/>
      </c>
      <c r="T46" s="70" t="str">
        <f t="shared" si="16"/>
        <v>-</v>
      </c>
      <c r="U46" s="66" t="str">
        <f>IF(U$7="","",IF(INDEX('Rooms Walls and Glass'!$D$53:$AB$57, MATCH($D46,'Rooms Walls and Glass'!$A$53:$A$57,0), MATCH('Unit 1 a'!U$7,'Rooms Walls and Glass'!$D$1:$AB$1,0))=0,"",INDEX('Rooms Walls and Glass'!$D$53:$AB$57, MATCH($D46,'Rooms Walls and Glass'!$A$53:$A$57,0), MATCH('Unit 1 a'!U$7,'Rooms Walls and Glass'!$D$1:$AB$1,0))))</f>
        <v/>
      </c>
      <c r="V46" s="70" t="str">
        <f t="shared" si="102"/>
        <v>-</v>
      </c>
      <c r="W46" s="66" t="str">
        <f>IF(W$7="","",IF(INDEX('Rooms Walls and Glass'!$D$53:$AB$57, MATCH($D46,'Rooms Walls and Glass'!$A$53:$A$57,0), MATCH('Unit 1 a'!W$7,'Rooms Walls and Glass'!$D$1:$AB$1,0))=0,"",INDEX('Rooms Walls and Glass'!$D$53:$AB$57, MATCH($D46,'Rooms Walls and Glass'!$A$53:$A$57,0), MATCH('Unit 1 a'!W$7,'Rooms Walls and Glass'!$D$1:$AB$1,0))))</f>
        <v/>
      </c>
      <c r="X46" s="70" t="str">
        <f t="shared" si="103"/>
        <v>-</v>
      </c>
      <c r="Y46" s="66" t="str">
        <f>IF(Y$7="","",IF(INDEX('Rooms Walls and Glass'!$D$53:$AB$57, MATCH($D46,'Rooms Walls and Glass'!$A$53:$A$57,0), MATCH('Unit 1 a'!Y$7,'Rooms Walls and Glass'!$D$1:$AB$1,0))=0,"",INDEX('Rooms Walls and Glass'!$D$53:$AB$57, MATCH($D46,'Rooms Walls and Glass'!$A$53:$A$57,0), MATCH('Unit 1 a'!Y$7,'Rooms Walls and Glass'!$D$1:$AB$1,0))))</f>
        <v/>
      </c>
      <c r="Z46" s="70" t="str">
        <f t="shared" si="104"/>
        <v>-</v>
      </c>
      <c r="AA46" s="66" t="str">
        <f>IF(AA$7="","",IF(INDEX('Rooms Walls and Glass'!$D$53:$AB$57, MATCH($D46,'Rooms Walls and Glass'!$A$53:$A$57,0), MATCH('Unit 1 a'!AA$7,'Rooms Walls and Glass'!$D$1:$AB$1,0))=0,"",INDEX('Rooms Walls and Glass'!$D$53:$AB$57, MATCH($D46,'Rooms Walls and Glass'!$A$53:$A$57,0), MATCH('Unit 1 a'!AA$7,'Rooms Walls and Glass'!$D$1:$AB$1,0))))</f>
        <v/>
      </c>
      <c r="AB46" s="70" t="str">
        <f t="shared" si="105"/>
        <v>-</v>
      </c>
      <c r="AC46" s="66" t="str">
        <f>IF(AC$7="","",IF(INDEX('Rooms Walls and Glass'!$D$53:$AB$57, MATCH($D46,'Rooms Walls and Glass'!$A$53:$A$57,0), MATCH('Unit 1 a'!AC$7,'Rooms Walls and Glass'!$D$1:$AB$1,0))=0,"",INDEX('Rooms Walls and Glass'!$D$53:$AB$57, MATCH($D46,'Rooms Walls and Glass'!$A$53:$A$57,0), MATCH('Unit 1 a'!AC$7,'Rooms Walls and Glass'!$D$1:$AB$1,0))))</f>
        <v/>
      </c>
      <c r="AD46" s="70" t="str">
        <f t="shared" ref="AD46" si="162">IF(AC46="","-",AC46*$G46)</f>
        <v>-</v>
      </c>
      <c r="AE46" s="66" t="str">
        <f>IF(AE$7="","",IF(INDEX('Rooms Walls and Glass'!$D$53:$AB$57, MATCH($D46,'Rooms Walls and Glass'!$A$53:$A$57,0), MATCH('Unit 1 a'!AE$7,'Rooms Walls and Glass'!$D$1:$AB$1,0))=0,"",INDEX('Rooms Walls and Glass'!$D$53:$AB$57, MATCH($D46,'Rooms Walls and Glass'!$A$53:$A$57,0), MATCH('Unit 1 a'!AE$7,'Rooms Walls and Glass'!$D$1:$AB$1,0))))</f>
        <v/>
      </c>
      <c r="AF46" s="70" t="str">
        <f t="shared" ref="AF46" si="163">IF(AE46="","-",AE46*$G46)</f>
        <v>-</v>
      </c>
      <c r="AG46" s="66" t="str">
        <f>IF(AG$7="","",IF(INDEX('Rooms Walls and Glass'!$D$53:$AB$57, MATCH($D46,'Rooms Walls and Glass'!$A$53:$A$57,0), MATCH('Unit 1 a'!AG$7,'Rooms Walls and Glass'!$D$1:$AB$1,0))=0,"",INDEX('Rooms Walls and Glass'!$D$53:$AB$57, MATCH($D46,'Rooms Walls and Glass'!$A$53:$A$57,0), MATCH('Unit 1 a'!AG$7,'Rooms Walls and Glass'!$D$1:$AB$1,0))))</f>
        <v/>
      </c>
      <c r="AH46" s="70" t="str">
        <f t="shared" si="106"/>
        <v>-</v>
      </c>
      <c r="AI46" s="66" t="str">
        <f>IF(AI$7="","",IF(INDEX('Rooms Walls and Glass'!$D$53:$AB$57, MATCH($D46,'Rooms Walls and Glass'!$A$53:$A$57,0), MATCH('Unit 1 a'!AI$7,'Rooms Walls and Glass'!$D$1:$AB$1,0))=0,"",INDEX('Rooms Walls and Glass'!$D$53:$AB$57, MATCH($D46,'Rooms Walls and Glass'!$A$53:$A$57,0), MATCH('Unit 1 a'!AI$7,'Rooms Walls and Glass'!$D$1:$AB$1,0))))</f>
        <v/>
      </c>
      <c r="AJ46" s="71" t="str">
        <f t="shared" si="23"/>
        <v>-</v>
      </c>
      <c r="AK46" s="66" t="str">
        <f>IF(AK$7="","",IF(INDEX('Rooms Walls and Glass'!$D$53:$AB$57, MATCH($D46,'Rooms Walls and Glass'!$A$53:$A$57,0), MATCH('Unit 1 a'!AK$7,'Rooms Walls and Glass'!$D$1:$AB$1,0))=0,"",INDEX('Rooms Walls and Glass'!$D$53:$AB$57, MATCH($D46,'Rooms Walls and Glass'!$A$53:$A$57,0), MATCH('Unit 1 a'!AK$7,'Rooms Walls and Glass'!$D$1:$AB$1,0))))</f>
        <v/>
      </c>
      <c r="AL46" s="71" t="str">
        <f t="shared" si="24"/>
        <v>-</v>
      </c>
      <c r="AM46" s="66" t="str">
        <f>IF(AM$7="","",IF(INDEX('Rooms Walls and Glass'!$D$53:$AB$57, MATCH($D46,'Rooms Walls and Glass'!$A$53:$A$57,0), MATCH('Unit 1 a'!AM$7,'Rooms Walls and Glass'!$D$1:$AB$1,0))=0,"",INDEX('Rooms Walls and Glass'!$D$53:$AB$57, MATCH($D46,'Rooms Walls and Glass'!$A$53:$A$57,0), MATCH('Unit 1 a'!AM$7,'Rooms Walls and Glass'!$D$1:$AB$1,0))))</f>
        <v/>
      </c>
      <c r="AN46" s="70" t="str">
        <f t="shared" si="25"/>
        <v>-</v>
      </c>
      <c r="AO46" s="66" t="str">
        <f>IF(AO$7="","",IF(INDEX('Rooms Walls and Glass'!$D$53:$AB$57, MATCH($D46,'Rooms Walls and Glass'!$A$53:$A$57,0), MATCH('Unit 1 a'!AO$7,'Rooms Walls and Glass'!$D$1:$AB$1,0))=0,"",INDEX('Rooms Walls and Glass'!$D$53:$AB$57, MATCH($D46,'Rooms Walls and Glass'!$A$53:$A$57,0), MATCH('Unit 1 a'!AO$7,'Rooms Walls and Glass'!$D$1:$AB$1,0))))</f>
        <v/>
      </c>
      <c r="AP46" s="71" t="str">
        <f t="shared" si="26"/>
        <v>-</v>
      </c>
    </row>
    <row r="47" spans="2:42" ht="11.25" customHeight="1" thickBot="1" x14ac:dyDescent="0.2">
      <c r="B47" s="238" t="s">
        <v>76</v>
      </c>
      <c r="C47" s="13"/>
      <c r="D47" s="231" t="s">
        <v>53</v>
      </c>
      <c r="E47" s="225"/>
      <c r="F47" s="226"/>
      <c r="G47" s="14">
        <v>255</v>
      </c>
      <c r="H47" s="13" t="s">
        <v>6</v>
      </c>
      <c r="I47" s="65">
        <f t="shared" si="10"/>
        <v>4</v>
      </c>
      <c r="J47" s="65">
        <f t="shared" si="97"/>
        <v>1020</v>
      </c>
      <c r="K47" s="66" t="str">
        <f>IF(K$7="","",IF(INDEX('Rooms Walls and Glass'!$D$3:$AB$4, MATCH($D47,'Rooms Walls and Glass'!$A$3:$A$4,0), MATCH('Unit 1 a'!K$7,'Rooms Walls and Glass'!$D$1:$AB$1,0))=0,"",INDEX('Rooms Walls and Glass'!$D$3:$AB$4, MATCH($D47,'Rooms Walls and Glass'!$A$3:$A$4,0), MATCH('Unit 1 a'!K$7,'Rooms Walls and Glass'!$D$1:$AB$1,0))))</f>
        <v/>
      </c>
      <c r="L47" s="65" t="str">
        <f t="shared" si="98"/>
        <v>-</v>
      </c>
      <c r="M47" s="66">
        <f>IF(M$7="","",IF(INDEX('Rooms Walls and Glass'!$D$3:$AB$4, MATCH($D47,'Rooms Walls and Glass'!$A$3:$A$4,0), MATCH('Unit 1 a'!M$7,'Rooms Walls and Glass'!$D$1:$AB$1,0))=0,"",INDEX('Rooms Walls and Glass'!$D$3:$AB$4, MATCH($D47,'Rooms Walls and Glass'!$A$3:$A$4,0), MATCH('Unit 1 a'!M$7,'Rooms Walls and Glass'!$D$1:$AB$1,0))))</f>
        <v>1</v>
      </c>
      <c r="N47" s="65">
        <f t="shared" si="99"/>
        <v>255</v>
      </c>
      <c r="O47" s="66">
        <f>IF(O$7="","",IF(INDEX('Rooms Walls and Glass'!$D$3:$AB$4, MATCH($D47,'Rooms Walls and Glass'!$A$3:$A$4,0), MATCH('Unit 1 a'!O$7,'Rooms Walls and Glass'!$D$1:$AB$1,0))=0,"",INDEX('Rooms Walls and Glass'!$D$3:$AB$4, MATCH($D47,'Rooms Walls and Glass'!$A$3:$A$4,0), MATCH('Unit 1 a'!O$7,'Rooms Walls and Glass'!$D$1:$AB$1,0))))</f>
        <v>1</v>
      </c>
      <c r="P47" s="65">
        <f t="shared" si="100"/>
        <v>255</v>
      </c>
      <c r="Q47" s="66" t="str">
        <f>IF(Q$7="","",IF(INDEX('Rooms Walls and Glass'!$D$3:$AB$4, MATCH($D47,'Rooms Walls and Glass'!$A$3:$A$4,0), MATCH('Unit 1 a'!Q$7,'Rooms Walls and Glass'!$D$1:$AB$1,0))=0,"",INDEX('Rooms Walls and Glass'!$D$3:$AB$4, MATCH($D47,'Rooms Walls and Glass'!$A$3:$A$4,0), MATCH('Unit 1 a'!Q$7,'Rooms Walls and Glass'!$D$1:$AB$1,0))))</f>
        <v/>
      </c>
      <c r="R47" s="65" t="str">
        <f t="shared" si="101"/>
        <v>-</v>
      </c>
      <c r="S47" s="66" t="str">
        <f>IF(S$7="","",IF(INDEX('Rooms Walls and Glass'!$D$3:$AB$4, MATCH($D47,'Rooms Walls and Glass'!$A$3:$A$4,0), MATCH('Unit 1 a'!S$7,'Rooms Walls and Glass'!$D$1:$AB$1,0))=0,"",INDEX('Rooms Walls and Glass'!$D$3:$AB$4, MATCH($D47,'Rooms Walls and Glass'!$A$3:$A$4,0), MATCH('Unit 1 a'!S$7,'Rooms Walls and Glass'!$D$1:$AB$1,0))))</f>
        <v/>
      </c>
      <c r="T47" s="65" t="str">
        <f t="shared" si="16"/>
        <v>-</v>
      </c>
      <c r="U47" s="66" t="str">
        <f>IF(U$7="","",IF(INDEX('Rooms Walls and Glass'!$D$3:$AB$4, MATCH($D47,'Rooms Walls and Glass'!$A$3:$A$4,0), MATCH('Unit 1 a'!U$7,'Rooms Walls and Glass'!$D$1:$AB$1,0))=0,"",INDEX('Rooms Walls and Glass'!$D$3:$AB$4, MATCH($D47,'Rooms Walls and Glass'!$A$3:$A$4,0), MATCH('Unit 1 a'!U$7,'Rooms Walls and Glass'!$D$1:$AB$1,0))))</f>
        <v/>
      </c>
      <c r="V47" s="65" t="str">
        <f t="shared" si="102"/>
        <v>-</v>
      </c>
      <c r="W47" s="66">
        <f>IF(W$7="","",IF(INDEX('Rooms Walls and Glass'!$D$3:$AB$4, MATCH($D47,'Rooms Walls and Glass'!$A$3:$A$4,0), MATCH('Unit 1 a'!W$7,'Rooms Walls and Glass'!$D$1:$AB$1,0))=0,"",INDEX('Rooms Walls and Glass'!$D$3:$AB$4, MATCH($D47,'Rooms Walls and Glass'!$A$3:$A$4,0), MATCH('Unit 1 a'!W$7,'Rooms Walls and Glass'!$D$1:$AB$1,0))))</f>
        <v>1</v>
      </c>
      <c r="X47" s="65">
        <f t="shared" si="103"/>
        <v>255</v>
      </c>
      <c r="Y47" s="66" t="str">
        <f>IF(Y$7="","",IF(INDEX('Rooms Walls and Glass'!$D$3:$AB$4, MATCH($D47,'Rooms Walls and Glass'!$A$3:$A$4,0), MATCH('Unit 1 a'!Y$7,'Rooms Walls and Glass'!$D$1:$AB$1,0))=0,"",INDEX('Rooms Walls and Glass'!$D$3:$AB$4, MATCH($D47,'Rooms Walls and Glass'!$A$3:$A$4,0), MATCH('Unit 1 a'!Y$7,'Rooms Walls and Glass'!$D$1:$AB$1,0))))</f>
        <v/>
      </c>
      <c r="Z47" s="65" t="str">
        <f t="shared" si="104"/>
        <v>-</v>
      </c>
      <c r="AA47" s="66">
        <f>IF(AA$7="","",IF(INDEX('Rooms Walls and Glass'!$D$3:$AB$4, MATCH($D47,'Rooms Walls and Glass'!$A$3:$A$4,0), MATCH('Unit 1 a'!AA$7,'Rooms Walls and Glass'!$D$1:$AB$1,0))=0,"",INDEX('Rooms Walls and Glass'!$D$3:$AB$4, MATCH($D47,'Rooms Walls and Glass'!$A$3:$A$4,0), MATCH('Unit 1 a'!AA$7,'Rooms Walls and Glass'!$D$1:$AB$1,0))))</f>
        <v>1</v>
      </c>
      <c r="AB47" s="65">
        <f t="shared" si="105"/>
        <v>255</v>
      </c>
      <c r="AC47" s="66" t="str">
        <f>IF(AC$7="","",IF(INDEX('Rooms Walls and Glass'!$D$3:$AB$4, MATCH($D47,'Rooms Walls and Glass'!$A$3:$A$4,0), MATCH('Unit 1 a'!AC$7,'Rooms Walls and Glass'!$D$1:$AB$1,0))=0,"",INDEX('Rooms Walls and Glass'!$D$3:$AB$4, MATCH($D47,'Rooms Walls and Glass'!$A$3:$A$4,0), MATCH('Unit 1 a'!AC$7,'Rooms Walls and Glass'!$D$1:$AB$1,0))))</f>
        <v/>
      </c>
      <c r="AD47" s="65" t="str">
        <f t="shared" ref="AD47" si="164">IF(AC47="","-",AC47*$G47)</f>
        <v>-</v>
      </c>
      <c r="AE47" s="66" t="str">
        <f>IF(AE$7="","",IF(INDEX('Rooms Walls and Glass'!$D$3:$AB$4, MATCH($D47,'Rooms Walls and Glass'!$A$3:$A$4,0), MATCH('Unit 1 a'!AE$7,'Rooms Walls and Glass'!$D$1:$AB$1,0))=0,"",INDEX('Rooms Walls and Glass'!$D$3:$AB$4, MATCH($D47,'Rooms Walls and Glass'!$A$3:$A$4,0), MATCH('Unit 1 a'!AE$7,'Rooms Walls and Glass'!$D$1:$AB$1,0))))</f>
        <v/>
      </c>
      <c r="AF47" s="65" t="str">
        <f t="shared" ref="AF47" si="165">IF(AE47="","-",AE47*$G47)</f>
        <v>-</v>
      </c>
      <c r="AG47" s="66" t="str">
        <f>IF(AG$7="","",IF(INDEX('Rooms Walls and Glass'!$D$3:$AB$4, MATCH($D47,'Rooms Walls and Glass'!$A$3:$A$4,0), MATCH('Unit 1 a'!AG$7,'Rooms Walls and Glass'!$D$1:$AB$1,0))=0,"",INDEX('Rooms Walls and Glass'!$D$3:$AB$4, MATCH($D47,'Rooms Walls and Glass'!$A$3:$A$4,0), MATCH('Unit 1 a'!AG$7,'Rooms Walls and Glass'!$D$1:$AB$1,0))))</f>
        <v/>
      </c>
      <c r="AH47" s="65" t="str">
        <f t="shared" si="106"/>
        <v>-</v>
      </c>
      <c r="AI47" s="66" t="str">
        <f>IF(AI$7="","",IF(INDEX('Rooms Walls and Glass'!$D$3:$AB$4, MATCH($D47,'Rooms Walls and Glass'!$A$3:$A$4,0), MATCH('Unit 1 a'!AI$7,'Rooms Walls and Glass'!$D$1:$AB$1,0))=0,"",INDEX('Rooms Walls and Glass'!$D$3:$AB$4, MATCH($D47,'Rooms Walls and Glass'!$A$3:$A$4,0), MATCH('Unit 1 a'!AI$7,'Rooms Walls and Glass'!$D$1:$AB$1,0))))</f>
        <v/>
      </c>
      <c r="AJ47" s="67" t="str">
        <f t="shared" si="23"/>
        <v>-</v>
      </c>
      <c r="AK47" s="66" t="str">
        <f>IF(AK$7="","",IF(INDEX('Rooms Walls and Glass'!$D$3:$AB$4, MATCH($D47,'Rooms Walls and Glass'!$A$3:$A$4,0), MATCH('Unit 1 a'!AK$7,'Rooms Walls and Glass'!$D$1:$AB$1,0))=0,"",INDEX('Rooms Walls and Glass'!$D$3:$AB$4, MATCH($D47,'Rooms Walls and Glass'!$A$3:$A$4,0), MATCH('Unit 1 a'!AK$7,'Rooms Walls and Glass'!$D$1:$AB$1,0))))</f>
        <v/>
      </c>
      <c r="AL47" s="67" t="str">
        <f t="shared" si="24"/>
        <v>-</v>
      </c>
      <c r="AM47" s="66" t="str">
        <f>IF(AM$7="","",IF(INDEX('Rooms Walls and Glass'!$D$3:$AB$4, MATCH($D47,'Rooms Walls and Glass'!$A$3:$A$4,0), MATCH('Unit 1 a'!AM$7,'Rooms Walls and Glass'!$D$1:$AB$1,0))=0,"",INDEX('Rooms Walls and Glass'!$D$3:$AB$4, MATCH($D47,'Rooms Walls and Glass'!$A$3:$A$4,0), MATCH('Unit 1 a'!AM$7,'Rooms Walls and Glass'!$D$1:$AB$1,0))))</f>
        <v/>
      </c>
      <c r="AN47" s="65" t="str">
        <f t="shared" si="25"/>
        <v>-</v>
      </c>
      <c r="AO47" s="66" t="str">
        <f>IF(AO$7="","",IF(INDEX('Rooms Walls and Glass'!$D$3:$AB$4, MATCH($D47,'Rooms Walls and Glass'!$A$3:$A$4,0), MATCH('Unit 1 a'!AO$7,'Rooms Walls and Glass'!$D$1:$AB$1,0))=0,"",INDEX('Rooms Walls and Glass'!$D$3:$AB$4, MATCH($D47,'Rooms Walls and Glass'!$A$3:$A$4,0), MATCH('Unit 1 a'!AO$7,'Rooms Walls and Glass'!$D$1:$AB$1,0))))</f>
        <v/>
      </c>
      <c r="AP47" s="67" t="str">
        <f t="shared" si="26"/>
        <v>-</v>
      </c>
    </row>
    <row r="48" spans="2:42" ht="11.25" customHeight="1" thickBot="1" x14ac:dyDescent="0.2">
      <c r="B48" s="239"/>
      <c r="C48" s="16"/>
      <c r="D48" s="232" t="s">
        <v>235</v>
      </c>
      <c r="E48" s="233"/>
      <c r="F48" s="234"/>
      <c r="G48" s="16">
        <v>3.4129999999999998</v>
      </c>
      <c r="H48" s="16" t="s">
        <v>6</v>
      </c>
      <c r="I48" s="65">
        <f t="shared" si="10"/>
        <v>199.5</v>
      </c>
      <c r="J48" s="68">
        <f>SUM(L48,N48,P48,R48,T48,V48,X48,Z48,AB48,AD48,AF48,AH48,AJ48,AN48,AP48,AL48)</f>
        <v>682.6</v>
      </c>
      <c r="K48" s="72" t="str">
        <f>IF(SUM(K44:K46)/2=0,"",SUM(K44:K46)/2)</f>
        <v/>
      </c>
      <c r="L48" s="68" t="str">
        <f>IF(K48="","-",ROUND(K48,0)*$G48)</f>
        <v>-</v>
      </c>
      <c r="M48" s="72" t="str">
        <f>IF(SUM(M44:M46)/2=0,"",SUM(M44:M46)/2)</f>
        <v/>
      </c>
      <c r="N48" s="68" t="str">
        <f>IF(M48="","-",ROUND(M48,0)*$G48)</f>
        <v>-</v>
      </c>
      <c r="O48" s="72">
        <f>IF(SUM(O44:O46)/2=0,"",SUM(O44:O46)/2)</f>
        <v>185.5</v>
      </c>
      <c r="P48" s="68">
        <f>IF(O48="","-",ROUND(O48,0)*$G48)</f>
        <v>634.81799999999998</v>
      </c>
      <c r="Q48" s="72">
        <f>IF(SUM(Q44:Q46)/2=0,"",SUM(Q44:Q46)/2)</f>
        <v>14</v>
      </c>
      <c r="R48" s="68">
        <f>IF(Q48="","-",ROUND(Q48,0)*$G48)</f>
        <v>47.781999999999996</v>
      </c>
      <c r="S48" s="72" t="str">
        <f>IF(SUM(S44:S46)/2=0,"",SUM(S44:S46)/2)</f>
        <v/>
      </c>
      <c r="T48" s="68" t="str">
        <f>IF(S48="","-",ROUND(S48,0)*$G48)</f>
        <v>-</v>
      </c>
      <c r="U48" s="72" t="str">
        <f>IF(SUM(U44:U46)/2=0,"",SUM(U44:U46)/2)</f>
        <v/>
      </c>
      <c r="V48" s="68" t="str">
        <f>IF(U48="","-",ROUND(U48,0)*$G48)</f>
        <v>-</v>
      </c>
      <c r="W48" s="72" t="str">
        <f>IF(SUM(W44:W46)/2=0,"",SUM(W44:W46)/2)</f>
        <v/>
      </c>
      <c r="X48" s="68" t="str">
        <f>IF(W48="","-",ROUND(W48,0)*$G48)</f>
        <v>-</v>
      </c>
      <c r="Y48" s="72" t="str">
        <f>IF(SUM(Y44:Y46)/2=0,"",SUM(Y44:Y46)/2)</f>
        <v/>
      </c>
      <c r="Z48" s="68" t="str">
        <f>IF(Y48="","-",ROUND(Y48,0)*$G48)</f>
        <v>-</v>
      </c>
      <c r="AA48" s="72" t="str">
        <f>IF(SUM(AA44:AA46)/2=0,"",SUM(AA44:AA46)/2)</f>
        <v/>
      </c>
      <c r="AB48" s="68" t="str">
        <f>IF(AA48="","-",ROUND(AA48,0)*$G48)</f>
        <v>-</v>
      </c>
      <c r="AC48" s="72" t="str">
        <f>IF(SUM(AC44:AC46)/2=0,"",SUM(AC44:AC46)/2)</f>
        <v/>
      </c>
      <c r="AD48" s="68" t="str">
        <f>IF(AC48="","-",ROUND(AC48,0)*$G48)</f>
        <v>-</v>
      </c>
      <c r="AE48" s="72" t="str">
        <f>IF(SUM(AE44:AE46)/2=0,"",SUM(AE44:AE46)/2)</f>
        <v/>
      </c>
      <c r="AF48" s="68" t="str">
        <f>IF(AE48="","-",ROUND(AE48,0)*$G48)</f>
        <v>-</v>
      </c>
      <c r="AG48" s="72" t="str">
        <f>IF(SUM(AG44:AG46)/2=0,"",SUM(AG44:AG46)/2)</f>
        <v/>
      </c>
      <c r="AH48" s="68" t="str">
        <f>IF(AG48="","-",ROUND(AG48,0)*$G48)</f>
        <v>-</v>
      </c>
      <c r="AI48" s="72" t="str">
        <f>IF(SUM(AI44:AI46)/2=0,"",SUM(AI44:AI46)/2)</f>
        <v/>
      </c>
      <c r="AJ48" s="68" t="str">
        <f>IF(AI48="","-",ROUND(AI48,0)*$G48)</f>
        <v>-</v>
      </c>
      <c r="AK48" s="72" t="str">
        <f>IF(SUM(AK44:AK46)/2=0,"",SUM(AK44:AK46)/2)</f>
        <v/>
      </c>
      <c r="AL48" s="68" t="str">
        <f>IF(AK48="","-",ROUND(AK48,0)*$G48)</f>
        <v>-</v>
      </c>
      <c r="AM48" s="72" t="str">
        <f>IF(SUM(AM44:AM46)/2=0,"",SUM(AM44:AM46)/2)</f>
        <v/>
      </c>
      <c r="AN48" s="68" t="str">
        <f>IF(AM48="","-",ROUND(AM48,0)*$G48)</f>
        <v>-</v>
      </c>
      <c r="AO48" s="72" t="str">
        <f>IF(SUM(AO44:AO46)/2=0,"",SUM(AO44:AO46)/2)</f>
        <v/>
      </c>
      <c r="AP48" s="68" t="str">
        <f>IF(AO48="","-",ROUND(AO48,0)*$G48)</f>
        <v>-</v>
      </c>
    </row>
    <row r="49" spans="2:42" ht="11.25" customHeight="1" thickBot="1" x14ac:dyDescent="0.2">
      <c r="B49" s="240"/>
      <c r="C49" s="11"/>
      <c r="D49" s="232" t="s">
        <v>236</v>
      </c>
      <c r="E49" s="233"/>
      <c r="F49" s="234"/>
      <c r="G49" s="11">
        <v>3.4129999999999998</v>
      </c>
      <c r="H49" s="20" t="s">
        <v>6</v>
      </c>
      <c r="I49" s="65">
        <f t="shared" si="10"/>
        <v>450</v>
      </c>
      <c r="J49" s="70">
        <f t="shared" si="97"/>
        <v>1535.85</v>
      </c>
      <c r="K49" s="66" t="str">
        <f>IF(K$7="","",IF(INDEX('Rooms Walls and Glass'!$D$3:$AB$4, MATCH($D49,'Rooms Walls and Glass'!$A$3:$A$4,0), MATCH('Unit 1 a'!K$7,'Rooms Walls and Glass'!$D$1:$AB$1,0))=0,"",INDEX('Rooms Walls and Glass'!$D$3:$AB$4, MATCH($D49,'Rooms Walls and Glass'!$A$3:$A$4,0), MATCH('Unit 1 a'!K$7,'Rooms Walls and Glass'!$D$1:$AB$1,0))))</f>
        <v/>
      </c>
      <c r="L49" s="70" t="str">
        <f t="shared" si="98"/>
        <v>-</v>
      </c>
      <c r="M49" s="66">
        <f>IF(M$7="","",IF(INDEX('Rooms Walls and Glass'!$D$3:$AB$4, MATCH($D49,'Rooms Walls and Glass'!$A$3:$A$4,0), MATCH('Unit 1 a'!M$7,'Rooms Walls and Glass'!$D$1:$AB$1,0))=0,"",INDEX('Rooms Walls and Glass'!$D$3:$AB$4, MATCH($D49,'Rooms Walls and Glass'!$A$3:$A$4,0), MATCH('Unit 1 a'!M$7,'Rooms Walls and Glass'!$D$1:$AB$1,0))))</f>
        <v>250</v>
      </c>
      <c r="N49" s="70">
        <f t="shared" si="99"/>
        <v>853.25</v>
      </c>
      <c r="O49" s="66" t="str">
        <f>IF(O$7="","",IF(INDEX('Rooms Walls and Glass'!$D$3:$AB$4, MATCH($D49,'Rooms Walls and Glass'!$A$3:$A$4,0), MATCH('Unit 1 a'!O$7,'Rooms Walls and Glass'!$D$1:$AB$1,0))=0,"",INDEX('Rooms Walls and Glass'!$D$3:$AB$4, MATCH($D49,'Rooms Walls and Glass'!$A$3:$A$4,0), MATCH('Unit 1 a'!O$7,'Rooms Walls and Glass'!$D$1:$AB$1,0))))</f>
        <v/>
      </c>
      <c r="P49" s="70" t="str">
        <f t="shared" si="100"/>
        <v>-</v>
      </c>
      <c r="Q49" s="66" t="str">
        <f>IF(Q$7="","",IF(INDEX('Rooms Walls and Glass'!$D$3:$AB$4, MATCH($D49,'Rooms Walls and Glass'!$A$3:$A$4,0), MATCH('Unit 1 a'!Q$7,'Rooms Walls and Glass'!$D$1:$AB$1,0))=0,"",INDEX('Rooms Walls and Glass'!$D$3:$AB$4, MATCH($D49,'Rooms Walls and Glass'!$A$3:$A$4,0), MATCH('Unit 1 a'!Q$7,'Rooms Walls and Glass'!$D$1:$AB$1,0))))</f>
        <v/>
      </c>
      <c r="R49" s="70" t="str">
        <f t="shared" si="101"/>
        <v>-</v>
      </c>
      <c r="S49" s="66" t="str">
        <f>IF(S$7="","",IF(INDEX('Rooms Walls and Glass'!$D$3:$AB$4, MATCH($D49,'Rooms Walls and Glass'!$A$3:$A$4,0), MATCH('Unit 1 a'!S$7,'Rooms Walls and Glass'!$D$1:$AB$1,0))=0,"",INDEX('Rooms Walls and Glass'!$D$3:$AB$4, MATCH($D49,'Rooms Walls and Glass'!$A$3:$A$4,0), MATCH('Unit 1 a'!S$7,'Rooms Walls and Glass'!$D$1:$AB$1,0))))</f>
        <v/>
      </c>
      <c r="T49" s="70" t="str">
        <f t="shared" si="16"/>
        <v>-</v>
      </c>
      <c r="U49" s="66" t="str">
        <f>IF(U$7="","",IF(INDEX('Rooms Walls and Glass'!$D$3:$AB$4, MATCH($D49,'Rooms Walls and Glass'!$A$3:$A$4,0), MATCH('Unit 1 a'!U$7,'Rooms Walls and Glass'!$D$1:$AB$1,0))=0,"",INDEX('Rooms Walls and Glass'!$D$3:$AB$4, MATCH($D49,'Rooms Walls and Glass'!$A$3:$A$4,0), MATCH('Unit 1 a'!U$7,'Rooms Walls and Glass'!$D$1:$AB$1,0))))</f>
        <v/>
      </c>
      <c r="V49" s="70" t="str">
        <f t="shared" si="102"/>
        <v>-</v>
      </c>
      <c r="W49" s="66" t="str">
        <f>IF(W$7="","",IF(INDEX('Rooms Walls and Glass'!$D$3:$AB$4, MATCH($D49,'Rooms Walls and Glass'!$A$3:$A$4,0), MATCH('Unit 1 a'!W$7,'Rooms Walls and Glass'!$D$1:$AB$1,0))=0,"",INDEX('Rooms Walls and Glass'!$D$3:$AB$4, MATCH($D49,'Rooms Walls and Glass'!$A$3:$A$4,0), MATCH('Unit 1 a'!W$7,'Rooms Walls and Glass'!$D$1:$AB$1,0))))</f>
        <v/>
      </c>
      <c r="X49" s="70" t="str">
        <f t="shared" si="103"/>
        <v>-</v>
      </c>
      <c r="Y49" s="66" t="str">
        <f>IF(Y$7="","",IF(INDEX('Rooms Walls and Glass'!$D$3:$AB$4, MATCH($D49,'Rooms Walls and Glass'!$A$3:$A$4,0), MATCH('Unit 1 a'!Y$7,'Rooms Walls and Glass'!$D$1:$AB$1,0))=0,"",INDEX('Rooms Walls and Glass'!$D$3:$AB$4, MATCH($D49,'Rooms Walls and Glass'!$A$3:$A$4,0), MATCH('Unit 1 a'!Y$7,'Rooms Walls and Glass'!$D$1:$AB$1,0))))</f>
        <v/>
      </c>
      <c r="Z49" s="70" t="str">
        <f t="shared" si="104"/>
        <v>-</v>
      </c>
      <c r="AA49" s="66" t="str">
        <f>IF(AA$7="","",IF(INDEX('Rooms Walls and Glass'!$D$3:$AB$4, MATCH($D49,'Rooms Walls and Glass'!$A$3:$A$4,0), MATCH('Unit 1 a'!AA$7,'Rooms Walls and Glass'!$D$1:$AB$1,0))=0,"",INDEX('Rooms Walls and Glass'!$D$3:$AB$4, MATCH($D49,'Rooms Walls and Glass'!$A$3:$A$4,0), MATCH('Unit 1 a'!AA$7,'Rooms Walls and Glass'!$D$1:$AB$1,0))))</f>
        <v/>
      </c>
      <c r="AB49" s="70" t="str">
        <f t="shared" si="105"/>
        <v>-</v>
      </c>
      <c r="AC49" s="66" t="str">
        <f>IF(AC$7="","",IF(INDEX('Rooms Walls and Glass'!$D$3:$AB$4, MATCH($D49,'Rooms Walls and Glass'!$A$3:$A$4,0), MATCH('Unit 1 a'!AC$7,'Rooms Walls and Glass'!$D$1:$AB$1,0))=0,"",INDEX('Rooms Walls and Glass'!$D$3:$AB$4, MATCH($D49,'Rooms Walls and Glass'!$A$3:$A$4,0), MATCH('Unit 1 a'!AC$7,'Rooms Walls and Glass'!$D$1:$AB$1,0))))</f>
        <v/>
      </c>
      <c r="AD49" s="70" t="str">
        <f t="shared" ref="AD49" si="166">IF(AC49="","-",AC49*$G49)</f>
        <v>-</v>
      </c>
      <c r="AE49" s="66">
        <f>IF(AE$7="","",IF(INDEX('Rooms Walls and Glass'!$D$3:$AB$4, MATCH($D49,'Rooms Walls and Glass'!$A$3:$A$4,0), MATCH('Unit 1 a'!AE$7,'Rooms Walls and Glass'!$D$1:$AB$1,0))=0,"",INDEX('Rooms Walls and Glass'!$D$3:$AB$4, MATCH($D49,'Rooms Walls and Glass'!$A$3:$A$4,0), MATCH('Unit 1 a'!AE$7,'Rooms Walls and Glass'!$D$1:$AB$1,0))))</f>
        <v>200</v>
      </c>
      <c r="AF49" s="70">
        <f t="shared" ref="AF49" si="167">IF(AE49="","-",AE49*$G49)</f>
        <v>682.59999999999991</v>
      </c>
      <c r="AG49" s="66" t="str">
        <f>IF(AG$7="","",IF(INDEX('Rooms Walls and Glass'!$D$3:$AB$4, MATCH($D49,'Rooms Walls and Glass'!$A$3:$A$4,0), MATCH('Unit 1 a'!AG$7,'Rooms Walls and Glass'!$D$1:$AB$1,0))=0,"",INDEX('Rooms Walls and Glass'!$D$3:$AB$4, MATCH($D49,'Rooms Walls and Glass'!$A$3:$A$4,0), MATCH('Unit 1 a'!AG$7,'Rooms Walls and Glass'!$D$1:$AB$1,0))))</f>
        <v/>
      </c>
      <c r="AH49" s="70" t="str">
        <f t="shared" si="106"/>
        <v>-</v>
      </c>
      <c r="AI49" s="66" t="str">
        <f>IF(AI$7="","",IF(INDEX('Rooms Walls and Glass'!$D$3:$AB$4, MATCH($D49,'Rooms Walls and Glass'!$A$3:$A$4,0), MATCH('Unit 1 a'!AI$7,'Rooms Walls and Glass'!$D$1:$AB$1,0))=0,"",INDEX('Rooms Walls and Glass'!$D$3:$AB$4, MATCH($D49,'Rooms Walls and Glass'!$A$3:$A$4,0), MATCH('Unit 1 a'!AI$7,'Rooms Walls and Glass'!$D$1:$AB$1,0))))</f>
        <v/>
      </c>
      <c r="AJ49" s="71" t="str">
        <f t="shared" si="23"/>
        <v>-</v>
      </c>
      <c r="AK49" s="66" t="str">
        <f>IF(AK$7="","",IF(INDEX('Rooms Walls and Glass'!$D$3:$AB$4, MATCH($D49,'Rooms Walls and Glass'!$A$3:$A$4,0), MATCH('Unit 1 a'!AK$7,'Rooms Walls and Glass'!$D$1:$AB$1,0))=0,"",INDEX('Rooms Walls and Glass'!$D$3:$AB$4, MATCH($D49,'Rooms Walls and Glass'!$A$3:$A$4,0), MATCH('Unit 1 a'!AK$7,'Rooms Walls and Glass'!$D$1:$AB$1,0))))</f>
        <v/>
      </c>
      <c r="AL49" s="71" t="str">
        <f t="shared" ref="AL49" si="168">IF(AK49="","-",AK49*$G49)</f>
        <v>-</v>
      </c>
      <c r="AM49" s="66" t="str">
        <f>IF(AM$7="","",IF(INDEX('Rooms Walls and Glass'!$D$3:$AB$4, MATCH($D49,'Rooms Walls and Glass'!$A$3:$A$4,0), MATCH('Unit 1 a'!AM$7,'Rooms Walls and Glass'!$D$1:$AB$1,0))=0,"",INDEX('Rooms Walls and Glass'!$D$3:$AB$4, MATCH($D49,'Rooms Walls and Glass'!$A$3:$A$4,0), MATCH('Unit 1 a'!AM$7,'Rooms Walls and Glass'!$D$1:$AB$1,0))))</f>
        <v/>
      </c>
      <c r="AN49" s="70" t="str">
        <f t="shared" ref="AN49" si="169">IF(AM49="","-",AM49*$G49)</f>
        <v>-</v>
      </c>
      <c r="AO49" s="66" t="str">
        <f>IF(AO$7="","",IF(INDEX('Rooms Walls and Glass'!$D$3:$AB$4, MATCH($D49,'Rooms Walls and Glass'!$A$3:$A$4,0), MATCH('Unit 1 a'!AO$7,'Rooms Walls and Glass'!$D$1:$AB$1,0))=0,"",INDEX('Rooms Walls and Glass'!$D$3:$AB$4, MATCH($D49,'Rooms Walls and Glass'!$A$3:$A$4,0), MATCH('Unit 1 a'!AO$7,'Rooms Walls and Glass'!$D$1:$AB$1,0))))</f>
        <v/>
      </c>
      <c r="AP49" s="71" t="str">
        <f t="shared" ref="AP49" si="170">IF(AO49="","-",AO49*$G49)</f>
        <v>-</v>
      </c>
    </row>
    <row r="50" spans="2:42" ht="11.25" customHeight="1" thickBot="1" x14ac:dyDescent="0.2">
      <c r="B50" s="242" t="s">
        <v>54</v>
      </c>
      <c r="C50" s="233"/>
      <c r="D50" s="233"/>
      <c r="E50" s="233"/>
      <c r="F50" s="234"/>
      <c r="G50" s="21"/>
      <c r="H50" s="22" t="s">
        <v>57</v>
      </c>
      <c r="I50" s="65">
        <f t="shared" si="10"/>
        <v>13105</v>
      </c>
      <c r="J50" s="74">
        <f>IF(I50="","-",I50*$G50)</f>
        <v>0</v>
      </c>
      <c r="K50" s="75">
        <f>SUM(K42:K43)*K6</f>
        <v>1385.5</v>
      </c>
      <c r="L50" s="74">
        <f>IF(K50="","-",K50*$G50)</f>
        <v>0</v>
      </c>
      <c r="M50" s="75">
        <f>SUM(M42:M43)*M6</f>
        <v>2006</v>
      </c>
      <c r="N50" s="74">
        <f>IF(M50="","-",M50*$G50)</f>
        <v>0</v>
      </c>
      <c r="O50" s="75">
        <f>SUM(O42:O43)*O6</f>
        <v>3153.5</v>
      </c>
      <c r="P50" s="74">
        <f>IF(O50="","-",O50*$G50)</f>
        <v>0</v>
      </c>
      <c r="Q50" s="75">
        <f>SUM(Q42:Q43)*Q6</f>
        <v>1020</v>
      </c>
      <c r="R50" s="74">
        <f>IF(Q50="","-",Q50*$G50)</f>
        <v>0</v>
      </c>
      <c r="S50" s="75">
        <f>SUM(S42:S43)*S6</f>
        <v>756.5</v>
      </c>
      <c r="T50" s="74">
        <f>IF(S50="","-",S50*$G50)</f>
        <v>0</v>
      </c>
      <c r="U50" s="75">
        <f>SUM(U42:U43)*U6</f>
        <v>289</v>
      </c>
      <c r="V50" s="74">
        <f>IF(U50="","-",U50*$G50)</f>
        <v>0</v>
      </c>
      <c r="W50" s="75">
        <f>SUM(W42:W43)*W6</f>
        <v>1920</v>
      </c>
      <c r="X50" s="74">
        <f>IF(W50="","-",W50*$G50)</f>
        <v>0</v>
      </c>
      <c r="Y50" s="75">
        <f>SUM(Y42:Y43)*Y6</f>
        <v>527</v>
      </c>
      <c r="Z50" s="74">
        <f>IF(Y50="","-",Y50*$G50)</f>
        <v>0</v>
      </c>
      <c r="AA50" s="75">
        <f>SUM(AA42:AA43)*AA6</f>
        <v>1343</v>
      </c>
      <c r="AB50" s="74">
        <f>IF(AA50="","-",AA50*$G50)</f>
        <v>0</v>
      </c>
      <c r="AC50" s="75">
        <f>SUM(AC42:AC43)*AC6</f>
        <v>416.5</v>
      </c>
      <c r="AD50" s="74">
        <f>IF(AC50="","-",AC50*$G50)</f>
        <v>0</v>
      </c>
      <c r="AE50" s="75">
        <f>SUM(AE42:AE43)*AE6</f>
        <v>288</v>
      </c>
      <c r="AF50" s="74">
        <f>IF(AE50="","-",AE50*$G50)</f>
        <v>0</v>
      </c>
      <c r="AG50" s="75">
        <f>SUM(AG42:AG43)*AG6</f>
        <v>0</v>
      </c>
      <c r="AH50" s="74">
        <f>IF(AG50="","-",AG50*$G50)</f>
        <v>0</v>
      </c>
      <c r="AI50" s="75">
        <f>SUM(AI42:AI43)*AI6</f>
        <v>0</v>
      </c>
      <c r="AJ50" s="76">
        <f>IF(AI50="","-",AI50*$G50)</f>
        <v>0</v>
      </c>
      <c r="AK50" s="75">
        <f>SUM(AK42:AK43)*AK6</f>
        <v>0</v>
      </c>
      <c r="AL50" s="76">
        <f>IF(AK50="","-",AK50*$G50)</f>
        <v>0</v>
      </c>
      <c r="AM50" s="75">
        <f>SUM(AM42:AM43)*AM6</f>
        <v>0</v>
      </c>
      <c r="AN50" s="74">
        <f>IF(AM50="","-",AM50*$G50)</f>
        <v>0</v>
      </c>
      <c r="AO50" s="75">
        <f>SUM(AO42:AO43)*AO6</f>
        <v>0</v>
      </c>
      <c r="AP50" s="76">
        <f>IF(AO50="","-",AO50*$G50)</f>
        <v>0</v>
      </c>
    </row>
    <row r="51" spans="2:42" ht="11.25" customHeight="1" thickBot="1" x14ac:dyDescent="0.2">
      <c r="B51" s="219" t="s">
        <v>55</v>
      </c>
      <c r="C51" s="220"/>
      <c r="D51" s="220"/>
      <c r="E51" s="23">
        <f>Summary!H13</f>
        <v>0.25</v>
      </c>
      <c r="F51" s="24" t="s">
        <v>56</v>
      </c>
      <c r="G51" s="25">
        <f>IF(E51=0.25,0.09,0.13)</f>
        <v>0.09</v>
      </c>
      <c r="H51" s="26" t="s">
        <v>6</v>
      </c>
      <c r="I51" s="65">
        <f t="shared" si="10"/>
        <v>1474</v>
      </c>
      <c r="J51" s="78">
        <f>IF(I50="","-",I50*$G51)</f>
        <v>1179.45</v>
      </c>
      <c r="K51" s="79">
        <f>SUM(K42:K43)</f>
        <v>163</v>
      </c>
      <c r="L51" s="78">
        <f>K50*$G$51</f>
        <v>124.69499999999999</v>
      </c>
      <c r="M51" s="79">
        <f>SUM(M42:M43)</f>
        <v>236</v>
      </c>
      <c r="N51" s="78">
        <f>M50*$G$51</f>
        <v>180.54</v>
      </c>
      <c r="O51" s="79">
        <f>SUM(O42:O43)</f>
        <v>371</v>
      </c>
      <c r="P51" s="78">
        <f>O50*$G$51</f>
        <v>283.815</v>
      </c>
      <c r="Q51" s="79">
        <f>SUM(Q42:Q43)</f>
        <v>120</v>
      </c>
      <c r="R51" s="78">
        <f>Q50*$G$51</f>
        <v>91.8</v>
      </c>
      <c r="S51" s="79">
        <f>SUM(S42:S43)</f>
        <v>89</v>
      </c>
      <c r="T51" s="78">
        <f>S50*$G$51</f>
        <v>68.084999999999994</v>
      </c>
      <c r="U51" s="79">
        <f>SUM(U42:U43)</f>
        <v>34</v>
      </c>
      <c r="V51" s="78">
        <f>U50*$G$51</f>
        <v>26.009999999999998</v>
      </c>
      <c r="W51" s="79">
        <f>SUM(W42:W43)</f>
        <v>160</v>
      </c>
      <c r="X51" s="78">
        <f>W50*$G$51</f>
        <v>172.79999999999998</v>
      </c>
      <c r="Y51" s="79">
        <f>SUM(Y42:Y43)</f>
        <v>62</v>
      </c>
      <c r="Z51" s="78">
        <f>Y50*$G$51</f>
        <v>47.43</v>
      </c>
      <c r="AA51" s="79">
        <f>SUM(AA42:AA43)</f>
        <v>158</v>
      </c>
      <c r="AB51" s="78">
        <f>AA50*$G$51</f>
        <v>120.86999999999999</v>
      </c>
      <c r="AC51" s="79">
        <f>SUM(AC42:AC43)</f>
        <v>49</v>
      </c>
      <c r="AD51" s="78">
        <f>AC50*$G$51</f>
        <v>37.484999999999999</v>
      </c>
      <c r="AE51" s="79">
        <f>SUM(AE42:AE43)</f>
        <v>32</v>
      </c>
      <c r="AF51" s="78">
        <f>AE50*$G$51</f>
        <v>25.919999999999998</v>
      </c>
      <c r="AG51" s="79">
        <f>SUM(AG42:AG43)</f>
        <v>0</v>
      </c>
      <c r="AH51" s="78">
        <f>AG50*$G$51</f>
        <v>0</v>
      </c>
      <c r="AI51" s="79">
        <f>SUM(AI42:AI43)</f>
        <v>0</v>
      </c>
      <c r="AJ51" s="78">
        <f>AI50*$G$51</f>
        <v>0</v>
      </c>
      <c r="AK51" s="79">
        <f>SUM(AK42:AK43)</f>
        <v>0</v>
      </c>
      <c r="AL51" s="78">
        <f>AK50*$G$51</f>
        <v>0</v>
      </c>
      <c r="AM51" s="79">
        <f>SUM(AM42:AM43)</f>
        <v>0</v>
      </c>
      <c r="AN51" s="78">
        <f>AM50*$G$51</f>
        <v>0</v>
      </c>
      <c r="AO51" s="79">
        <f>SUM(AO42:AO43)</f>
        <v>0</v>
      </c>
      <c r="AP51" s="78">
        <f>AO50*$G$51</f>
        <v>0</v>
      </c>
    </row>
    <row r="52" spans="2:42" ht="11.25" customHeight="1" x14ac:dyDescent="0.15">
      <c r="B52" s="221" t="s">
        <v>58</v>
      </c>
      <c r="C52" s="222"/>
      <c r="D52" s="222"/>
      <c r="E52" s="222"/>
      <c r="F52" s="222"/>
      <c r="G52" s="222"/>
      <c r="H52" s="223"/>
      <c r="I52" s="31"/>
      <c r="J52" s="65">
        <f>SUM(J9:J51)</f>
        <v>10818.413727111112</v>
      </c>
      <c r="K52" s="80"/>
      <c r="L52" s="65">
        <f t="shared" ref="L52:AJ52" si="171">SUM(L9:L51)</f>
        <v>715.92467466666676</v>
      </c>
      <c r="M52" s="80"/>
      <c r="N52" s="65">
        <f t="shared" si="171"/>
        <v>2299.8244666666665</v>
      </c>
      <c r="O52" s="80"/>
      <c r="P52" s="65">
        <f t="shared" si="171"/>
        <v>2993.0999546666667</v>
      </c>
      <c r="Q52" s="80"/>
      <c r="R52" s="65">
        <f t="shared" si="171"/>
        <v>681.06063111111109</v>
      </c>
      <c r="S52" s="80"/>
      <c r="T52" s="65">
        <f t="shared" si="171"/>
        <v>295.60899999999998</v>
      </c>
      <c r="U52" s="80"/>
      <c r="V52" s="65">
        <f t="shared" si="171"/>
        <v>121.523</v>
      </c>
      <c r="W52" s="80"/>
      <c r="X52" s="65">
        <f t="shared" si="171"/>
        <v>1353.896</v>
      </c>
      <c r="Y52" s="80"/>
      <c r="Z52" s="65">
        <f t="shared" si="171"/>
        <v>204.00400000000002</v>
      </c>
      <c r="AA52" s="80"/>
      <c r="AB52" s="65">
        <f t="shared" si="171"/>
        <v>1291.6369999999999</v>
      </c>
      <c r="AC52" s="80"/>
      <c r="AD52" s="65">
        <f t="shared" si="171"/>
        <v>107.55499999999999</v>
      </c>
      <c r="AE52" s="80"/>
      <c r="AF52" s="65">
        <f t="shared" si="171"/>
        <v>754.27999999999986</v>
      </c>
      <c r="AG52" s="80"/>
      <c r="AH52" s="65">
        <f t="shared" si="171"/>
        <v>0</v>
      </c>
      <c r="AI52" s="80"/>
      <c r="AJ52" s="67">
        <f t="shared" si="171"/>
        <v>0</v>
      </c>
      <c r="AK52" s="80"/>
      <c r="AL52" s="67">
        <f t="shared" ref="AL52" si="172">SUM(AL9:AL51)</f>
        <v>0</v>
      </c>
      <c r="AM52" s="80"/>
      <c r="AN52" s="65">
        <f t="shared" ref="AN52" si="173">SUM(AN9:AN51)</f>
        <v>0</v>
      </c>
      <c r="AO52" s="80"/>
      <c r="AP52" s="67">
        <f t="shared" ref="AP52" si="174">SUM(AP9:AP51)</f>
        <v>0</v>
      </c>
    </row>
    <row r="53" spans="2:42" ht="11.25" customHeight="1" thickBot="1" x14ac:dyDescent="0.2">
      <c r="B53" s="215" t="s">
        <v>59</v>
      </c>
      <c r="C53" s="216"/>
      <c r="D53" s="216"/>
      <c r="E53" s="216"/>
      <c r="F53" s="216"/>
      <c r="G53" s="27">
        <v>0.1</v>
      </c>
      <c r="H53" s="28"/>
      <c r="I53" s="81"/>
      <c r="J53" s="70">
        <f>G53*J52</f>
        <v>1081.8413727111113</v>
      </c>
      <c r="K53" s="82"/>
      <c r="L53" s="83" t="str">
        <f t="shared" si="98"/>
        <v>-</v>
      </c>
      <c r="M53" s="82"/>
      <c r="N53" s="83" t="str">
        <f t="shared" si="99"/>
        <v>-</v>
      </c>
      <c r="O53" s="82"/>
      <c r="P53" s="83" t="str">
        <f t="shared" si="100"/>
        <v>-</v>
      </c>
      <c r="Q53" s="82"/>
      <c r="R53" s="83" t="str">
        <f t="shared" si="101"/>
        <v>-</v>
      </c>
      <c r="S53" s="82"/>
      <c r="T53" s="83" t="str">
        <f t="shared" si="16"/>
        <v>-</v>
      </c>
      <c r="U53" s="82"/>
      <c r="V53" s="83" t="str">
        <f t="shared" si="102"/>
        <v>-</v>
      </c>
      <c r="W53" s="82"/>
      <c r="X53" s="83" t="str">
        <f t="shared" si="103"/>
        <v>-</v>
      </c>
      <c r="Y53" s="82"/>
      <c r="Z53" s="83" t="str">
        <f t="shared" si="104"/>
        <v>-</v>
      </c>
      <c r="AA53" s="82"/>
      <c r="AB53" s="83" t="str">
        <f t="shared" si="105"/>
        <v>-</v>
      </c>
      <c r="AC53" s="82"/>
      <c r="AD53" s="83" t="str">
        <f t="shared" ref="AD53" si="175">IF(AC53="","-",AC53*$G53)</f>
        <v>-</v>
      </c>
      <c r="AE53" s="82"/>
      <c r="AF53" s="83" t="str">
        <f t="shared" ref="AF53" si="176">IF(AE53="","-",AE53*$G53)</f>
        <v>-</v>
      </c>
      <c r="AG53" s="82"/>
      <c r="AH53" s="83" t="str">
        <f t="shared" si="106"/>
        <v>-</v>
      </c>
      <c r="AI53" s="82"/>
      <c r="AJ53" s="84" t="str">
        <f t="shared" si="23"/>
        <v>-</v>
      </c>
      <c r="AK53" s="82"/>
      <c r="AL53" s="84" t="str">
        <f t="shared" ref="AL53:AL55" si="177">IF(AK53="","-",AK53*$G53)</f>
        <v>-</v>
      </c>
      <c r="AM53" s="82"/>
      <c r="AN53" s="83" t="str">
        <f t="shared" ref="AN53:AN55" si="178">IF(AM53="","-",AM53*$G53)</f>
        <v>-</v>
      </c>
      <c r="AO53" s="82"/>
      <c r="AP53" s="84" t="str">
        <f t="shared" ref="AP53:AP55" si="179">IF(AO53="","-",AO53*$G53)</f>
        <v>-</v>
      </c>
    </row>
    <row r="54" spans="2:42" ht="11.25" customHeight="1" x14ac:dyDescent="0.15">
      <c r="B54" s="224" t="s">
        <v>60</v>
      </c>
      <c r="C54" s="225"/>
      <c r="D54" s="225"/>
      <c r="E54" s="225"/>
      <c r="F54" s="225"/>
      <c r="G54" s="225"/>
      <c r="H54" s="226"/>
      <c r="I54" s="31"/>
      <c r="J54" s="65">
        <f>J53+J52</f>
        <v>11900.255099822223</v>
      </c>
      <c r="K54" s="85"/>
      <c r="L54" s="80" t="str">
        <f t="shared" si="98"/>
        <v>-</v>
      </c>
      <c r="M54" s="85"/>
      <c r="N54" s="80" t="str">
        <f t="shared" si="99"/>
        <v>-</v>
      </c>
      <c r="O54" s="85"/>
      <c r="P54" s="80" t="str">
        <f t="shared" si="100"/>
        <v>-</v>
      </c>
      <c r="Q54" s="85"/>
      <c r="R54" s="80" t="str">
        <f t="shared" si="101"/>
        <v>-</v>
      </c>
      <c r="S54" s="85"/>
      <c r="T54" s="80" t="str">
        <f t="shared" si="16"/>
        <v>-</v>
      </c>
      <c r="U54" s="85"/>
      <c r="V54" s="80" t="str">
        <f t="shared" si="102"/>
        <v>-</v>
      </c>
      <c r="W54" s="85"/>
      <c r="X54" s="80" t="str">
        <f t="shared" si="103"/>
        <v>-</v>
      </c>
      <c r="Y54" s="85"/>
      <c r="Z54" s="80" t="str">
        <f t="shared" si="104"/>
        <v>-</v>
      </c>
      <c r="AA54" s="85"/>
      <c r="AB54" s="80" t="str">
        <f t="shared" si="105"/>
        <v>-</v>
      </c>
      <c r="AC54" s="85"/>
      <c r="AD54" s="80" t="str">
        <f t="shared" ref="AD54" si="180">IF(AC54="","-",AC54*$G54)</f>
        <v>-</v>
      </c>
      <c r="AE54" s="85"/>
      <c r="AF54" s="80" t="str">
        <f t="shared" ref="AF54" si="181">IF(AE54="","-",AE54*$G54)</f>
        <v>-</v>
      </c>
      <c r="AG54" s="85"/>
      <c r="AH54" s="80" t="str">
        <f t="shared" si="106"/>
        <v>-</v>
      </c>
      <c r="AI54" s="85"/>
      <c r="AJ54" s="86" t="str">
        <f t="shared" si="23"/>
        <v>-</v>
      </c>
      <c r="AK54" s="85"/>
      <c r="AL54" s="86" t="str">
        <f t="shared" si="177"/>
        <v>-</v>
      </c>
      <c r="AM54" s="85"/>
      <c r="AN54" s="80" t="str">
        <f t="shared" si="178"/>
        <v>-</v>
      </c>
      <c r="AO54" s="85"/>
      <c r="AP54" s="86" t="str">
        <f t="shared" si="179"/>
        <v>-</v>
      </c>
    </row>
    <row r="55" spans="2:42" ht="11.25" customHeight="1" thickBot="1" x14ac:dyDescent="0.2">
      <c r="B55" s="227" t="s">
        <v>61</v>
      </c>
      <c r="C55" s="228"/>
      <c r="D55" s="228"/>
      <c r="E55" s="228"/>
      <c r="F55" s="228"/>
      <c r="G55" s="228"/>
      <c r="H55" s="229"/>
      <c r="I55" s="41"/>
      <c r="J55" s="261">
        <f>J54/0.75/12000</f>
        <v>1.3222505666469138</v>
      </c>
      <c r="K55" s="82"/>
      <c r="L55" s="83" t="str">
        <f t="shared" si="98"/>
        <v>-</v>
      </c>
      <c r="M55" s="82"/>
      <c r="N55" s="83" t="str">
        <f t="shared" si="99"/>
        <v>-</v>
      </c>
      <c r="O55" s="82"/>
      <c r="P55" s="83" t="str">
        <f t="shared" si="100"/>
        <v>-</v>
      </c>
      <c r="Q55" s="82"/>
      <c r="R55" s="83" t="str">
        <f t="shared" si="101"/>
        <v>-</v>
      </c>
      <c r="S55" s="82"/>
      <c r="T55" s="83" t="str">
        <f t="shared" si="16"/>
        <v>-</v>
      </c>
      <c r="U55" s="82"/>
      <c r="V55" s="83" t="str">
        <f t="shared" si="102"/>
        <v>-</v>
      </c>
      <c r="W55" s="82"/>
      <c r="X55" s="83" t="str">
        <f t="shared" si="103"/>
        <v>-</v>
      </c>
      <c r="Y55" s="82"/>
      <c r="Z55" s="83" t="str">
        <f t="shared" si="104"/>
        <v>-</v>
      </c>
      <c r="AA55" s="82"/>
      <c r="AB55" s="83" t="str">
        <f t="shared" si="105"/>
        <v>-</v>
      </c>
      <c r="AC55" s="82"/>
      <c r="AD55" s="83" t="str">
        <f t="shared" ref="AD55" si="182">IF(AC55="","-",AC55*$G55)</f>
        <v>-</v>
      </c>
      <c r="AE55" s="82"/>
      <c r="AF55" s="83" t="str">
        <f t="shared" ref="AF55" si="183">IF(AE55="","-",AE55*$G55)</f>
        <v>-</v>
      </c>
      <c r="AG55" s="82"/>
      <c r="AH55" s="83" t="str">
        <f t="shared" si="106"/>
        <v>-</v>
      </c>
      <c r="AI55" s="82"/>
      <c r="AJ55" s="84" t="str">
        <f t="shared" si="23"/>
        <v>-</v>
      </c>
      <c r="AK55" s="82"/>
      <c r="AL55" s="84" t="str">
        <f t="shared" si="177"/>
        <v>-</v>
      </c>
      <c r="AM55" s="82"/>
      <c r="AN55" s="83" t="str">
        <f t="shared" si="178"/>
        <v>-</v>
      </c>
      <c r="AO55" s="82"/>
      <c r="AP55" s="84" t="str">
        <f t="shared" si="179"/>
        <v>-</v>
      </c>
    </row>
    <row r="56" spans="2:42" ht="11.25" customHeight="1" thickBot="1" x14ac:dyDescent="0.2">
      <c r="B56" s="215" t="s">
        <v>62</v>
      </c>
      <c r="C56" s="216"/>
      <c r="D56" s="216"/>
      <c r="E56" s="30">
        <v>1.75</v>
      </c>
      <c r="F56" s="29" t="s">
        <v>63</v>
      </c>
      <c r="G56" s="217" t="s">
        <v>64</v>
      </c>
      <c r="H56" s="218"/>
      <c r="I56" s="88"/>
      <c r="J56" s="89">
        <f>E56*400</f>
        <v>700</v>
      </c>
      <c r="K56" s="90"/>
      <c r="L56" s="89">
        <f>L52/$J$52*$J$56</f>
        <v>46.323544736580359</v>
      </c>
      <c r="M56" s="90"/>
      <c r="N56" s="89">
        <f>N52/$J$52*$J$56</f>
        <v>148.80898136039016</v>
      </c>
      <c r="O56" s="90"/>
      <c r="P56" s="89">
        <f>P52/$J$52*$J$56</f>
        <v>193.66702190508192</v>
      </c>
      <c r="Q56" s="90"/>
      <c r="R56" s="89">
        <f>R52/$J$52*$J$56</f>
        <v>44.067684394714341</v>
      </c>
      <c r="S56" s="90"/>
      <c r="T56" s="89">
        <f>T52/$J$52*$J$56</f>
        <v>19.127231146784439</v>
      </c>
      <c r="U56" s="90"/>
      <c r="V56" s="89">
        <f>V52/$J$52*$J$56</f>
        <v>7.8630843805523014</v>
      </c>
      <c r="W56" s="90"/>
      <c r="X56" s="89">
        <f>X52/$J$52*$J$56</f>
        <v>87.603157348750756</v>
      </c>
      <c r="Y56" s="90"/>
      <c r="Z56" s="89">
        <f>Z52/$J$52*$J$56</f>
        <v>13.199975856176954</v>
      </c>
      <c r="AA56" s="90"/>
      <c r="AB56" s="89">
        <f>AB52/$J$52*$J$56</f>
        <v>83.574720176784908</v>
      </c>
      <c r="AC56" s="90"/>
      <c r="AD56" s="89">
        <f>AD52/$J$52*$J$56</f>
        <v>6.9592919904076007</v>
      </c>
      <c r="AE56" s="90"/>
      <c r="AF56" s="89">
        <f>AF52/$J$52*$J$56</f>
        <v>48.805306703776147</v>
      </c>
      <c r="AG56" s="90"/>
      <c r="AH56" s="89">
        <f>AH52/$J$52*$J$56</f>
        <v>0</v>
      </c>
      <c r="AI56" s="90"/>
      <c r="AJ56" s="91">
        <f>AJ52/$J$52*$J$56</f>
        <v>0</v>
      </c>
      <c r="AK56" s="90"/>
      <c r="AL56" s="91">
        <f>AL52/$J$52*$J$56</f>
        <v>0</v>
      </c>
      <c r="AM56" s="90"/>
      <c r="AN56" s="89">
        <f>AN52/$J$52*$J$56</f>
        <v>0</v>
      </c>
      <c r="AO56" s="90"/>
      <c r="AP56" s="91">
        <f>AP52/$J$52*$J$56</f>
        <v>0</v>
      </c>
    </row>
    <row r="57" spans="2:42" ht="3" customHeight="1" thickBot="1" x14ac:dyDescent="0.2">
      <c r="B57" s="6"/>
      <c r="C57" s="7"/>
      <c r="D57" s="7"/>
      <c r="E57" s="7"/>
      <c r="F57" s="7"/>
      <c r="G57" s="7"/>
      <c r="H57" s="7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9"/>
      <c r="AK57" s="208"/>
      <c r="AL57" s="209"/>
      <c r="AM57" s="208"/>
      <c r="AN57" s="208"/>
      <c r="AO57" s="208"/>
      <c r="AP57" s="209"/>
    </row>
    <row r="58" spans="2:42" ht="24" customHeight="1" x14ac:dyDescent="0.15">
      <c r="B58" s="248" t="s">
        <v>0</v>
      </c>
      <c r="C58" s="210"/>
      <c r="D58" s="210"/>
      <c r="E58" s="249" t="s">
        <v>71</v>
      </c>
      <c r="F58" s="249" t="s">
        <v>4</v>
      </c>
      <c r="G58" s="210" t="s">
        <v>72</v>
      </c>
      <c r="H58" s="251"/>
      <c r="I58" s="248" t="s">
        <v>29</v>
      </c>
      <c r="J58" s="210"/>
      <c r="K58" s="210" t="str">
        <f>K7</f>
        <v>Stairs</v>
      </c>
      <c r="L58" s="210"/>
      <c r="M58" s="210" t="str">
        <f t="shared" ref="M58" si="184">M7</f>
        <v>Loft</v>
      </c>
      <c r="N58" s="210"/>
      <c r="O58" s="210" t="str">
        <f t="shared" ref="O58" si="185">O7</f>
        <v>Master Bed</v>
      </c>
      <c r="P58" s="210"/>
      <c r="Q58" s="210" t="str">
        <f t="shared" ref="Q58" si="186">Q7</f>
        <v>Master Bath</v>
      </c>
      <c r="R58" s="210"/>
      <c r="S58" s="210" t="str">
        <f t="shared" ref="S58" si="187">S7</f>
        <v>Master WIC</v>
      </c>
      <c r="T58" s="210"/>
      <c r="U58" s="210" t="str">
        <f t="shared" ref="U58" si="188">U7</f>
        <v>Bed 3 WIC</v>
      </c>
      <c r="V58" s="210"/>
      <c r="W58" s="210" t="str">
        <f t="shared" ref="W58" si="189">W7</f>
        <v>Bed 3</v>
      </c>
      <c r="X58" s="210"/>
      <c r="Y58" s="210" t="str">
        <f t="shared" ref="Y58" si="190">Y7</f>
        <v>Bath2</v>
      </c>
      <c r="Z58" s="210"/>
      <c r="AA58" s="210" t="str">
        <f t="shared" ref="AA58" si="191">AA7</f>
        <v>Bed 4</v>
      </c>
      <c r="AB58" s="210"/>
      <c r="AC58" s="210" t="str">
        <f t="shared" ref="AC58" si="192">AC7</f>
        <v>Hallway</v>
      </c>
      <c r="AD58" s="210"/>
      <c r="AE58" s="210" t="str">
        <f t="shared" ref="AE58" si="193">AE7</f>
        <v>Laundry</v>
      </c>
      <c r="AF58" s="210"/>
      <c r="AG58" s="210" t="str">
        <f t="shared" ref="AG58" si="194">AG7</f>
        <v/>
      </c>
      <c r="AH58" s="210"/>
      <c r="AI58" s="210" t="str">
        <f t="shared" ref="AI58" si="195">AI7</f>
        <v/>
      </c>
      <c r="AJ58" s="210"/>
      <c r="AK58" s="210" t="str">
        <f t="shared" ref="AK58" si="196">AK7</f>
        <v/>
      </c>
      <c r="AL58" s="210"/>
      <c r="AM58" s="210" t="str">
        <f t="shared" ref="AM58" si="197">AM7</f>
        <v/>
      </c>
      <c r="AN58" s="210"/>
      <c r="AO58" s="210" t="str">
        <f t="shared" ref="AO58" si="198">AO7</f>
        <v/>
      </c>
      <c r="AP58" s="210"/>
    </row>
    <row r="59" spans="2:42" ht="18.75" customHeight="1" thickBot="1" x14ac:dyDescent="0.2">
      <c r="B59" s="10"/>
      <c r="C59" s="11" t="s">
        <v>1</v>
      </c>
      <c r="D59" s="11" t="s">
        <v>2</v>
      </c>
      <c r="E59" s="250"/>
      <c r="F59" s="250"/>
      <c r="G59" s="252"/>
      <c r="H59" s="253"/>
      <c r="I59" s="92" t="s">
        <v>30</v>
      </c>
      <c r="J59" s="41" t="s">
        <v>31</v>
      </c>
      <c r="K59" s="41" t="s">
        <v>30</v>
      </c>
      <c r="L59" s="41" t="s">
        <v>31</v>
      </c>
      <c r="M59" s="41" t="s">
        <v>30</v>
      </c>
      <c r="N59" s="41" t="s">
        <v>31</v>
      </c>
      <c r="O59" s="41" t="s">
        <v>30</v>
      </c>
      <c r="P59" s="41" t="s">
        <v>31</v>
      </c>
      <c r="Q59" s="41" t="s">
        <v>30</v>
      </c>
      <c r="R59" s="41" t="s">
        <v>31</v>
      </c>
      <c r="S59" s="41" t="s">
        <v>30</v>
      </c>
      <c r="T59" s="41" t="s">
        <v>31</v>
      </c>
      <c r="U59" s="41" t="s">
        <v>30</v>
      </c>
      <c r="V59" s="41" t="s">
        <v>31</v>
      </c>
      <c r="W59" s="41" t="s">
        <v>30</v>
      </c>
      <c r="X59" s="41" t="s">
        <v>31</v>
      </c>
      <c r="Y59" s="41" t="s">
        <v>30</v>
      </c>
      <c r="Z59" s="41" t="s">
        <v>31</v>
      </c>
      <c r="AA59" s="41" t="s">
        <v>30</v>
      </c>
      <c r="AB59" s="41" t="s">
        <v>31</v>
      </c>
      <c r="AC59" s="41" t="s">
        <v>30</v>
      </c>
      <c r="AD59" s="41" t="s">
        <v>31</v>
      </c>
      <c r="AE59" s="41" t="s">
        <v>30</v>
      </c>
      <c r="AF59" s="41" t="s">
        <v>31</v>
      </c>
      <c r="AG59" s="41" t="s">
        <v>30</v>
      </c>
      <c r="AH59" s="41" t="s">
        <v>31</v>
      </c>
      <c r="AI59" s="41" t="s">
        <v>30</v>
      </c>
      <c r="AJ59" s="93" t="s">
        <v>31</v>
      </c>
      <c r="AK59" s="41" t="s">
        <v>30</v>
      </c>
      <c r="AL59" s="93" t="s">
        <v>31</v>
      </c>
      <c r="AM59" s="41" t="s">
        <v>30</v>
      </c>
      <c r="AN59" s="41" t="s">
        <v>31</v>
      </c>
      <c r="AO59" s="41" t="s">
        <v>30</v>
      </c>
      <c r="AP59" s="93" t="s">
        <v>31</v>
      </c>
    </row>
    <row r="60" spans="2:42" ht="11.25" customHeight="1" thickBot="1" x14ac:dyDescent="0.2">
      <c r="B60" s="212" t="s">
        <v>77</v>
      </c>
      <c r="C60" s="13" t="s">
        <v>7</v>
      </c>
      <c r="D60" s="13"/>
      <c r="E60" s="13">
        <f>Summary!$N$13</f>
        <v>54</v>
      </c>
      <c r="F60" s="13">
        <f>Summary!N32</f>
        <v>0.35</v>
      </c>
      <c r="G60" s="14">
        <f>F60*E60</f>
        <v>18.899999999999999</v>
      </c>
      <c r="H60" s="32" t="s">
        <v>6</v>
      </c>
      <c r="I60" s="94">
        <f>SUMIF(C9:$C$36,C60,I9:$I$36)</f>
        <v>122</v>
      </c>
      <c r="J60" s="65">
        <f>IF(I60="","-",I60*$G60)</f>
        <v>2305.7999999999997</v>
      </c>
      <c r="K60" s="31">
        <f>IF(SUMIF($C$9:$C$18,$C60,K9:K$18)="","",SUMIF($C$9:$C$18,$C60,K$9:K$18))</f>
        <v>8</v>
      </c>
      <c r="L60" s="65">
        <f t="shared" ref="L60:L65" si="199">IF(K60="","-",K60*$G60)</f>
        <v>151.19999999999999</v>
      </c>
      <c r="M60" s="8"/>
      <c r="N60" s="65" t="str">
        <f t="shared" ref="N60:N65" si="200">IF(M60="","-",M60*$G60)</f>
        <v>-</v>
      </c>
      <c r="O60" s="31">
        <f>IF(SUMIF($C$9:$C$18,$C60,O9:O$18)=0,"",SUMIF($C$9:$C$18,$C60,O$9:O$18))</f>
        <v>38</v>
      </c>
      <c r="P60" s="65">
        <f t="shared" ref="P60:P65" si="201">IF(O60="","-",O60*$G60)</f>
        <v>718.19999999999993</v>
      </c>
      <c r="Q60" s="31">
        <f>IF(SUMIF($C$9:$C$18,$C60,Q9:Q$18)=0,"",SUMIF($C$9:$C$18,$C60,Q$9:Q$18))</f>
        <v>16</v>
      </c>
      <c r="R60" s="65">
        <f t="shared" ref="R60:R62" si="202">IF(Q60="","-",Q60*$G60)</f>
        <v>302.39999999999998</v>
      </c>
      <c r="S60" s="31" t="str">
        <f>IF(SUMIF($C$9:$C$18,$C60,S9:S$18)=0,"",SUMIF($C$9:$C$18,$C60,S$9:S$18))</f>
        <v/>
      </c>
      <c r="T60" s="65" t="str">
        <f t="shared" ref="T60:T62" si="203">IF(S60="","-",S60*$G60)</f>
        <v>-</v>
      </c>
      <c r="U60" s="31" t="str">
        <f>IF(SUMIF($C$9:$C$18,$C60,U9:U$18)=0,"",SUMIF($C$9:$C$18,$C60,U$9:U$18))</f>
        <v/>
      </c>
      <c r="V60" s="65" t="str">
        <f t="shared" ref="V60:V62" si="204">IF(U60="","-",U60*$G60)</f>
        <v>-</v>
      </c>
      <c r="W60" s="31">
        <f>IF(SUMIF($C$9:$C$18,$C60,W9:W$18)=0,"",SUMIF($C$9:$C$18,$C60,W$9:W$18))</f>
        <v>15</v>
      </c>
      <c r="X60" s="65">
        <f t="shared" ref="X60:X62" si="205">IF(W60="","-",W60*$G60)</f>
        <v>283.5</v>
      </c>
      <c r="Y60" s="31" t="str">
        <f>IF(SUMIF($C$9:$C$18,$C60,Y9:Y$18)=0,"",SUMIF($C$9:$C$18,$C60,Y$9:Y$18))</f>
        <v/>
      </c>
      <c r="Z60" s="65" t="str">
        <f t="shared" ref="Z60:Z62" si="206">IF(Y60="","-",Y60*$G60)</f>
        <v>-</v>
      </c>
      <c r="AA60" s="31">
        <f>IF(SUMIF($C$9:$C$18,$C60,AA9:AA$18)=0,"",SUMIF($C$9:$C$18,$C60,AA$9:AA$18))</f>
        <v>15</v>
      </c>
      <c r="AB60" s="65">
        <f t="shared" ref="AB60:AB62" si="207">IF(AA60="","-",AA60*$G60)</f>
        <v>283.5</v>
      </c>
      <c r="AC60" s="31" t="str">
        <f>IF(SUMIF($C$9:$C$18,$C60,AC9:AC$18)=0,"",SUMIF($C$9:$C$18,$C60,AC$9:AC$18))</f>
        <v/>
      </c>
      <c r="AD60" s="65" t="str">
        <f t="shared" ref="AD60:AD62" si="208">IF(AC60="","-",AC60*$G60)</f>
        <v>-</v>
      </c>
      <c r="AE60" s="31" t="str">
        <f>IF(SUMIF($C$9:$C$18,$C60,AE9:AE$18)=0,"",SUMIF($C$9:$C$18,$C60,AE$9:AE$18))</f>
        <v/>
      </c>
      <c r="AF60" s="65" t="str">
        <f t="shared" ref="AF60:AF62" si="209">IF(AE60="","-",AE60*$G60)</f>
        <v>-</v>
      </c>
      <c r="AG60" s="31" t="str">
        <f>IF(SUMIF($C$9:$C$18,$C60,AG9:AG$18)=0,"",SUMIF($C$9:$C$18,$C60,AG$9:AG$18))</f>
        <v/>
      </c>
      <c r="AH60" s="65" t="str">
        <f t="shared" ref="AH60:AH62" si="210">IF(AG60="","-",AG60*$G60)</f>
        <v>-</v>
      </c>
      <c r="AI60" s="31" t="str">
        <f>IF(SUMIF($C$9:$C$18,$C60,AI9:AI$18)=0,"",SUMIF($C$9:$C$18,$C60,AI$9:AI$18))</f>
        <v/>
      </c>
      <c r="AJ60" s="65" t="str">
        <f t="shared" ref="AJ60:AJ62" si="211">IF(AI60="","-",AI60*$G60)</f>
        <v>-</v>
      </c>
      <c r="AK60" s="31" t="str">
        <f>IF(SUMIF($C$9:$C$18,$C60,AK9:AK$18)=0,"",SUMIF($C$9:$C$18,$C60,AK$9:AK$18))</f>
        <v/>
      </c>
      <c r="AL60" s="65" t="str">
        <f t="shared" ref="AL60:AL62" si="212">IF(AK60="","-",AK60*$G60)</f>
        <v>-</v>
      </c>
      <c r="AM60" s="31" t="str">
        <f>IF(SUMIF($C$9:$C$18,$C60,AM9:AM$18)=0,"",SUMIF($C$9:$C$18,$C60,AM$9:AM$18))</f>
        <v/>
      </c>
      <c r="AN60" s="65" t="str">
        <f t="shared" ref="AN60:AN62" si="213">IF(AM60="","-",AM60*$G60)</f>
        <v>-</v>
      </c>
      <c r="AO60" s="31" t="str">
        <f>IF(SUMIF($C$9:$C$18,$C60,AO9:AO$18)=0,"",SUMIF($C$9:$C$18,$C60,AO$9:AO$18))</f>
        <v/>
      </c>
      <c r="AP60" s="65" t="str">
        <f t="shared" ref="AP60:AP62" si="214">IF(AO60="","-",AO60*$G60)</f>
        <v>-</v>
      </c>
    </row>
    <row r="61" spans="2:42" ht="11.25" customHeight="1" thickBot="1" x14ac:dyDescent="0.2">
      <c r="B61" s="214"/>
      <c r="C61" s="16" t="s">
        <v>65</v>
      </c>
      <c r="D61" s="16"/>
      <c r="E61" s="13">
        <f>Summary!$N$13</f>
        <v>54</v>
      </c>
      <c r="F61" s="16">
        <v>0</v>
      </c>
      <c r="G61" s="14">
        <f t="shared" ref="G61:G73" si="215">F61*E61</f>
        <v>0</v>
      </c>
      <c r="H61" s="33" t="s">
        <v>6</v>
      </c>
      <c r="I61" s="94">
        <f>SUMIF(C10:$C$46,C61,I10:$I$46)</f>
        <v>0</v>
      </c>
      <c r="J61" s="65">
        <f t="shared" ref="J61:J73" si="216">IF(I61="","-",I61*$G61)</f>
        <v>0</v>
      </c>
      <c r="K61" s="31" t="str">
        <f>IF(SUMIF($C$9:$C$18,$C61,K9:K$18)=0,"",SUMIF($C$9:$C$18,$C61,K$9:K$18))</f>
        <v/>
      </c>
      <c r="L61" s="65" t="str">
        <f t="shared" si="199"/>
        <v>-</v>
      </c>
      <c r="M61" s="8"/>
      <c r="N61" s="65" t="str">
        <f t="shared" si="200"/>
        <v>-</v>
      </c>
      <c r="O61" s="31" t="str">
        <f ca="1">IF(SUMIF($C$9:$C$18,$C61,O10:O$18)=0,"",SUMIF($C$9:$C$18,$C61,O$9:O$18))</f>
        <v/>
      </c>
      <c r="P61" s="65" t="str">
        <f t="shared" ca="1" si="201"/>
        <v>-</v>
      </c>
      <c r="Q61" s="31" t="str">
        <f ca="1">IF(SUMIF($C$9:$C$18,$C61,Q10:Q$18)=0,"",SUMIF($C$9:$C$18,$C61,Q$9:Q$18))</f>
        <v/>
      </c>
      <c r="R61" s="65" t="str">
        <f t="shared" ca="1" si="202"/>
        <v>-</v>
      </c>
      <c r="S61" s="31" t="str">
        <f ca="1">IF(SUMIF($C$9:$C$18,$C61,S10:S$18)=0,"",SUMIF($C$9:$C$18,$C61,S$9:S$18))</f>
        <v/>
      </c>
      <c r="T61" s="65" t="str">
        <f t="shared" ca="1" si="203"/>
        <v>-</v>
      </c>
      <c r="U61" s="31" t="str">
        <f ca="1">IF(SUMIF($C$9:$C$18,$C61,U10:U$18)=0,"",SUMIF($C$9:$C$18,$C61,U$9:U$18))</f>
        <v/>
      </c>
      <c r="V61" s="65" t="str">
        <f t="shared" ca="1" si="204"/>
        <v>-</v>
      </c>
      <c r="W61" s="31" t="str">
        <f ca="1">IF(SUMIF($C$9:$C$18,$C61,W10:W$18)=0,"",SUMIF($C$9:$C$18,$C61,W$9:W$18))</f>
        <v/>
      </c>
      <c r="X61" s="65" t="str">
        <f t="shared" ca="1" si="205"/>
        <v>-</v>
      </c>
      <c r="Y61" s="31" t="str">
        <f ca="1">IF(SUMIF($C$9:$C$18,$C61,Y10:Y$18)=0,"",SUMIF($C$9:$C$18,$C61,Y$9:Y$18))</f>
        <v/>
      </c>
      <c r="Z61" s="65" t="str">
        <f t="shared" ca="1" si="206"/>
        <v>-</v>
      </c>
      <c r="AA61" s="31" t="str">
        <f ca="1">IF(SUMIF($C$9:$C$18,$C61,AA10:AA$18)=0,"",SUMIF($C$9:$C$18,$C61,AA$9:AA$18))</f>
        <v/>
      </c>
      <c r="AB61" s="65" t="str">
        <f t="shared" ca="1" si="207"/>
        <v>-</v>
      </c>
      <c r="AC61" s="31" t="str">
        <f ca="1">IF(SUMIF($C$9:$C$18,$C61,AC10:AC$18)=0,"",SUMIF($C$9:$C$18,$C61,AC$9:AC$18))</f>
        <v/>
      </c>
      <c r="AD61" s="65" t="str">
        <f t="shared" ca="1" si="208"/>
        <v>-</v>
      </c>
      <c r="AE61" s="31" t="str">
        <f ca="1">IF(SUMIF($C$9:$C$18,$C61,AE10:AE$18)=0,"",SUMIF($C$9:$C$18,$C61,AE$9:AE$18))</f>
        <v/>
      </c>
      <c r="AF61" s="65" t="str">
        <f t="shared" ca="1" si="209"/>
        <v>-</v>
      </c>
      <c r="AG61" s="31" t="str">
        <f ca="1">IF(SUMIF($C$9:$C$18,$C61,AG10:AG$18)=0,"",SUMIF($C$9:$C$18,$C61,AG$9:AG$18))</f>
        <v/>
      </c>
      <c r="AH61" s="65" t="str">
        <f t="shared" ca="1" si="210"/>
        <v>-</v>
      </c>
      <c r="AI61" s="31" t="str">
        <f ca="1">IF(SUMIF($C$9:$C$18,$C61,AI10:AI$18)=0,"",SUMIF($C$9:$C$18,$C61,AI$9:AI$18))</f>
        <v/>
      </c>
      <c r="AJ61" s="65" t="str">
        <f t="shared" ca="1" si="211"/>
        <v>-</v>
      </c>
      <c r="AK61" s="31" t="str">
        <f ca="1">IF(SUMIF($C$9:$C$18,$C61,AK10:AK$18)=0,"",SUMIF($C$9:$C$18,$C61,AK$9:AK$18))</f>
        <v/>
      </c>
      <c r="AL61" s="65" t="str">
        <f t="shared" ca="1" si="212"/>
        <v>-</v>
      </c>
      <c r="AM61" s="31" t="str">
        <f ca="1">IF(SUMIF($C$9:$C$18,$C61,AM10:AM$18)=0,"",SUMIF($C$9:$C$18,$C61,AM$9:AM$18))</f>
        <v/>
      </c>
      <c r="AN61" s="65" t="str">
        <f t="shared" ca="1" si="213"/>
        <v>-</v>
      </c>
      <c r="AO61" s="31" t="str">
        <f ca="1">IF(SUMIF($C$9:$C$18,$C61,AO10:AO$18)=0,"",SUMIF($C$9:$C$18,$C61,AO$9:AO$18))</f>
        <v/>
      </c>
      <c r="AP61" s="65" t="str">
        <f t="shared" ca="1" si="214"/>
        <v>-</v>
      </c>
    </row>
    <row r="62" spans="2:42" ht="11.25" customHeight="1" thickBot="1" x14ac:dyDescent="0.2">
      <c r="B62" s="213"/>
      <c r="C62" s="18" t="s">
        <v>66</v>
      </c>
      <c r="D62" s="18"/>
      <c r="E62" s="13">
        <f>Summary!$N$13</f>
        <v>54</v>
      </c>
      <c r="F62" s="18">
        <v>0</v>
      </c>
      <c r="G62" s="14">
        <f t="shared" si="215"/>
        <v>0</v>
      </c>
      <c r="H62" s="34" t="s">
        <v>6</v>
      </c>
      <c r="I62" s="94">
        <f>SUMIF(C11:$C$46,C62,I11:$I$46)</f>
        <v>0</v>
      </c>
      <c r="J62" s="65">
        <f t="shared" si="216"/>
        <v>0</v>
      </c>
      <c r="K62" s="31" t="str">
        <f>IF(SUMIF($C$9:$C$18,$C62,K9:K$18)=0,"",SUMIF($C$9:$C$18,$C62,K$9:K$18))</f>
        <v/>
      </c>
      <c r="L62" s="65" t="str">
        <f t="shared" si="199"/>
        <v>-</v>
      </c>
      <c r="M62" s="8"/>
      <c r="N62" s="65" t="str">
        <f t="shared" si="200"/>
        <v>-</v>
      </c>
      <c r="O62" s="31" t="str">
        <f ca="1">IF(SUMIF($C$9:$C$18,$C62,O11:O$18)=0,"",SUMIF($C$9:$C$18,$C62,O$9:O$18))</f>
        <v/>
      </c>
      <c r="P62" s="65" t="str">
        <f t="shared" ca="1" si="201"/>
        <v>-</v>
      </c>
      <c r="Q62" s="31" t="str">
        <f ca="1">IF(SUMIF($C$9:$C$18,$C62,Q11:Q$18)=0,"",SUMIF($C$9:$C$18,$C62,Q$9:Q$18))</f>
        <v/>
      </c>
      <c r="R62" s="65" t="str">
        <f t="shared" ca="1" si="202"/>
        <v>-</v>
      </c>
      <c r="S62" s="31" t="str">
        <f ca="1">IF(SUMIF($C$9:$C$18,$C62,S11:S$18)=0,"",SUMIF($C$9:$C$18,$C62,S$9:S$18))</f>
        <v/>
      </c>
      <c r="T62" s="65" t="str">
        <f t="shared" ca="1" si="203"/>
        <v>-</v>
      </c>
      <c r="U62" s="31" t="str">
        <f ca="1">IF(SUMIF($C$9:$C$18,$C62,U11:U$18)=0,"",SUMIF($C$9:$C$18,$C62,U$9:U$18))</f>
        <v/>
      </c>
      <c r="V62" s="65" t="str">
        <f t="shared" ca="1" si="204"/>
        <v>-</v>
      </c>
      <c r="W62" s="31" t="str">
        <f ca="1">IF(SUMIF($C$9:$C$18,$C62,W11:W$18)=0,"",SUMIF($C$9:$C$18,$C62,W$9:W$18))</f>
        <v/>
      </c>
      <c r="X62" s="65" t="str">
        <f t="shared" ca="1" si="205"/>
        <v>-</v>
      </c>
      <c r="Y62" s="31" t="str">
        <f ca="1">IF(SUMIF($C$9:$C$18,$C62,Y11:Y$18)=0,"",SUMIF($C$9:$C$18,$C62,Y$9:Y$18))</f>
        <v/>
      </c>
      <c r="Z62" s="65" t="str">
        <f t="shared" ca="1" si="206"/>
        <v>-</v>
      </c>
      <c r="AA62" s="31" t="str">
        <f ca="1">IF(SUMIF($C$9:$C$18,$C62,AA11:AA$18)=0,"",SUMIF($C$9:$C$18,$C62,AA$9:AA$18))</f>
        <v/>
      </c>
      <c r="AB62" s="65" t="str">
        <f t="shared" ca="1" si="207"/>
        <v>-</v>
      </c>
      <c r="AC62" s="31" t="str">
        <f ca="1">IF(SUMIF($C$9:$C$18,$C62,AC11:AC$18)=0,"",SUMIF($C$9:$C$18,$C62,AC$9:AC$18))</f>
        <v/>
      </c>
      <c r="AD62" s="65" t="str">
        <f t="shared" ca="1" si="208"/>
        <v>-</v>
      </c>
      <c r="AE62" s="31" t="str">
        <f ca="1">IF(SUMIF($C$9:$C$18,$C62,AE11:AE$18)=0,"",SUMIF($C$9:$C$18,$C62,AE$9:AE$18))</f>
        <v/>
      </c>
      <c r="AF62" s="65" t="str">
        <f t="shared" ca="1" si="209"/>
        <v>-</v>
      </c>
      <c r="AG62" s="31" t="str">
        <f ca="1">IF(SUMIF($C$9:$C$18,$C62,AG11:AG$18)=0,"",SUMIF($C$9:$C$18,$C62,AG$9:AG$18))</f>
        <v/>
      </c>
      <c r="AH62" s="65" t="str">
        <f t="shared" ca="1" si="210"/>
        <v>-</v>
      </c>
      <c r="AI62" s="31" t="str">
        <f ca="1">IF(SUMIF($C$9:$C$18,$C62,AI11:AI$18)=0,"",SUMIF($C$9:$C$18,$C62,AI$9:AI$18))</f>
        <v/>
      </c>
      <c r="AJ62" s="65" t="str">
        <f t="shared" ca="1" si="211"/>
        <v>-</v>
      </c>
      <c r="AK62" s="31" t="str">
        <f ca="1">IF(SUMIF($C$9:$C$18,$C62,AK11:AK$18)=0,"",SUMIF($C$9:$C$18,$C62,AK$9:AK$18))</f>
        <v/>
      </c>
      <c r="AL62" s="65" t="str">
        <f t="shared" ca="1" si="212"/>
        <v>-</v>
      </c>
      <c r="AM62" s="31" t="str">
        <f ca="1">IF(SUMIF($C$9:$C$18,$C62,AM11:AM$18)=0,"",SUMIF($C$9:$C$18,$C62,AM$9:AM$18))</f>
        <v/>
      </c>
      <c r="AN62" s="65" t="str">
        <f t="shared" ca="1" si="213"/>
        <v>-</v>
      </c>
      <c r="AO62" s="31" t="str">
        <f ca="1">IF(SUMIF($C$9:$C$18,$C62,AO11:AO$18)=0,"",SUMIF($C$9:$C$18,$C62,AO$9:AO$18))</f>
        <v/>
      </c>
      <c r="AP62" s="65" t="str">
        <f t="shared" ca="1" si="214"/>
        <v>-</v>
      </c>
    </row>
    <row r="63" spans="2:42" ht="11.25" customHeight="1" thickBot="1" x14ac:dyDescent="0.2">
      <c r="B63" s="212" t="s">
        <v>37</v>
      </c>
      <c r="C63" s="13" t="s">
        <v>33</v>
      </c>
      <c r="D63" s="13"/>
      <c r="E63" s="13">
        <f>Summary!$N$13</f>
        <v>54</v>
      </c>
      <c r="F63" s="14">
        <f>INDEX(Summary!$F$19:$F$30,MATCH('Unit 1 a'!C63,Summary!$D$19:$D$30,0))</f>
        <v>0.5</v>
      </c>
      <c r="G63" s="14">
        <f t="shared" si="215"/>
        <v>27</v>
      </c>
      <c r="H63" s="32" t="s">
        <v>6</v>
      </c>
      <c r="I63" s="94">
        <f>SUMIF(C12:$C$46,C63,I12:$I$46)</f>
        <v>0</v>
      </c>
      <c r="J63" s="65">
        <f t="shared" si="216"/>
        <v>0</v>
      </c>
      <c r="K63" s="31" t="str">
        <f>IF(SUMIF($C$19:$C$20,$C$63,K$19:K$20)=0,"",SUMIF($C$19:$C$20,$C$63,K$19:K$20))</f>
        <v/>
      </c>
      <c r="L63" s="65" t="str">
        <f t="shared" si="199"/>
        <v>-</v>
      </c>
      <c r="M63" s="31" t="str">
        <f>IF(SUMIF($C$19:$C$20,$C$63,M$19:M$20)=0,"",SUMIF($C$19:$C$20,$C$63,M$19:M$20))</f>
        <v/>
      </c>
      <c r="N63" s="65" t="str">
        <f t="shared" si="200"/>
        <v>-</v>
      </c>
      <c r="O63" s="31" t="str">
        <f>IF(SUMIF($C$19:$C$20,$C$63,O$19:O$20)=0,"",SUMIF($C$19:$C$20,$C$63,O$19:O$20))</f>
        <v/>
      </c>
      <c r="P63" s="65" t="str">
        <f t="shared" si="201"/>
        <v>-</v>
      </c>
      <c r="Q63" s="31" t="str">
        <f>IF(SUMIF($C$19:$C$20,$C$63,Q$19:Q$20)=0,"",SUMIF($C$19:$C$20,$C$63,Q$19:Q$20))</f>
        <v/>
      </c>
      <c r="R63" s="65" t="str">
        <f>IF(Q63="","-",Q63*$G63)</f>
        <v>-</v>
      </c>
      <c r="S63" s="31" t="str">
        <f>IF(SUMIF($C$19:$C$20,$C$63,S$19:S$20)=0,"",SUMIF($C$19:$C$20,$C$63,S$19:S$20))</f>
        <v/>
      </c>
      <c r="T63" s="65" t="str">
        <f>IF(S63="","-",S63*$G63)</f>
        <v>-</v>
      </c>
      <c r="U63" s="31" t="str">
        <f>IF(SUMIF($C$19:$C$20,$C$63,U$19:U$20)=0,"",SUMIF($C$19:$C$20,$C$63,U$19:U$20))</f>
        <v/>
      </c>
      <c r="V63" s="65" t="str">
        <f>IF(U63="","-",U63*$G63)</f>
        <v>-</v>
      </c>
      <c r="W63" s="31" t="str">
        <f>IF(SUMIF($C$19:$C$20,$C$63,W$19:W$20)=0,"",SUMIF($C$19:$C$20,$C$63,W$19:W$20))</f>
        <v/>
      </c>
      <c r="X63" s="65" t="str">
        <f>IF(W63="","-",W63*$G63)</f>
        <v>-</v>
      </c>
      <c r="Y63" s="31" t="str">
        <f>IF(SUMIF($C$19:$C$20,$C$63,Y$19:Y$20)=0,"",SUMIF($C$19:$C$20,$C$63,Y$19:Y$20))</f>
        <v/>
      </c>
      <c r="Z63" s="65" t="str">
        <f>IF(Y63="","-",Y63*$G63)</f>
        <v>-</v>
      </c>
      <c r="AA63" s="31" t="str">
        <f>IF(SUMIF($C$19:$C$20,$C$63,AA$19:AA$20)=0,"",SUMIF($C$19:$C$20,$C$63,AA$19:AA$20))</f>
        <v/>
      </c>
      <c r="AB63" s="65" t="str">
        <f>IF(AA63="","-",AA63*$G63)</f>
        <v>-</v>
      </c>
      <c r="AC63" s="31" t="str">
        <f>IF(SUMIF($C$19:$C$20,$C$63,AC$19:AC$20)=0,"",SUMIF($C$19:$C$20,$C$63,AC$19:AC$20))</f>
        <v/>
      </c>
      <c r="AD63" s="65" t="str">
        <f>IF(AC63="","-",AC63*$G63)</f>
        <v>-</v>
      </c>
      <c r="AE63" s="31" t="str">
        <f>IF(SUMIF($C$19:$C$20,$C$63,AE$19:AE$20)=0,"",SUMIF($C$19:$C$20,$C$63,AE$19:AE$20))</f>
        <v/>
      </c>
      <c r="AF63" s="65" t="str">
        <f>IF(AE63="","-",AE63*$G63)</f>
        <v>-</v>
      </c>
      <c r="AG63" s="31" t="str">
        <f>IF(SUMIF($C$19:$C$20,$C$63,AG$19:AG$20)=0,"",SUMIF($C$19:$C$20,$C$63,AG$19:AG$20))</f>
        <v/>
      </c>
      <c r="AH63" s="65" t="str">
        <f>IF(AG63="","-",AG63*$G63)</f>
        <v>-</v>
      </c>
      <c r="AI63" s="31" t="str">
        <f>IF(SUMIF($C$19:$C$20,$C$63,AI$19:AI$20)=0,"",SUMIF($C$19:$C$20,$C$63,AI$19:AI$20))</f>
        <v/>
      </c>
      <c r="AJ63" s="65" t="str">
        <f>IF(AI63="","-",AI63*$G63)</f>
        <v>-</v>
      </c>
      <c r="AK63" s="31" t="str">
        <f>IF(SUMIF($C$19:$C$20,$C$63,AK$19:AK$20)=0,"",SUMIF($C$19:$C$20,$C$63,AK$19:AK$20))</f>
        <v/>
      </c>
      <c r="AL63" s="65" t="str">
        <f>IF(AK63="","-",AK63*$G63)</f>
        <v>-</v>
      </c>
      <c r="AM63" s="31" t="str">
        <f>IF(SUMIF($C$19:$C$20,$C$63,AM$19:AM$20)=0,"",SUMIF($C$19:$C$20,$C$63,AM$19:AM$20))</f>
        <v/>
      </c>
      <c r="AN63" s="65" t="str">
        <f>IF(AM63="","-",AM63*$G63)</f>
        <v>-</v>
      </c>
      <c r="AO63" s="31" t="str">
        <f>IF(SUMIF($C$19:$C$20,$C$63,AO$19:AO$20)=0,"",SUMIF($C$19:$C$20,$C$63,AO$19:AO$20))</f>
        <v/>
      </c>
      <c r="AP63" s="65" t="str">
        <f>IF(AO63="","-",AO63*$G63)</f>
        <v>-</v>
      </c>
    </row>
    <row r="64" spans="2:42" ht="11.25" customHeight="1" thickBot="1" x14ac:dyDescent="0.2">
      <c r="B64" s="213"/>
      <c r="C64" s="18" t="s">
        <v>34</v>
      </c>
      <c r="D64" s="18"/>
      <c r="E64" s="13">
        <f>Summary!$N$13</f>
        <v>54</v>
      </c>
      <c r="F64" s="14">
        <f>INDEX(Summary!$F$19:$F$30,MATCH('Unit 1 a'!C64,Summary!$D$19:$D$30,0))</f>
        <v>0.5</v>
      </c>
      <c r="G64" s="14">
        <f t="shared" si="215"/>
        <v>27</v>
      </c>
      <c r="H64" s="34" t="s">
        <v>6</v>
      </c>
      <c r="I64" s="94">
        <f>SUMIF(C13:$C$46,C64,I13:$I$46)</f>
        <v>0</v>
      </c>
      <c r="J64" s="65">
        <f t="shared" si="216"/>
        <v>0</v>
      </c>
      <c r="K64" s="31" t="str">
        <f>IF(SUMIF($C$19:$C$20,$C$64,K$19:K$20)=0,"",SUMIF($C$19:$C$20,$C$64,K$19:K$20))</f>
        <v/>
      </c>
      <c r="L64" s="65" t="str">
        <f t="shared" si="199"/>
        <v>-</v>
      </c>
      <c r="M64" s="31" t="str">
        <f>IF(SUMIF($C$19:$C$20,$C$64,M$19:M$20)=0,"",SUMIF($C$19:$C$20,$C$64,M$19:M$20))</f>
        <v/>
      </c>
      <c r="N64" s="65" t="str">
        <f t="shared" si="200"/>
        <v>-</v>
      </c>
      <c r="O64" s="31" t="str">
        <f>IF(SUMIF($C$19:$C$20,$C$64,O$19:O$20)=0,"",SUMIF($C$19:$C$20,$C$64,O$19:O$20))</f>
        <v/>
      </c>
      <c r="P64" s="65" t="str">
        <f t="shared" si="201"/>
        <v>-</v>
      </c>
      <c r="Q64" s="31" t="str">
        <f>IF(SUMIF($C$19:$C$20,$C$64,Q$19:Q$20)=0,"",SUMIF($C$19:$C$20,$C$64,Q$19:Q$20))</f>
        <v/>
      </c>
      <c r="R64" s="65" t="str">
        <f>IF(Q64="","-",Q64*$G64)</f>
        <v>-</v>
      </c>
      <c r="S64" s="31" t="str">
        <f>IF(SUMIF($C$19:$C$20,$C$64,S$19:S$20)=0,"",SUMIF($C$19:$C$20,$C$64,S$19:S$20))</f>
        <v/>
      </c>
      <c r="T64" s="65" t="str">
        <f>IF(S64="","-",S64*$G64)</f>
        <v>-</v>
      </c>
      <c r="U64" s="31" t="str">
        <f>IF(SUMIF($C$19:$C$20,$C$64,U$19:U$20)=0,"",SUMIF($C$19:$C$20,$C$64,U$19:U$20))</f>
        <v/>
      </c>
      <c r="V64" s="65" t="str">
        <f>IF(U64="","-",U64*$G64)</f>
        <v>-</v>
      </c>
      <c r="W64" s="31" t="str">
        <f>IF(SUMIF($C$19:$C$20,$C$64,W$19:W$20)=0,"",SUMIF($C$19:$C$20,$C$64,W$19:W$20))</f>
        <v/>
      </c>
      <c r="X64" s="65" t="str">
        <f>IF(W64="","-",W64*$G64)</f>
        <v>-</v>
      </c>
      <c r="Y64" s="31" t="str">
        <f>IF(SUMIF($C$19:$C$20,$C$64,Y$19:Y$20)=0,"",SUMIF($C$19:$C$20,$C$64,Y$19:Y$20))</f>
        <v/>
      </c>
      <c r="Z64" s="65" t="str">
        <f>IF(Y64="","-",Y64*$G64)</f>
        <v>-</v>
      </c>
      <c r="AA64" s="31" t="str">
        <f>IF(SUMIF($C$19:$C$20,$C$64,AA$19:AA$20)=0,"",SUMIF($C$19:$C$20,$C$64,AA$19:AA$20))</f>
        <v/>
      </c>
      <c r="AB64" s="65" t="str">
        <f>IF(AA64="","-",AA64*$G64)</f>
        <v>-</v>
      </c>
      <c r="AC64" s="31" t="str">
        <f>IF(SUMIF($C$19:$C$20,$C$64,AC$19:AC$20)=0,"",SUMIF($C$19:$C$20,$C$64,AC$19:AC$20))</f>
        <v/>
      </c>
      <c r="AD64" s="65" t="str">
        <f>IF(AC64="","-",AC64*$G64)</f>
        <v>-</v>
      </c>
      <c r="AE64" s="31" t="str">
        <f>IF(SUMIF($C$19:$C$20,$C$64,AE$19:AE$20)=0,"",SUMIF($C$19:$C$20,$C$64,AE$19:AE$20))</f>
        <v/>
      </c>
      <c r="AF64" s="65" t="str">
        <f>IF(AE64="","-",AE64*$G64)</f>
        <v>-</v>
      </c>
      <c r="AG64" s="31" t="str">
        <f>IF(SUMIF($C$19:$C$20,$C$64,AG$19:AG$20)=0,"",SUMIF($C$19:$C$20,$C$64,AG$19:AG$20))</f>
        <v/>
      </c>
      <c r="AH64" s="65" t="str">
        <f>IF(AG64="","-",AG64*$G64)</f>
        <v>-</v>
      </c>
      <c r="AI64" s="31" t="str">
        <f>IF(SUMIF($C$19:$C$20,$C$64,AI$19:AI$20)=0,"",SUMIF($C$19:$C$20,$C$64,AI$19:AI$20))</f>
        <v/>
      </c>
      <c r="AJ64" s="65" t="str">
        <f>IF(AI64="","-",AI64*$G64)</f>
        <v>-</v>
      </c>
      <c r="AK64" s="31" t="str">
        <f>IF(SUMIF($C$19:$C$20,$C$64,AK$19:AK$20)=0,"",SUMIF($C$19:$C$20,$C$64,AK$19:AK$20))</f>
        <v/>
      </c>
      <c r="AL64" s="65" t="str">
        <f>IF(AK64="","-",AK64*$G64)</f>
        <v>-</v>
      </c>
      <c r="AM64" s="31" t="str">
        <f>IF(SUMIF($C$19:$C$20,$C$64,AM$19:AM$20)=0,"",SUMIF($C$19:$C$20,$C$64,AM$19:AM$20))</f>
        <v/>
      </c>
      <c r="AN64" s="65" t="str">
        <f>IF(AM64="","-",AM64*$G64)</f>
        <v>-</v>
      </c>
      <c r="AO64" s="31" t="str">
        <f>IF(SUMIF($C$19:$C$20,$C$64,AO$19:AO$20)=0,"",SUMIF($C$19:$C$20,$C$64,AO$19:AO$20))</f>
        <v/>
      </c>
      <c r="AP64" s="65" t="str">
        <f>IF(AO64="","-",AO64*$G64)</f>
        <v>-</v>
      </c>
    </row>
    <row r="65" spans="2:42" ht="11.25" customHeight="1" thickBot="1" x14ac:dyDescent="0.2">
      <c r="B65" s="212" t="s">
        <v>83</v>
      </c>
      <c r="C65" s="13" t="s">
        <v>38</v>
      </c>
      <c r="D65" s="13"/>
      <c r="E65" s="13">
        <f>Summary!$N$13</f>
        <v>54</v>
      </c>
      <c r="F65" s="14">
        <f>INDEX(Summary!$F$19:$F$30,MATCH('Unit 1 a'!C65,Summary!$D$19:$D$30,0))</f>
        <v>7.6999999999999999E-2</v>
      </c>
      <c r="G65" s="14">
        <f t="shared" si="215"/>
        <v>4.1580000000000004</v>
      </c>
      <c r="H65" s="32" t="s">
        <v>6</v>
      </c>
      <c r="I65" s="94">
        <f>SUMIF(C21:$C$36,C65,I21:$I$36)</f>
        <v>1123</v>
      </c>
      <c r="J65" s="65">
        <f t="shared" si="216"/>
        <v>4669.4340000000002</v>
      </c>
      <c r="K65" s="31">
        <f>IF(SUMIF($C$19:$C$36,$C65,K$19:K$36)=0,"",SUMIF($C$19:$C$36,$C65,K$19:K$36))</f>
        <v>202</v>
      </c>
      <c r="L65" s="65">
        <f t="shared" si="199"/>
        <v>839.91600000000005</v>
      </c>
      <c r="M65" s="31">
        <f>IF(SUMIF($C$19:$C$36,$C65,M$19:M$36)=0,"",SUMIF($C$19:$C$36,$C65,M$19:M$36))</f>
        <v>85</v>
      </c>
      <c r="N65" s="65">
        <f t="shared" si="200"/>
        <v>353.43</v>
      </c>
      <c r="O65" s="31">
        <f>IF(SUMIF($C$19:$C$36,$C65,O$19:O$36)=0,"",SUMIF($C$19:$C$36,$C65,O$19:O$36))</f>
        <v>260</v>
      </c>
      <c r="P65" s="65">
        <f t="shared" si="201"/>
        <v>1081.0800000000002</v>
      </c>
      <c r="Q65" s="31">
        <f>IF(SUMIF($C$19:$C$36,$C65,Q$19:Q$36)=0,"",SUMIF($C$19:$C$36,$C65,Q$19:Q$36))</f>
        <v>60</v>
      </c>
      <c r="R65" s="65">
        <f>IF(Q65="","-",Q65*$G65)</f>
        <v>249.48000000000002</v>
      </c>
      <c r="S65" s="31">
        <f>IF(SUMIF($C$19:$C$36,$C65,S$19:S$36)=0,"",SUMIF($C$19:$C$36,$C65,S$19:S$36))</f>
        <v>62</v>
      </c>
      <c r="T65" s="65">
        <f>IF(S65="","-",S65*$G65)</f>
        <v>257.79600000000005</v>
      </c>
      <c r="U65" s="31">
        <f>IF(SUMIF($C$19:$C$36,$C65,U$19:U$36)=0,"",SUMIF($C$19:$C$36,$C65,U$19:U$36))</f>
        <v>29</v>
      </c>
      <c r="V65" s="65">
        <f>IF(U65="","-",U65*$G65)</f>
        <v>120.58200000000001</v>
      </c>
      <c r="W65" s="31">
        <f>IF(SUMIF($C$19:$C$36,$C65,W$19:W$36)=0,"",SUMIF($C$19:$C$36,$C65,W$19:W$36))</f>
        <v>188</v>
      </c>
      <c r="X65" s="65">
        <f>IF(W65="","-",W65*$G65)</f>
        <v>781.70400000000006</v>
      </c>
      <c r="Y65" s="31">
        <f>IF(SUMIF($C$19:$C$36,$C65,Y$19:Y$36)=0,"",SUMIF($C$19:$C$36,$C65,Y$19:Y$36))</f>
        <v>42</v>
      </c>
      <c r="Z65" s="65">
        <f>IF(Y65="","-",Y65*$G65)</f>
        <v>174.63600000000002</v>
      </c>
      <c r="AA65" s="31">
        <f>IF(SUMIF($C$19:$C$36,$C65,AA$19:AA$36)=0,"",SUMIF($C$19:$C$36,$C65,AA$19:AA$36))</f>
        <v>195</v>
      </c>
      <c r="AB65" s="65">
        <f>IF(AA65="","-",AA65*$G65)</f>
        <v>810.81000000000006</v>
      </c>
      <c r="AC65" s="31" t="str">
        <f>IF(SUMIF($C$19:$C$36,$C65,AC$19:AC$36)=0,"",SUMIF($C$19:$C$36,$C65,AC$19:AC$36))</f>
        <v/>
      </c>
      <c r="AD65" s="65" t="str">
        <f>IF(AC65="","-",AC65*$G65)</f>
        <v>-</v>
      </c>
      <c r="AE65" s="31" t="str">
        <f>IF(SUMIF($C$19:$C$36,$C65,AE$19:AE$36)=0,"",SUMIF($C$19:$C$36,$C65,AE$19:AE$36))</f>
        <v/>
      </c>
      <c r="AF65" s="65" t="str">
        <f>IF(AE65="","-",AE65*$G65)</f>
        <v>-</v>
      </c>
      <c r="AG65" s="31" t="str">
        <f>IF(SUMIF($C$19:$C$36,$C65,AG$19:AG$36)=0,"",SUMIF($C$19:$C$36,$C65,AG$19:AG$36))</f>
        <v/>
      </c>
      <c r="AH65" s="65" t="str">
        <f>IF(AG65="","-",AG65*$G65)</f>
        <v>-</v>
      </c>
      <c r="AI65" s="31" t="str">
        <f>IF(SUMIF($C$19:$C$36,$C65,AI$19:AI$36)=0,"",SUMIF($C$19:$C$36,$C65,AI$19:AI$36))</f>
        <v/>
      </c>
      <c r="AJ65" s="65" t="str">
        <f>IF(AI65="","-",AI65*$G65)</f>
        <v>-</v>
      </c>
      <c r="AK65" s="31" t="str">
        <f>IF(SUMIF($C$19:$C$36,$C65,AK$19:AK$36)=0,"",SUMIF($C$19:$C$36,$C65,AK$19:AK$36))</f>
        <v/>
      </c>
      <c r="AL65" s="65" t="str">
        <f>IF(AK65="","-",AK65*$G65)</f>
        <v>-</v>
      </c>
      <c r="AM65" s="31" t="str">
        <f>IF(SUMIF($C$19:$C$36,$C65,AM$19:AM$36)=0,"",SUMIF($C$19:$C$36,$C65,AM$19:AM$36))</f>
        <v/>
      </c>
      <c r="AN65" s="65" t="str">
        <f>IF(AM65="","-",AM65*$G65)</f>
        <v>-</v>
      </c>
      <c r="AO65" s="31" t="str">
        <f>IF(SUMIF($C$19:$C$36,$C65,AO$19:AO$36)=0,"",SUMIF($C$19:$C$36,$C65,AO$19:AO$36))</f>
        <v/>
      </c>
      <c r="AP65" s="65" t="str">
        <f>IF(AO65="","-",AO65*$G65)</f>
        <v>-</v>
      </c>
    </row>
    <row r="66" spans="2:42" ht="11.25" customHeight="1" thickBot="1" x14ac:dyDescent="0.2">
      <c r="B66" s="214"/>
      <c r="C66" s="16" t="s">
        <v>39</v>
      </c>
      <c r="D66" s="16"/>
      <c r="E66" s="13">
        <f>Summary!$N$13</f>
        <v>54</v>
      </c>
      <c r="F66" s="14">
        <f>INDEX(Summary!$F$19:$F$30,MATCH('Unit 1 a'!C66,Summary!$D$19:$D$30,0))</f>
        <v>6.7000000000000004E-2</v>
      </c>
      <c r="G66" s="14">
        <f t="shared" si="215"/>
        <v>3.6180000000000003</v>
      </c>
      <c r="H66" s="33" t="s">
        <v>6</v>
      </c>
      <c r="I66" s="94">
        <f>SUMIF(C15:$C$46,C66,I15:$I$46)</f>
        <v>0</v>
      </c>
      <c r="J66" s="65">
        <f t="shared" si="216"/>
        <v>0</v>
      </c>
      <c r="K66" s="31" t="str">
        <f t="shared" ref="K66:AO66" si="217">IF(SUMIF($C$19:$C$36,$C66,K$19:K$36)=0,"",SUMIF($C$19:$C$36,$C66,K$19:K$36))</f>
        <v/>
      </c>
      <c r="L66" s="65" t="str">
        <f t="shared" ref="L66:AP69" si="218">IF(K66="","-",K66*$G66)</f>
        <v>-</v>
      </c>
      <c r="M66" s="31" t="str">
        <f t="shared" si="217"/>
        <v/>
      </c>
      <c r="N66" s="65" t="str">
        <f t="shared" ref="N66" si="219">IF(M66="","-",M66*$G66)</f>
        <v>-</v>
      </c>
      <c r="O66" s="31" t="str">
        <f t="shared" si="217"/>
        <v/>
      </c>
      <c r="P66" s="65" t="str">
        <f t="shared" ref="P66" si="220">IF(O66="","-",O66*$G66)</f>
        <v>-</v>
      </c>
      <c r="Q66" s="31" t="str">
        <f t="shared" si="217"/>
        <v/>
      </c>
      <c r="R66" s="65" t="str">
        <f t="shared" ref="R66" si="221">IF(Q66="","-",Q66*$G66)</f>
        <v>-</v>
      </c>
      <c r="S66" s="31" t="str">
        <f t="shared" si="217"/>
        <v/>
      </c>
      <c r="T66" s="65" t="str">
        <f t="shared" ref="T66" si="222">IF(S66="","-",S66*$G66)</f>
        <v>-</v>
      </c>
      <c r="U66" s="31" t="str">
        <f t="shared" si="217"/>
        <v/>
      </c>
      <c r="V66" s="65" t="str">
        <f t="shared" ref="V66" si="223">IF(U66="","-",U66*$G66)</f>
        <v>-</v>
      </c>
      <c r="W66" s="31" t="str">
        <f t="shared" si="217"/>
        <v/>
      </c>
      <c r="X66" s="65" t="str">
        <f t="shared" ref="X66" si="224">IF(W66="","-",W66*$G66)</f>
        <v>-</v>
      </c>
      <c r="Y66" s="31" t="str">
        <f t="shared" si="217"/>
        <v/>
      </c>
      <c r="Z66" s="65" t="str">
        <f t="shared" ref="Z66" si="225">IF(Y66="","-",Y66*$G66)</f>
        <v>-</v>
      </c>
      <c r="AA66" s="31" t="str">
        <f t="shared" si="217"/>
        <v/>
      </c>
      <c r="AB66" s="65" t="str">
        <f t="shared" ref="AB66" si="226">IF(AA66="","-",AA66*$G66)</f>
        <v>-</v>
      </c>
      <c r="AC66" s="31" t="str">
        <f t="shared" si="217"/>
        <v/>
      </c>
      <c r="AD66" s="65" t="str">
        <f t="shared" ref="AD66" si="227">IF(AC66="","-",AC66*$G66)</f>
        <v>-</v>
      </c>
      <c r="AE66" s="31" t="str">
        <f t="shared" si="217"/>
        <v/>
      </c>
      <c r="AF66" s="65" t="str">
        <f t="shared" ref="AF66" si="228">IF(AE66="","-",AE66*$G66)</f>
        <v>-</v>
      </c>
      <c r="AG66" s="31" t="str">
        <f t="shared" si="217"/>
        <v/>
      </c>
      <c r="AH66" s="65" t="str">
        <f t="shared" ref="AH66" si="229">IF(AG66="","-",AG66*$G66)</f>
        <v>-</v>
      </c>
      <c r="AI66" s="31" t="str">
        <f t="shared" si="217"/>
        <v/>
      </c>
      <c r="AJ66" s="65" t="str">
        <f t="shared" ref="AJ66" si="230">IF(AI66="","-",AI66*$G66)</f>
        <v>-</v>
      </c>
      <c r="AK66" s="31" t="str">
        <f t="shared" si="217"/>
        <v/>
      </c>
      <c r="AL66" s="65" t="str">
        <f t="shared" ref="AL66:AL69" si="231">IF(AK66="","-",AK66*$G66)</f>
        <v>-</v>
      </c>
      <c r="AM66" s="31" t="str">
        <f t="shared" si="217"/>
        <v/>
      </c>
      <c r="AN66" s="65" t="str">
        <f t="shared" ref="AN66" si="232">IF(AM66="","-",AM66*$G66)</f>
        <v>-</v>
      </c>
      <c r="AO66" s="31" t="str">
        <f t="shared" si="217"/>
        <v/>
      </c>
      <c r="AP66" s="65" t="str">
        <f t="shared" ref="AP66" si="233">IF(AO66="","-",AO66*$G66)</f>
        <v>-</v>
      </c>
    </row>
    <row r="67" spans="2:42" ht="11.25" customHeight="1" thickBot="1" x14ac:dyDescent="0.2">
      <c r="B67" s="214"/>
      <c r="C67" s="16" t="s">
        <v>40</v>
      </c>
      <c r="D67" s="16"/>
      <c r="E67" s="13">
        <f>Summary!$N$13</f>
        <v>54</v>
      </c>
      <c r="F67" s="14">
        <f>INDEX(Summary!$F$19:$F$30,MATCH('Unit 1 a'!C67,Summary!$D$19:$D$30,0))</f>
        <v>5.2999999999999999E-2</v>
      </c>
      <c r="G67" s="14">
        <f t="shared" si="215"/>
        <v>2.8620000000000001</v>
      </c>
      <c r="H67" s="33" t="s">
        <v>6</v>
      </c>
      <c r="I67" s="94">
        <f>SUMIF(C16:$C$46,C67,I16:$I$46)</f>
        <v>0</v>
      </c>
      <c r="J67" s="65">
        <f t="shared" si="216"/>
        <v>0</v>
      </c>
      <c r="K67" s="31" t="str">
        <f>IF(SUMIF($C$19:$C$41,$C67,K$19:K$41)=0,"",SUMIF($C$19:$C$41,$C67,K$19:K$41))</f>
        <v/>
      </c>
      <c r="L67" s="65" t="str">
        <f t="shared" si="218"/>
        <v>-</v>
      </c>
      <c r="M67" s="31" t="str">
        <f>IF(SUMIF($C$19:$C$41,$C67,M$19:M$41)=0,"",SUMIF($C$19:$C$41,$C67,M$19:M$41))</f>
        <v/>
      </c>
      <c r="N67" s="65" t="str">
        <f t="shared" ref="N67" si="234">IF(M67="","-",M67*$G67)</f>
        <v>-</v>
      </c>
      <c r="O67" s="31" t="str">
        <f>IF(SUMIF($C$19:$C$41,$C67,O$19:O$41)=0,"",SUMIF($C$19:$C$41,$C67,O$19:O$41))</f>
        <v/>
      </c>
      <c r="P67" s="65" t="str">
        <f t="shared" ref="P67" si="235">IF(O67="","-",O67*$G67)</f>
        <v>-</v>
      </c>
      <c r="Q67" s="31" t="str">
        <f>IF(SUMIF($C$19:$C$41,$C67,Q$19:Q$41)=0,"",SUMIF($C$19:$C$41,$C67,Q$19:Q$41))</f>
        <v/>
      </c>
      <c r="R67" s="65" t="str">
        <f t="shared" ref="R67" si="236">IF(Q67="","-",Q67*$G67)</f>
        <v>-</v>
      </c>
      <c r="S67" s="31" t="str">
        <f>IF(SUMIF($C$19:$C$41,$C67,S$19:S$41)=0,"",SUMIF($C$19:$C$41,$C67,S$19:S$41))</f>
        <v/>
      </c>
      <c r="T67" s="65" t="str">
        <f t="shared" ref="T67" si="237">IF(S67="","-",S67*$G67)</f>
        <v>-</v>
      </c>
      <c r="U67" s="31" t="str">
        <f>IF(SUMIF($C$19:$C$41,$C67,U$19:U$41)=0,"",SUMIF($C$19:$C$41,$C67,U$19:U$41))</f>
        <v/>
      </c>
      <c r="V67" s="65" t="str">
        <f t="shared" ref="V67" si="238">IF(U67="","-",U67*$G67)</f>
        <v>-</v>
      </c>
      <c r="W67" s="31" t="str">
        <f>IF(SUMIF($C$19:$C$41,$C67,W$19:W$41)=0,"",SUMIF($C$19:$C$41,$C67,W$19:W$41))</f>
        <v/>
      </c>
      <c r="X67" s="65" t="str">
        <f t="shared" ref="X67" si="239">IF(W67="","-",W67*$G67)</f>
        <v>-</v>
      </c>
      <c r="Y67" s="31" t="str">
        <f>IF(SUMIF($C$19:$C$41,$C67,Y$19:Y$41)=0,"",SUMIF($C$19:$C$41,$C67,Y$19:Y$41))</f>
        <v/>
      </c>
      <c r="Z67" s="65" t="str">
        <f t="shared" ref="Z67" si="240">IF(Y67="","-",Y67*$G67)</f>
        <v>-</v>
      </c>
      <c r="AA67" s="31" t="str">
        <f>IF(SUMIF($C$19:$C$41,$C67,AA$19:AA$41)=0,"",SUMIF($C$19:$C$41,$C67,AA$19:AA$41))</f>
        <v/>
      </c>
      <c r="AB67" s="65" t="str">
        <f t="shared" ref="AB67" si="241">IF(AA67="","-",AA67*$G67)</f>
        <v>-</v>
      </c>
      <c r="AC67" s="31" t="str">
        <f>IF(SUMIF($C$19:$C$41,$C67,AC$19:AC$41)=0,"",SUMIF($C$19:$C$41,$C67,AC$19:AC$41))</f>
        <v/>
      </c>
      <c r="AD67" s="65" t="str">
        <f t="shared" ref="AD67" si="242">IF(AC67="","-",AC67*$G67)</f>
        <v>-</v>
      </c>
      <c r="AE67" s="31" t="str">
        <f>IF(SUMIF($C$19:$C$41,$C67,AE$19:AE$41)=0,"",SUMIF($C$19:$C$41,$C67,AE$19:AE$41))</f>
        <v/>
      </c>
      <c r="AF67" s="65" t="str">
        <f t="shared" ref="AF67" si="243">IF(AE67="","-",AE67*$G67)</f>
        <v>-</v>
      </c>
      <c r="AG67" s="31" t="str">
        <f>IF(SUMIF($C$19:$C$41,$C67,AG$19:AG$41)=0,"",SUMIF($C$19:$C$41,$C67,AG$19:AG$41))</f>
        <v/>
      </c>
      <c r="AH67" s="65" t="str">
        <f t="shared" ref="AH67" si="244">IF(AG67="","-",AG67*$G67)</f>
        <v>-</v>
      </c>
      <c r="AI67" s="31" t="str">
        <f>IF(SUMIF($C$19:$C$41,$C67,AI$19:AI$41)=0,"",SUMIF($C$19:$C$41,$C67,AI$19:AI$41))</f>
        <v/>
      </c>
      <c r="AJ67" s="65" t="str">
        <f t="shared" ref="AJ67" si="245">IF(AI67="","-",AI67*$G67)</f>
        <v>-</v>
      </c>
      <c r="AK67" s="31" t="str">
        <f>IF(SUMIF($C$19:$C$41,$C67,AK$19:AK$41)=0,"",SUMIF($C$19:$C$41,$C67,AK$19:AK$41))</f>
        <v/>
      </c>
      <c r="AL67" s="65" t="str">
        <f t="shared" si="231"/>
        <v>-</v>
      </c>
      <c r="AM67" s="31" t="str">
        <f>IF(SUMIF($C$19:$C$41,$C67,AM$19:AM$41)=0,"",SUMIF($C$19:$C$41,$C67,AM$19:AM$41))</f>
        <v/>
      </c>
      <c r="AN67" s="65" t="str">
        <f t="shared" ref="AN67" si="246">IF(AM67="","-",AM67*$G67)</f>
        <v>-</v>
      </c>
      <c r="AO67" s="31" t="str">
        <f>IF(SUMIF($C$19:$C$41,$C67,AO$19:AO$41)=0,"",SUMIF($C$19:$C$41,$C67,AO$19:AO$41))</f>
        <v/>
      </c>
      <c r="AP67" s="65" t="str">
        <f t="shared" ref="AP67" si="247">IF(AO67="","-",AO67*$G67)</f>
        <v>-</v>
      </c>
    </row>
    <row r="68" spans="2:42" ht="11.25" customHeight="1" thickBot="1" x14ac:dyDescent="0.2">
      <c r="B68" s="214"/>
      <c r="C68" s="16" t="s">
        <v>38</v>
      </c>
      <c r="D68" s="16" t="s">
        <v>46</v>
      </c>
      <c r="E68" s="16">
        <v>27</v>
      </c>
      <c r="F68" s="14">
        <f>INDEX(Summary!$F$19:$F$30,MATCH('Unit 1 a'!C68,Summary!$D$19:$D$30,0))</f>
        <v>7.6999999999999999E-2</v>
      </c>
      <c r="G68" s="14">
        <f t="shared" si="215"/>
        <v>2.0790000000000002</v>
      </c>
      <c r="H68" s="33" t="s">
        <v>6</v>
      </c>
      <c r="I68" s="94">
        <f>SUMIF(C38:$C$39,C68,I38:$I$39)</f>
        <v>0</v>
      </c>
      <c r="J68" s="65">
        <f t="shared" si="216"/>
        <v>0</v>
      </c>
      <c r="K68" s="31" t="str">
        <f>IF(SUM(K38:K39)=0,"",SUM(K38:K39))</f>
        <v/>
      </c>
      <c r="L68" s="65" t="str">
        <f t="shared" si="218"/>
        <v>-</v>
      </c>
      <c r="M68" s="31" t="str">
        <f>IF(SUM(M38:M39)=0,"",SUM(M38:M39))</f>
        <v/>
      </c>
      <c r="N68" s="65" t="str">
        <f t="shared" si="218"/>
        <v>-</v>
      </c>
      <c r="O68" s="31" t="str">
        <f>IF(SUM(O38:O39)=0,"",SUM(O38:O39))</f>
        <v/>
      </c>
      <c r="P68" s="65" t="str">
        <f t="shared" si="218"/>
        <v>-</v>
      </c>
      <c r="Q68" s="31" t="str">
        <f>IF(SUM(Q38:Q39)=0,"",SUM(Q38:Q39))</f>
        <v/>
      </c>
      <c r="R68" s="65" t="str">
        <f t="shared" si="218"/>
        <v>-</v>
      </c>
      <c r="S68" s="31" t="str">
        <f>IF(SUM(S38:S39)=0,"",SUM(S38:S39))</f>
        <v/>
      </c>
      <c r="T68" s="65" t="str">
        <f t="shared" si="218"/>
        <v>-</v>
      </c>
      <c r="U68" s="31" t="str">
        <f>IF(SUM(U38:U39)=0,"",SUM(U38:U39))</f>
        <v/>
      </c>
      <c r="V68" s="65" t="str">
        <f t="shared" si="218"/>
        <v>-</v>
      </c>
      <c r="W68" s="31" t="str">
        <f>IF(SUM(W38:W39)=0,"",SUM(W38:W39))</f>
        <v/>
      </c>
      <c r="X68" s="65" t="str">
        <f t="shared" si="218"/>
        <v>-</v>
      </c>
      <c r="Y68" s="31" t="str">
        <f>IF(SUM(Y38:Y39)=0,"",SUM(Y38:Y39))</f>
        <v/>
      </c>
      <c r="Z68" s="65" t="str">
        <f t="shared" si="218"/>
        <v>-</v>
      </c>
      <c r="AA68" s="31" t="str">
        <f>IF(SUM(AA38:AA39)=0,"",SUM(AA38:AA39))</f>
        <v/>
      </c>
      <c r="AB68" s="65" t="str">
        <f t="shared" si="218"/>
        <v>-</v>
      </c>
      <c r="AC68" s="31" t="str">
        <f>IF(SUM(AC38:AC39)=0,"",SUM(AC38:AC39))</f>
        <v/>
      </c>
      <c r="AD68" s="65" t="str">
        <f t="shared" si="218"/>
        <v>-</v>
      </c>
      <c r="AE68" s="31" t="str">
        <f>IF(SUM(AE38:AE39)=0,"",SUM(AE38:AE39))</f>
        <v/>
      </c>
      <c r="AF68" s="65" t="str">
        <f t="shared" si="218"/>
        <v>-</v>
      </c>
      <c r="AG68" s="31" t="str">
        <f>IF(SUM(AG38:AG39)=0,"",SUM(AG38:AG39))</f>
        <v/>
      </c>
      <c r="AH68" s="65" t="str">
        <f t="shared" si="218"/>
        <v>-</v>
      </c>
      <c r="AI68" s="31" t="str">
        <f>IF(SUM(AI38:AI39)=0,"",SUM(AI38:AI39))</f>
        <v/>
      </c>
      <c r="AJ68" s="65" t="str">
        <f t="shared" si="218"/>
        <v>-</v>
      </c>
      <c r="AK68" s="31" t="str">
        <f>IF(SUM(AK38:AK39)=0,"",SUM(AK38:AK39))</f>
        <v/>
      </c>
      <c r="AL68" s="65" t="str">
        <f t="shared" si="231"/>
        <v>-</v>
      </c>
      <c r="AM68" s="31" t="str">
        <f>IF(SUM(AM38:AM39)=0,"",SUM(AM38:AM39))</f>
        <v/>
      </c>
      <c r="AN68" s="65" t="str">
        <f t="shared" si="218"/>
        <v>-</v>
      </c>
      <c r="AO68" s="31" t="str">
        <f>IF(SUM(AO38:AO39)=0,"",SUM(AO38:AO39))</f>
        <v/>
      </c>
      <c r="AP68" s="65" t="str">
        <f t="shared" si="218"/>
        <v>-</v>
      </c>
    </row>
    <row r="69" spans="2:42" ht="11.25" customHeight="1" thickBot="1" x14ac:dyDescent="0.2">
      <c r="B69" s="213"/>
      <c r="C69" s="18" t="s">
        <v>39</v>
      </c>
      <c r="D69" s="18" t="s">
        <v>45</v>
      </c>
      <c r="E69" s="18">
        <v>27</v>
      </c>
      <c r="F69" s="14">
        <f>INDEX(Summary!$F$19:$F$30,MATCH('Unit 1 a'!C69,Summary!$D$19:$D$30,0))</f>
        <v>6.7000000000000004E-2</v>
      </c>
      <c r="G69" s="14">
        <f t="shared" si="215"/>
        <v>1.8090000000000002</v>
      </c>
      <c r="H69" s="34" t="s">
        <v>6</v>
      </c>
      <c r="I69" s="94">
        <f>SUMIF(C37:$C$41,C69,I37:$I$41)</f>
        <v>0</v>
      </c>
      <c r="J69" s="65">
        <f t="shared" si="216"/>
        <v>0</v>
      </c>
      <c r="K69" s="31" t="str">
        <f>IF(K37="","",K37)</f>
        <v/>
      </c>
      <c r="L69" s="65" t="str">
        <f t="shared" si="218"/>
        <v>-</v>
      </c>
      <c r="M69" s="31" t="str">
        <f>IF(M37="","",M37)</f>
        <v/>
      </c>
      <c r="N69" s="65" t="str">
        <f t="shared" si="218"/>
        <v>-</v>
      </c>
      <c r="O69" s="31" t="str">
        <f>IF(O37="","",O37)</f>
        <v/>
      </c>
      <c r="P69" s="65" t="str">
        <f t="shared" si="218"/>
        <v>-</v>
      </c>
      <c r="Q69" s="31" t="str">
        <f>IF(Q37="","",Q37)</f>
        <v/>
      </c>
      <c r="R69" s="65" t="str">
        <f t="shared" si="218"/>
        <v>-</v>
      </c>
      <c r="S69" s="31" t="str">
        <f>IF(S37="","",S37)</f>
        <v/>
      </c>
      <c r="T69" s="65" t="str">
        <f t="shared" si="218"/>
        <v>-</v>
      </c>
      <c r="U69" s="31" t="str">
        <f>IF(U37="","",U37)</f>
        <v/>
      </c>
      <c r="V69" s="65" t="str">
        <f t="shared" si="218"/>
        <v>-</v>
      </c>
      <c r="W69" s="31" t="str">
        <f>IF(W37="","",W37)</f>
        <v/>
      </c>
      <c r="X69" s="65" t="str">
        <f t="shared" si="218"/>
        <v>-</v>
      </c>
      <c r="Y69" s="31" t="str">
        <f>IF(Y37="","",Y37)</f>
        <v/>
      </c>
      <c r="Z69" s="65" t="str">
        <f t="shared" si="218"/>
        <v>-</v>
      </c>
      <c r="AA69" s="31" t="str">
        <f>IF(AA37="","",AA37)</f>
        <v/>
      </c>
      <c r="AB69" s="65" t="str">
        <f t="shared" si="218"/>
        <v>-</v>
      </c>
      <c r="AC69" s="31" t="str">
        <f>IF(AC37="","",AC37)</f>
        <v/>
      </c>
      <c r="AD69" s="65" t="str">
        <f t="shared" si="218"/>
        <v>-</v>
      </c>
      <c r="AE69" s="31" t="str">
        <f>IF(AE37="","",AE37)</f>
        <v/>
      </c>
      <c r="AF69" s="65" t="str">
        <f t="shared" si="218"/>
        <v>-</v>
      </c>
      <c r="AG69" s="31" t="str">
        <f>IF(AG37="","",AG37)</f>
        <v/>
      </c>
      <c r="AH69" s="65" t="str">
        <f t="shared" si="218"/>
        <v>-</v>
      </c>
      <c r="AI69" s="31" t="str">
        <f>IF(AI37="","",AI37)</f>
        <v/>
      </c>
      <c r="AJ69" s="65" t="str">
        <f t="shared" si="218"/>
        <v>-</v>
      </c>
      <c r="AK69" s="31" t="str">
        <f>IF(AK37="","",AK37)</f>
        <v/>
      </c>
      <c r="AL69" s="65" t="str">
        <f t="shared" si="231"/>
        <v>-</v>
      </c>
      <c r="AM69" s="31" t="str">
        <f>IF(AM37="","",AM37)</f>
        <v/>
      </c>
      <c r="AN69" s="65" t="str">
        <f t="shared" si="218"/>
        <v>-</v>
      </c>
      <c r="AO69" s="31" t="str">
        <f>IF(AO37="","",AO37)</f>
        <v/>
      </c>
      <c r="AP69" s="65" t="str">
        <f t="shared" si="218"/>
        <v>-</v>
      </c>
    </row>
    <row r="70" spans="2:42" ht="11.25" customHeight="1" thickBot="1" x14ac:dyDescent="0.2">
      <c r="B70" s="212" t="s">
        <v>81</v>
      </c>
      <c r="C70" s="13" t="s">
        <v>41</v>
      </c>
      <c r="D70" s="13"/>
      <c r="E70" s="13">
        <f>Summary!$N$13</f>
        <v>54</v>
      </c>
      <c r="F70" s="14">
        <f>INDEX(Summary!$F$19:$F$30,MATCH('Unit 1 a'!C70,Summary!$D$19:$D$30,0))</f>
        <v>2.5999999999999999E-2</v>
      </c>
      <c r="G70" s="14">
        <f t="shared" si="215"/>
        <v>1.4039999999999999</v>
      </c>
      <c r="H70" s="32" t="s">
        <v>6</v>
      </c>
      <c r="I70" s="94">
        <f>SUMIF(C19:$C$46,C70,I19:$I$46)</f>
        <v>1474</v>
      </c>
      <c r="J70" s="65">
        <f t="shared" si="216"/>
        <v>2069.4960000000001</v>
      </c>
      <c r="K70" s="31">
        <f>IF(SUMIF($C$9:$C$46,$C70,K$9:K$46)=0,"",SUMIF($C$9:$C$46,$C70,K$9:K$46))</f>
        <v>163</v>
      </c>
      <c r="L70" s="65">
        <f>IF(K70="","-",K70*$G70)</f>
        <v>228.85199999999998</v>
      </c>
      <c r="M70" s="31">
        <f>IF(SUMIF($C$9:$C$46,$C70,M$9:M$46)=0,"",SUMIF($C$9:$C$46,$C70,M$9:M$46))</f>
        <v>236</v>
      </c>
      <c r="N70" s="65">
        <f>IF(M70="","-",M70*$G70)</f>
        <v>331.34399999999999</v>
      </c>
      <c r="O70" s="31">
        <f>IF(SUMIF($C$9:$C$46,$C70,O$9:O$46)=0,"",SUMIF($C$9:$C$46,$C70,O$9:O$46))</f>
        <v>371</v>
      </c>
      <c r="P70" s="65">
        <f>IF(O70="","-",O70*$G70)</f>
        <v>520.88400000000001</v>
      </c>
      <c r="Q70" s="31">
        <f>IF(SUMIF($C$9:$C$46,$C70,Q$9:Q$46)=0,"",SUMIF($C$9:$C$46,$C70,Q$9:Q$46))</f>
        <v>120</v>
      </c>
      <c r="R70" s="65">
        <f>IF(Q70="","-",Q70*$G70)</f>
        <v>168.48</v>
      </c>
      <c r="S70" s="31">
        <f>IF(SUMIF($C$9:$C$46,$C70,S$9:S$46)=0,"",SUMIF($C$9:$C$46,$C70,S$9:S$46))</f>
        <v>89</v>
      </c>
      <c r="T70" s="65">
        <f>IF(S70="","-",S70*$G70)</f>
        <v>124.95599999999999</v>
      </c>
      <c r="U70" s="31">
        <f>IF(SUMIF($C$9:$C$46,$C70,U$9:U$46)=0,"",SUMIF($C$9:$C$46,$C70,U$9:U$46))</f>
        <v>34</v>
      </c>
      <c r="V70" s="65">
        <f>IF(U70="","-",U70*$G70)</f>
        <v>47.735999999999997</v>
      </c>
      <c r="W70" s="31">
        <f>IF(SUMIF($C$9:$C$46,$C70,W$9:W$46)=0,"",SUMIF($C$9:$C$46,$C70,W$9:W$46))</f>
        <v>160</v>
      </c>
      <c r="X70" s="65">
        <f>IF(W70="","-",W70*$G70)</f>
        <v>224.64</v>
      </c>
      <c r="Y70" s="31">
        <f>IF(SUMIF($C$9:$C$46,$C70,Y$9:Y$46)=0,"",SUMIF($C$9:$C$46,$C70,Y$9:Y$46))</f>
        <v>62</v>
      </c>
      <c r="Z70" s="65">
        <f>IF(Y70="","-",Y70*$G70)</f>
        <v>87.048000000000002</v>
      </c>
      <c r="AA70" s="31">
        <f>IF(SUMIF($C$9:$C$46,$C70,AA$9:AA$46)=0,"",SUMIF($C$9:$C$46,$C70,AA$9:AA$46))</f>
        <v>158</v>
      </c>
      <c r="AB70" s="65">
        <f>IF(AA70="","-",AA70*$G70)</f>
        <v>221.83199999999999</v>
      </c>
      <c r="AC70" s="31">
        <f>IF(SUMIF($C$9:$C$46,$C70,AC$9:AC$46)=0,"",SUMIF($C$9:$C$46,$C70,AC$9:AC$46))</f>
        <v>49</v>
      </c>
      <c r="AD70" s="65">
        <f>IF(AC70="","-",AC70*$G70)</f>
        <v>68.795999999999992</v>
      </c>
      <c r="AE70" s="31">
        <f>IF(SUMIF($C$9:$C$46,$C70,AE$9:AE$46)=0,"",SUMIF($C$9:$C$46,$C70,AE$9:AE$46))</f>
        <v>32</v>
      </c>
      <c r="AF70" s="65">
        <f>IF(AE70="","-",AE70*$G70)</f>
        <v>44.927999999999997</v>
      </c>
      <c r="AG70" s="31" t="str">
        <f>IF(SUMIF($C$9:$C$46,$C70,AG$9:AG$46)=0,"",SUMIF($C$9:$C$46,$C70,AG$9:AG$46))</f>
        <v/>
      </c>
      <c r="AH70" s="65" t="str">
        <f>IF(AG70="","-",AG70*$G70)</f>
        <v>-</v>
      </c>
      <c r="AI70" s="31" t="str">
        <f>IF(SUMIF($C$9:$C$46,$C70,AI$9:AI$46)=0,"",SUMIF($C$9:$C$46,$C70,AI$9:AI$46))</f>
        <v/>
      </c>
      <c r="AJ70" s="65" t="str">
        <f>IF(AI70="","-",AI70*$G70)</f>
        <v>-</v>
      </c>
      <c r="AK70" s="31" t="str">
        <f>IF(SUMIF($C$9:$C$46,$C70,AK$9:AK$46)=0,"",SUMIF($C$9:$C$46,$C70,AK$9:AK$46))</f>
        <v/>
      </c>
      <c r="AL70" s="65" t="str">
        <f>IF(AK70="","-",AK70*$G70)</f>
        <v>-</v>
      </c>
      <c r="AM70" s="31" t="str">
        <f>IF(SUMIF($C$9:$C$46,$C70,AM$9:AM$46)=0,"",SUMIF($C$9:$C$46,$C70,AM$9:AM$46))</f>
        <v/>
      </c>
      <c r="AN70" s="65" t="str">
        <f>IF(AM70="","-",AM70*$G70)</f>
        <v>-</v>
      </c>
      <c r="AO70" s="31" t="str">
        <f>IF(SUMIF($C$9:$C$46,$C70,AO$9:AO$46)=0,"",SUMIF($C$9:$C$46,$C70,AO$9:AO$46))</f>
        <v/>
      </c>
      <c r="AP70" s="65" t="str">
        <f>IF(AO70="","-",AO70*$G70)</f>
        <v>-</v>
      </c>
    </row>
    <row r="71" spans="2:42" ht="11.25" customHeight="1" thickBot="1" x14ac:dyDescent="0.2">
      <c r="B71" s="213"/>
      <c r="C71" s="18" t="s">
        <v>42</v>
      </c>
      <c r="D71" s="18"/>
      <c r="E71" s="13">
        <f>Summary!$N$13</f>
        <v>54</v>
      </c>
      <c r="F71" s="14">
        <f>INDEX(Summary!$F$19:$F$30,MATCH('Unit 1 a'!C71,Summary!$D$19:$D$30,0))</f>
        <v>0.26</v>
      </c>
      <c r="G71" s="14">
        <f t="shared" si="215"/>
        <v>14.040000000000001</v>
      </c>
      <c r="H71" s="34" t="s">
        <v>6</v>
      </c>
      <c r="I71" s="94">
        <f>SUMIF(C20:$C$46,C71,I20:$I$46)</f>
        <v>0</v>
      </c>
      <c r="J71" s="65">
        <f t="shared" si="216"/>
        <v>0</v>
      </c>
      <c r="K71" s="31" t="str">
        <f t="shared" ref="K71:K73" si="248">IF(SUMIF($C$9:$C$46,$C71,K$9:K$46)=0,"",SUMIF($C$9:$C$46,$C71,K$9:K$46))</f>
        <v/>
      </c>
      <c r="L71" s="65" t="str">
        <f t="shared" ref="L71:N73" si="249">IF(K71="","-",K71*$G71)</f>
        <v>-</v>
      </c>
      <c r="M71" s="31" t="str">
        <f t="shared" ref="M71:AO73" si="250">IF(SUMIF($C$9:$C$46,$C71,M$9:M$46)=0,"",SUMIF($C$9:$C$46,$C71,M$9:M$46))</f>
        <v/>
      </c>
      <c r="N71" s="65" t="str">
        <f t="shared" si="249"/>
        <v>-</v>
      </c>
      <c r="O71" s="31" t="str">
        <f t="shared" si="250"/>
        <v/>
      </c>
      <c r="P71" s="65" t="str">
        <f t="shared" ref="P71" si="251">IF(O71="","-",O71*$G71)</f>
        <v>-</v>
      </c>
      <c r="Q71" s="31" t="str">
        <f t="shared" si="250"/>
        <v/>
      </c>
      <c r="R71" s="65" t="str">
        <f t="shared" ref="R71" si="252">IF(Q71="","-",Q71*$G71)</f>
        <v>-</v>
      </c>
      <c r="S71" s="31" t="str">
        <f t="shared" si="250"/>
        <v/>
      </c>
      <c r="T71" s="65" t="str">
        <f t="shared" ref="T71" si="253">IF(S71="","-",S71*$G71)</f>
        <v>-</v>
      </c>
      <c r="U71" s="31" t="str">
        <f t="shared" si="250"/>
        <v/>
      </c>
      <c r="V71" s="65" t="str">
        <f t="shared" ref="V71" si="254">IF(U71="","-",U71*$G71)</f>
        <v>-</v>
      </c>
      <c r="W71" s="31" t="str">
        <f t="shared" si="250"/>
        <v/>
      </c>
      <c r="X71" s="65" t="str">
        <f t="shared" ref="X71" si="255">IF(W71="","-",W71*$G71)</f>
        <v>-</v>
      </c>
      <c r="Y71" s="31" t="str">
        <f t="shared" si="250"/>
        <v/>
      </c>
      <c r="Z71" s="65" t="str">
        <f t="shared" ref="Z71" si="256">IF(Y71="","-",Y71*$G71)</f>
        <v>-</v>
      </c>
      <c r="AA71" s="31" t="str">
        <f t="shared" si="250"/>
        <v/>
      </c>
      <c r="AB71" s="65" t="str">
        <f t="shared" ref="AB71" si="257">IF(AA71="","-",AA71*$G71)</f>
        <v>-</v>
      </c>
      <c r="AC71" s="31" t="str">
        <f t="shared" si="250"/>
        <v/>
      </c>
      <c r="AD71" s="65" t="str">
        <f t="shared" ref="AD71" si="258">IF(AC71="","-",AC71*$G71)</f>
        <v>-</v>
      </c>
      <c r="AE71" s="31" t="str">
        <f t="shared" si="250"/>
        <v/>
      </c>
      <c r="AF71" s="65" t="str">
        <f t="shared" ref="AF71" si="259">IF(AE71="","-",AE71*$G71)</f>
        <v>-</v>
      </c>
      <c r="AG71" s="31" t="str">
        <f t="shared" si="250"/>
        <v/>
      </c>
      <c r="AH71" s="65" t="str">
        <f t="shared" ref="AH71" si="260">IF(AG71="","-",AG71*$G71)</f>
        <v>-</v>
      </c>
      <c r="AI71" s="31" t="str">
        <f t="shared" si="250"/>
        <v/>
      </c>
      <c r="AJ71" s="65" t="str">
        <f t="shared" ref="AJ71" si="261">IF(AI71="","-",AI71*$G71)</f>
        <v>-</v>
      </c>
      <c r="AK71" s="31" t="str">
        <f t="shared" si="250"/>
        <v/>
      </c>
      <c r="AL71" s="65" t="str">
        <f t="shared" ref="AL71:AL73" si="262">IF(AK71="","-",AK71*$G71)</f>
        <v>-</v>
      </c>
      <c r="AM71" s="31" t="str">
        <f t="shared" si="250"/>
        <v/>
      </c>
      <c r="AN71" s="65" t="str">
        <f t="shared" ref="AN71" si="263">IF(AM71="","-",AM71*$G71)</f>
        <v>-</v>
      </c>
      <c r="AO71" s="31" t="str">
        <f t="shared" si="250"/>
        <v/>
      </c>
      <c r="AP71" s="65" t="str">
        <f t="shared" ref="AP71" si="264">IF(AO71="","-",AO71*$G71)</f>
        <v>-</v>
      </c>
    </row>
    <row r="72" spans="2:42" ht="11.25" customHeight="1" thickBot="1" x14ac:dyDescent="0.2">
      <c r="B72" s="212" t="s">
        <v>82</v>
      </c>
      <c r="C72" s="13" t="s">
        <v>43</v>
      </c>
      <c r="D72" s="13"/>
      <c r="E72" s="13">
        <f>Summary!$N$13</f>
        <v>54</v>
      </c>
      <c r="F72" s="14">
        <f>INDEX(Summary!$F$19:$F$30,MATCH('Unit 1 a'!C72,Summary!$D$19:$D$30,0))</f>
        <v>5.2999999999999999E-2</v>
      </c>
      <c r="G72" s="14">
        <f t="shared" si="215"/>
        <v>2.8620000000000001</v>
      </c>
      <c r="H72" s="32" t="s">
        <v>6</v>
      </c>
      <c r="I72" s="94">
        <f>SUMIF(C21:$C$46,C72,I21:$I$46)</f>
        <v>399</v>
      </c>
      <c r="J72" s="65">
        <f t="shared" si="216"/>
        <v>1141.9380000000001</v>
      </c>
      <c r="K72" s="31" t="str">
        <f t="shared" si="248"/>
        <v/>
      </c>
      <c r="L72" s="65" t="str">
        <f t="shared" si="249"/>
        <v>-</v>
      </c>
      <c r="M72" s="31" t="str">
        <f t="shared" si="250"/>
        <v/>
      </c>
      <c r="N72" s="65" t="str">
        <f t="shared" si="249"/>
        <v>-</v>
      </c>
      <c r="O72" s="31">
        <f t="shared" si="250"/>
        <v>371</v>
      </c>
      <c r="P72" s="65">
        <f t="shared" ref="P72" si="265">IF(O72="","-",O72*$G72)</f>
        <v>1061.8020000000001</v>
      </c>
      <c r="Q72" s="31">
        <f t="shared" si="250"/>
        <v>28</v>
      </c>
      <c r="R72" s="65">
        <f t="shared" ref="R72" si="266">IF(Q72="","-",Q72*$G72)</f>
        <v>80.135999999999996</v>
      </c>
      <c r="S72" s="31" t="str">
        <f t="shared" si="250"/>
        <v/>
      </c>
      <c r="T72" s="65" t="str">
        <f t="shared" ref="T72" si="267">IF(S72="","-",S72*$G72)</f>
        <v>-</v>
      </c>
      <c r="U72" s="31" t="str">
        <f t="shared" si="250"/>
        <v/>
      </c>
      <c r="V72" s="65" t="str">
        <f t="shared" ref="V72" si="268">IF(U72="","-",U72*$G72)</f>
        <v>-</v>
      </c>
      <c r="W72" s="31" t="str">
        <f t="shared" si="250"/>
        <v/>
      </c>
      <c r="X72" s="65" t="str">
        <f t="shared" ref="X72" si="269">IF(W72="","-",W72*$G72)</f>
        <v>-</v>
      </c>
      <c r="Y72" s="31" t="str">
        <f t="shared" si="250"/>
        <v/>
      </c>
      <c r="Z72" s="65" t="str">
        <f t="shared" ref="Z72" si="270">IF(Y72="","-",Y72*$G72)</f>
        <v>-</v>
      </c>
      <c r="AA72" s="31" t="str">
        <f t="shared" si="250"/>
        <v/>
      </c>
      <c r="AB72" s="65" t="str">
        <f t="shared" ref="AB72" si="271">IF(AA72="","-",AA72*$G72)</f>
        <v>-</v>
      </c>
      <c r="AC72" s="31" t="str">
        <f t="shared" si="250"/>
        <v/>
      </c>
      <c r="AD72" s="65" t="str">
        <f t="shared" ref="AD72" si="272">IF(AC72="","-",AC72*$G72)</f>
        <v>-</v>
      </c>
      <c r="AE72" s="31" t="str">
        <f t="shared" si="250"/>
        <v/>
      </c>
      <c r="AF72" s="65" t="str">
        <f t="shared" ref="AF72" si="273">IF(AE72="","-",AE72*$G72)</f>
        <v>-</v>
      </c>
      <c r="AG72" s="31" t="str">
        <f t="shared" si="250"/>
        <v/>
      </c>
      <c r="AH72" s="65" t="str">
        <f t="shared" ref="AH72" si="274">IF(AG72="","-",AG72*$G72)</f>
        <v>-</v>
      </c>
      <c r="AI72" s="31" t="str">
        <f t="shared" si="250"/>
        <v/>
      </c>
      <c r="AJ72" s="65" t="str">
        <f t="shared" ref="AJ72" si="275">IF(AI72="","-",AI72*$G72)</f>
        <v>-</v>
      </c>
      <c r="AK72" s="31" t="str">
        <f t="shared" si="250"/>
        <v/>
      </c>
      <c r="AL72" s="65" t="str">
        <f t="shared" si="262"/>
        <v>-</v>
      </c>
      <c r="AM72" s="31" t="str">
        <f t="shared" si="250"/>
        <v/>
      </c>
      <c r="AN72" s="65" t="str">
        <f t="shared" ref="AN72" si="276">IF(AM72="","-",AM72*$G72)</f>
        <v>-</v>
      </c>
      <c r="AO72" s="31" t="str">
        <f t="shared" si="250"/>
        <v/>
      </c>
      <c r="AP72" s="65" t="str">
        <f t="shared" ref="AP72" si="277">IF(AO72="","-",AO72*$G72)</f>
        <v>-</v>
      </c>
    </row>
    <row r="73" spans="2:42" ht="11.25" customHeight="1" thickBot="1" x14ac:dyDescent="0.2">
      <c r="B73" s="213"/>
      <c r="C73" s="18" t="s">
        <v>44</v>
      </c>
      <c r="D73" s="18" t="s">
        <v>52</v>
      </c>
      <c r="E73" s="18">
        <v>27</v>
      </c>
      <c r="F73" s="14">
        <f>INDEX(Summary!$F$19:$F$30,MATCH('Unit 1 a'!C73,Summary!$D$19:$D$30,0))</f>
        <v>0.1</v>
      </c>
      <c r="G73" s="14">
        <f t="shared" si="215"/>
        <v>2.7</v>
      </c>
      <c r="H73" s="32" t="s">
        <v>6</v>
      </c>
      <c r="I73" s="94">
        <f>SUMIF(C22:$C$46,C73,I22:$I$46)</f>
        <v>0</v>
      </c>
      <c r="J73" s="65">
        <f t="shared" si="216"/>
        <v>0</v>
      </c>
      <c r="K73" s="31" t="str">
        <f t="shared" si="248"/>
        <v/>
      </c>
      <c r="L73" s="65" t="str">
        <f t="shared" si="249"/>
        <v>-</v>
      </c>
      <c r="M73" s="31" t="str">
        <f t="shared" si="250"/>
        <v/>
      </c>
      <c r="N73" s="65" t="str">
        <f t="shared" si="249"/>
        <v>-</v>
      </c>
      <c r="O73" s="31" t="str">
        <f t="shared" si="250"/>
        <v/>
      </c>
      <c r="P73" s="65" t="str">
        <f t="shared" ref="P73" si="278">IF(O73="","-",O73*$G73)</f>
        <v>-</v>
      </c>
      <c r="Q73" s="31" t="str">
        <f t="shared" si="250"/>
        <v/>
      </c>
      <c r="R73" s="65" t="str">
        <f t="shared" ref="R73" si="279">IF(Q73="","-",Q73*$G73)</f>
        <v>-</v>
      </c>
      <c r="S73" s="31" t="str">
        <f t="shared" si="250"/>
        <v/>
      </c>
      <c r="T73" s="65" t="str">
        <f t="shared" ref="T73" si="280">IF(S73="","-",S73*$G73)</f>
        <v>-</v>
      </c>
      <c r="U73" s="31" t="str">
        <f t="shared" si="250"/>
        <v/>
      </c>
      <c r="V73" s="65" t="str">
        <f t="shared" ref="V73" si="281">IF(U73="","-",U73*$G73)</f>
        <v>-</v>
      </c>
      <c r="W73" s="31" t="str">
        <f t="shared" si="250"/>
        <v/>
      </c>
      <c r="X73" s="65" t="str">
        <f t="shared" ref="X73" si="282">IF(W73="","-",W73*$G73)</f>
        <v>-</v>
      </c>
      <c r="Y73" s="31" t="str">
        <f t="shared" si="250"/>
        <v/>
      </c>
      <c r="Z73" s="65" t="str">
        <f t="shared" ref="Z73" si="283">IF(Y73="","-",Y73*$G73)</f>
        <v>-</v>
      </c>
      <c r="AA73" s="31" t="str">
        <f t="shared" si="250"/>
        <v/>
      </c>
      <c r="AB73" s="65" t="str">
        <f t="shared" ref="AB73" si="284">IF(AA73="","-",AA73*$G73)</f>
        <v>-</v>
      </c>
      <c r="AC73" s="31" t="str">
        <f t="shared" si="250"/>
        <v/>
      </c>
      <c r="AD73" s="65" t="str">
        <f t="shared" ref="AD73" si="285">IF(AC73="","-",AC73*$G73)</f>
        <v>-</v>
      </c>
      <c r="AE73" s="31" t="str">
        <f t="shared" si="250"/>
        <v/>
      </c>
      <c r="AF73" s="65" t="str">
        <f t="shared" ref="AF73" si="286">IF(AE73="","-",AE73*$G73)</f>
        <v>-</v>
      </c>
      <c r="AG73" s="31" t="str">
        <f t="shared" si="250"/>
        <v/>
      </c>
      <c r="AH73" s="65" t="str">
        <f t="shared" ref="AH73" si="287">IF(AG73="","-",AG73*$G73)</f>
        <v>-</v>
      </c>
      <c r="AI73" s="31" t="str">
        <f t="shared" si="250"/>
        <v/>
      </c>
      <c r="AJ73" s="65" t="str">
        <f t="shared" ref="AJ73" si="288">IF(AI73="","-",AI73*$G73)</f>
        <v>-</v>
      </c>
      <c r="AK73" s="31" t="str">
        <f t="shared" si="250"/>
        <v/>
      </c>
      <c r="AL73" s="65" t="str">
        <f t="shared" si="262"/>
        <v>-</v>
      </c>
      <c r="AM73" s="31" t="str">
        <f t="shared" si="250"/>
        <v/>
      </c>
      <c r="AN73" s="65" t="str">
        <f t="shared" ref="AN73" si="289">IF(AM73="","-",AM73*$G73)</f>
        <v>-</v>
      </c>
      <c r="AO73" s="31" t="str">
        <f t="shared" si="250"/>
        <v/>
      </c>
      <c r="AP73" s="65" t="str">
        <f t="shared" ref="AP73" si="290">IF(AO73="","-",AO73*$G73)</f>
        <v>-</v>
      </c>
    </row>
    <row r="74" spans="2:42" ht="11.25" customHeight="1" x14ac:dyDescent="0.15">
      <c r="B74" s="224" t="s">
        <v>67</v>
      </c>
      <c r="C74" s="225"/>
      <c r="D74" s="226"/>
      <c r="E74" s="19">
        <f>Summary!H13</f>
        <v>0.25</v>
      </c>
      <c r="F74" s="19" t="s">
        <v>56</v>
      </c>
      <c r="G74" s="19">
        <f>IF(E74=0.25,0.24,0.35)</f>
        <v>0.24</v>
      </c>
      <c r="H74" s="32" t="s">
        <v>6</v>
      </c>
      <c r="I74" s="95">
        <f>SUM(K74,M74,O74,Q74,S74,U74,W74,Y74,AA74,AC74,AE74,AG74,AI74,AK74,AM74,AO74)</f>
        <v>399</v>
      </c>
      <c r="J74" s="74">
        <f>I50*G74</f>
        <v>3145.2</v>
      </c>
      <c r="K74" s="96">
        <f>SUM(K72:K73)</f>
        <v>0</v>
      </c>
      <c r="L74" s="96">
        <f>$G$74*K$50</f>
        <v>332.52</v>
      </c>
      <c r="M74" s="96">
        <f>SUM(M72:M73)</f>
        <v>0</v>
      </c>
      <c r="N74" s="96">
        <f>$G$74*M$50</f>
        <v>481.44</v>
      </c>
      <c r="O74" s="96">
        <f>SUM(O72:O73)</f>
        <v>371</v>
      </c>
      <c r="P74" s="96">
        <f>$G$74*O$50</f>
        <v>756.83999999999992</v>
      </c>
      <c r="Q74" s="96">
        <f>SUM(Q72:Q73)</f>
        <v>28</v>
      </c>
      <c r="R74" s="96">
        <f>$G$74*Q$50</f>
        <v>244.79999999999998</v>
      </c>
      <c r="S74" s="96">
        <f>SUM(S72:S73)</f>
        <v>0</v>
      </c>
      <c r="T74" s="96">
        <f>$G$74*S$50</f>
        <v>181.56</v>
      </c>
      <c r="U74" s="96">
        <f>SUM(U72:U73)</f>
        <v>0</v>
      </c>
      <c r="V74" s="96">
        <f>$G$74*U$50</f>
        <v>69.36</v>
      </c>
      <c r="W74" s="96">
        <f>SUM(W72:W73)</f>
        <v>0</v>
      </c>
      <c r="X74" s="96">
        <f>$G$74*W$50</f>
        <v>460.79999999999995</v>
      </c>
      <c r="Y74" s="96">
        <f>SUM(Y72:Y73)</f>
        <v>0</v>
      </c>
      <c r="Z74" s="96">
        <f>$G$74*Y$50</f>
        <v>126.47999999999999</v>
      </c>
      <c r="AA74" s="96">
        <f>SUM(AA72:AA73)</f>
        <v>0</v>
      </c>
      <c r="AB74" s="96">
        <f>$G$74*AA$50</f>
        <v>322.32</v>
      </c>
      <c r="AC74" s="96">
        <f>SUM(AC72:AC73)</f>
        <v>0</v>
      </c>
      <c r="AD74" s="96">
        <f>$G$74*AC$50</f>
        <v>99.96</v>
      </c>
      <c r="AE74" s="96">
        <f>SUM(AE72:AE73)</f>
        <v>0</v>
      </c>
      <c r="AF74" s="96">
        <f>$G$74*AE$50</f>
        <v>69.12</v>
      </c>
      <c r="AG74" s="96">
        <f>SUM(AG72:AG73)</f>
        <v>0</v>
      </c>
      <c r="AH74" s="96">
        <f>$G$74*AG$50</f>
        <v>0</v>
      </c>
      <c r="AI74" s="96">
        <f>SUM(AI72:AI73)</f>
        <v>0</v>
      </c>
      <c r="AJ74" s="96">
        <f>$G$74*AI$50</f>
        <v>0</v>
      </c>
      <c r="AK74" s="96">
        <f>SUM(AK72:AK73)</f>
        <v>0</v>
      </c>
      <c r="AL74" s="96">
        <f>$G$74*AK$50</f>
        <v>0</v>
      </c>
      <c r="AM74" s="96">
        <f>SUM(AM72:AM73)</f>
        <v>0</v>
      </c>
      <c r="AN74" s="96">
        <f>$G$74*AM$50</f>
        <v>0</v>
      </c>
      <c r="AO74" s="96">
        <f>SUM(AO72:AO73)</f>
        <v>0</v>
      </c>
      <c r="AP74" s="96">
        <f>$G$74*AO$50</f>
        <v>0</v>
      </c>
    </row>
    <row r="75" spans="2:42" ht="11.25" customHeight="1" x14ac:dyDescent="0.15">
      <c r="B75" s="219" t="s">
        <v>68</v>
      </c>
      <c r="C75" s="220"/>
      <c r="D75" s="220"/>
      <c r="E75" s="220"/>
      <c r="F75" s="220"/>
      <c r="G75" s="220"/>
      <c r="H75" s="241"/>
      <c r="I75" s="97"/>
      <c r="J75" s="68">
        <f>SUM(J60:J74)</f>
        <v>13331.867999999999</v>
      </c>
      <c r="K75" s="98"/>
      <c r="L75" s="68">
        <f>IF(SUM(L60:L74)=0,"",SUM(L60:L74))</f>
        <v>1552.4879999999998</v>
      </c>
      <c r="M75" s="99"/>
      <c r="N75" s="68">
        <f>IF(SUM(N60:N74)=0,"",SUM(N60:N74))</f>
        <v>1166.2139999999999</v>
      </c>
      <c r="O75" s="99"/>
      <c r="P75" s="68">
        <f ca="1">IF(SUM(P60:P74)=0,"",SUM(P60:P74))</f>
        <v>4138.8060000000005</v>
      </c>
      <c r="Q75" s="99"/>
      <c r="R75" s="68">
        <f ca="1">IF(SUM(R60:R74)=0,"",SUM(R60:R74))</f>
        <v>1045.296</v>
      </c>
      <c r="S75" s="99"/>
      <c r="T75" s="68">
        <f ca="1">IF(SUM(T60:T74)=0,"",SUM(T60:T74))</f>
        <v>564.31200000000013</v>
      </c>
      <c r="U75" s="99"/>
      <c r="V75" s="68">
        <f ca="1">IF(SUM(V60:V74)=0,"",SUM(V60:V74))</f>
        <v>237.678</v>
      </c>
      <c r="W75" s="99"/>
      <c r="X75" s="68">
        <f ca="1">IF(SUM(X60:X74)=0,"",SUM(X60:X74))</f>
        <v>1750.644</v>
      </c>
      <c r="Y75" s="99"/>
      <c r="Z75" s="68">
        <f ca="1">IF(SUM(Z60:Z74)=0,"",SUM(Z60:Z74))</f>
        <v>388.16399999999999</v>
      </c>
      <c r="AA75" s="99"/>
      <c r="AB75" s="68">
        <f ca="1">IF(SUM(AB60:AB74)=0,"",SUM(AB60:AB74))</f>
        <v>1638.4619999999998</v>
      </c>
      <c r="AC75" s="99"/>
      <c r="AD75" s="68">
        <f ca="1">IF(SUM(AD60:AD74)=0,"",SUM(AD60:AD74))</f>
        <v>168.75599999999997</v>
      </c>
      <c r="AE75" s="99"/>
      <c r="AF75" s="68">
        <f ca="1">IF(SUM(AF60:AF74)=0,"",SUM(AF60:AF74))</f>
        <v>114.048</v>
      </c>
      <c r="AG75" s="99"/>
      <c r="AH75" s="68" t="str">
        <f ca="1">IF(SUM(AH60:AH74)=0,"",SUM(AH60:AH74))</f>
        <v/>
      </c>
      <c r="AI75" s="99"/>
      <c r="AJ75" s="68" t="str">
        <f ca="1">IF(SUM(AJ60:AJ74)=0,"",SUM(AJ60:AJ74))</f>
        <v/>
      </c>
      <c r="AK75" s="99"/>
      <c r="AL75" s="68" t="str">
        <f ca="1">IF(SUM(AL60:AL74)=0,"",SUM(AL60:AL74))</f>
        <v/>
      </c>
      <c r="AM75" s="99"/>
      <c r="AN75" s="68" t="str">
        <f ca="1">IF(SUM(AN60:AN74)=0,"",SUM(AN60:AN74))</f>
        <v/>
      </c>
      <c r="AO75" s="99"/>
      <c r="AP75" s="68" t="str">
        <f ca="1">IF(SUM(AP60:AP74)=0,"",SUM(AP60:AP74))</f>
        <v/>
      </c>
    </row>
    <row r="76" spans="2:42" ht="11.25" customHeight="1" x14ac:dyDescent="0.15">
      <c r="B76" s="242" t="s">
        <v>59</v>
      </c>
      <c r="C76" s="233"/>
      <c r="D76" s="233"/>
      <c r="E76" s="233"/>
      <c r="F76" s="233"/>
      <c r="G76" s="35">
        <v>15</v>
      </c>
      <c r="H76" s="36" t="s">
        <v>73</v>
      </c>
      <c r="I76" s="97"/>
      <c r="J76" s="68">
        <f>J75*G76/100</f>
        <v>1999.7801999999999</v>
      </c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</row>
    <row r="77" spans="2:42" ht="11.25" customHeight="1" x14ac:dyDescent="0.15">
      <c r="B77" s="107" t="s">
        <v>69</v>
      </c>
      <c r="C77" s="108"/>
      <c r="D77" s="108"/>
      <c r="E77" s="108" t="s">
        <v>216</v>
      </c>
      <c r="F77" s="108"/>
      <c r="G77" s="110">
        <f>J77/0.95/12000</f>
        <v>1.3448814210526314</v>
      </c>
      <c r="H77" s="109" t="s">
        <v>149</v>
      </c>
      <c r="I77" s="97"/>
      <c r="J77" s="68">
        <f>SUM(J75:J76)</f>
        <v>15331.648199999998</v>
      </c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</row>
    <row r="78" spans="2:42" ht="11.25" customHeight="1" x14ac:dyDescent="0.15">
      <c r="B78" s="243" t="s">
        <v>70</v>
      </c>
      <c r="C78" s="244"/>
      <c r="D78" s="244"/>
      <c r="E78" s="244"/>
      <c r="F78" s="244"/>
      <c r="G78" s="244"/>
      <c r="H78" s="245"/>
      <c r="I78" s="97"/>
      <c r="J78" s="100">
        <f>J77/3413</f>
        <v>4.492132493407559</v>
      </c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</row>
    <row r="79" spans="2:42" ht="11.25" customHeight="1" thickBot="1" x14ac:dyDescent="0.2">
      <c r="B79" s="236" t="s">
        <v>62</v>
      </c>
      <c r="C79" s="237"/>
      <c r="D79" s="237"/>
      <c r="E79" s="37">
        <v>5</v>
      </c>
      <c r="F79" s="38" t="s">
        <v>74</v>
      </c>
      <c r="G79" s="246" t="s">
        <v>75</v>
      </c>
      <c r="H79" s="247"/>
      <c r="I79" s="97"/>
      <c r="J79" s="68">
        <f>E56*400</f>
        <v>700</v>
      </c>
      <c r="K79" s="98"/>
      <c r="L79" s="68">
        <f>IF(L75="","",L75/$J$75*$J$79)</f>
        <v>81.514578452171889</v>
      </c>
      <c r="M79" s="98"/>
      <c r="N79" s="68">
        <f>IF(N75="","",N75/$J$75*$J$79)</f>
        <v>61.232964502798865</v>
      </c>
      <c r="O79" s="98"/>
      <c r="P79" s="68">
        <f ca="1">IF(P75="","",P75/$J$75*$J$79)</f>
        <v>217.31119750060537</v>
      </c>
      <c r="Q79" s="98"/>
      <c r="R79" s="68">
        <f ca="1">IF(R75="","",R75/$J$75*$J$79)</f>
        <v>54.884071759486375</v>
      </c>
      <c r="S79" s="98"/>
      <c r="T79" s="68">
        <f ca="1">IF(T75="","",T75/$J$75*$J$79)</f>
        <v>29.629636297029052</v>
      </c>
      <c r="U79" s="98"/>
      <c r="V79" s="68">
        <f ca="1">IF(V75="","",V75/$J$75*$J$79)</f>
        <v>12.479466493367623</v>
      </c>
      <c r="W79" s="98"/>
      <c r="X79" s="68">
        <f ca="1">IF(X75="","",X75/$J$75*$J$79)</f>
        <v>91.918911888416531</v>
      </c>
      <c r="Y79" s="98"/>
      <c r="Z79" s="68">
        <f ca="1">IF(Z75="","",Z75/$J$75*$J$79)</f>
        <v>20.380849855399109</v>
      </c>
      <c r="AA79" s="98"/>
      <c r="AB79" s="68">
        <f ca="1">IF(AB75="","",AB75/$J$75*$J$79)</f>
        <v>86.028709555180114</v>
      </c>
      <c r="AC79" s="98"/>
      <c r="AD79" s="68">
        <f ca="1">IF(AD75="","",AD75/$J$75*$J$79)</f>
        <v>8.8606637869501856</v>
      </c>
      <c r="AE79" s="98"/>
      <c r="AF79" s="68">
        <f ca="1">IF(AF75="","",AF75/$J$75*$J$79)</f>
        <v>5.9881781007732755</v>
      </c>
      <c r="AG79" s="98"/>
      <c r="AH79" s="68" t="str">
        <f ca="1">IF(AH75="","",AH75/$J$75*$J$79)</f>
        <v/>
      </c>
      <c r="AI79" s="98"/>
      <c r="AJ79" s="68" t="str">
        <f ca="1">IF(AJ75="","",AJ75/$J$75*$J$79)</f>
        <v/>
      </c>
      <c r="AK79" s="98"/>
      <c r="AL79" s="68" t="str">
        <f ca="1">IF(AL75="","",AL75/$J$75*$J$79)</f>
        <v/>
      </c>
      <c r="AM79" s="98"/>
      <c r="AN79" s="68" t="str">
        <f ca="1">IF(AN75="","",AN75/$J$75*$J$79)</f>
        <v/>
      </c>
      <c r="AO79" s="98"/>
      <c r="AP79" s="68" t="str">
        <f ca="1">IF(AP75="","",AP75/$J$75*$J$79)</f>
        <v/>
      </c>
    </row>
    <row r="80" spans="2:42" x14ac:dyDescent="0.15">
      <c r="J80" s="39"/>
    </row>
    <row r="81" spans="10:10" x14ac:dyDescent="0.15">
      <c r="J81" s="39"/>
    </row>
    <row r="82" spans="10:10" x14ac:dyDescent="0.15">
      <c r="J82" s="39"/>
    </row>
    <row r="83" spans="10:10" x14ac:dyDescent="0.15">
      <c r="J83" s="39"/>
    </row>
    <row r="84" spans="10:10" x14ac:dyDescent="0.15">
      <c r="J84" s="39"/>
    </row>
    <row r="85" spans="10:10" x14ac:dyDescent="0.15">
      <c r="J85" s="39"/>
    </row>
    <row r="86" spans="10:10" x14ac:dyDescent="0.15">
      <c r="J86" s="39"/>
    </row>
  </sheetData>
  <mergeCells count="111">
    <mergeCell ref="AM58:AN58"/>
    <mergeCell ref="AO58:AP58"/>
    <mergeCell ref="AM6:AN6"/>
    <mergeCell ref="AO6:AP6"/>
    <mergeCell ref="AM7:AN7"/>
    <mergeCell ref="AO7:AP7"/>
    <mergeCell ref="AM57:AN57"/>
    <mergeCell ref="AO57:AP57"/>
    <mergeCell ref="I6:J6"/>
    <mergeCell ref="U6:V6"/>
    <mergeCell ref="AI6:AJ6"/>
    <mergeCell ref="AG6:AH6"/>
    <mergeCell ref="AC57:AD57"/>
    <mergeCell ref="AE57:AF57"/>
    <mergeCell ref="AG57:AH57"/>
    <mergeCell ref="AI57:AJ57"/>
    <mergeCell ref="W57:X57"/>
    <mergeCell ref="Y57:Z57"/>
    <mergeCell ref="AA57:AB57"/>
    <mergeCell ref="AA58:AB58"/>
    <mergeCell ref="AC58:AD58"/>
    <mergeCell ref="AE58:AF58"/>
    <mergeCell ref="AG58:AH58"/>
    <mergeCell ref="AI58:AJ58"/>
    <mergeCell ref="AG7:AH7"/>
    <mergeCell ref="AI7:AJ7"/>
    <mergeCell ref="K7:L7"/>
    <mergeCell ref="M7:N7"/>
    <mergeCell ref="O7:P7"/>
    <mergeCell ref="Q7:R7"/>
    <mergeCell ref="U7:V7"/>
    <mergeCell ref="W7:X7"/>
    <mergeCell ref="S7:T7"/>
    <mergeCell ref="Y7:Z7"/>
    <mergeCell ref="AA7:AB7"/>
    <mergeCell ref="AC7:AD7"/>
    <mergeCell ref="AE7:AF7"/>
    <mergeCell ref="U57:V57"/>
    <mergeCell ref="B50:F50"/>
    <mergeCell ref="W6:X6"/>
    <mergeCell ref="Y6:Z6"/>
    <mergeCell ref="AA6:AB6"/>
    <mergeCell ref="AC6:AD6"/>
    <mergeCell ref="AE6:AF6"/>
    <mergeCell ref="K6:L6"/>
    <mergeCell ref="M6:N6"/>
    <mergeCell ref="O6:P6"/>
    <mergeCell ref="Q6:R6"/>
    <mergeCell ref="S6:T6"/>
    <mergeCell ref="B7:D7"/>
    <mergeCell ref="E7:E8"/>
    <mergeCell ref="F7:F8"/>
    <mergeCell ref="G7:H8"/>
    <mergeCell ref="I7:J7"/>
    <mergeCell ref="Y58:Z58"/>
    <mergeCell ref="M58:N58"/>
    <mergeCell ref="O58:P58"/>
    <mergeCell ref="Q58:R58"/>
    <mergeCell ref="S58:T58"/>
    <mergeCell ref="U58:V58"/>
    <mergeCell ref="W58:X58"/>
    <mergeCell ref="B72:B73"/>
    <mergeCell ref="B58:D58"/>
    <mergeCell ref="E58:E59"/>
    <mergeCell ref="F58:F59"/>
    <mergeCell ref="G58:H59"/>
    <mergeCell ref="I58:J58"/>
    <mergeCell ref="K58:L58"/>
    <mergeCell ref="N1:R1"/>
    <mergeCell ref="N2:R2"/>
    <mergeCell ref="Q57:R57"/>
    <mergeCell ref="S57:T57"/>
    <mergeCell ref="B79:D79"/>
    <mergeCell ref="B9:B18"/>
    <mergeCell ref="B19:B20"/>
    <mergeCell ref="B21:B28"/>
    <mergeCell ref="B29:B36"/>
    <mergeCell ref="B37:B41"/>
    <mergeCell ref="B42:B43"/>
    <mergeCell ref="B44:B46"/>
    <mergeCell ref="B47:B49"/>
    <mergeCell ref="B60:B62"/>
    <mergeCell ref="B74:D74"/>
    <mergeCell ref="B75:H75"/>
    <mergeCell ref="B76:F76"/>
    <mergeCell ref="B78:H78"/>
    <mergeCell ref="G79:H79"/>
    <mergeCell ref="AK6:AL6"/>
    <mergeCell ref="AK7:AL7"/>
    <mergeCell ref="AK57:AL57"/>
    <mergeCell ref="AK58:AL58"/>
    <mergeCell ref="T1:V1"/>
    <mergeCell ref="T3:V3"/>
    <mergeCell ref="B63:B64"/>
    <mergeCell ref="B65:B69"/>
    <mergeCell ref="B70:B71"/>
    <mergeCell ref="B56:D56"/>
    <mergeCell ref="G56:H56"/>
    <mergeCell ref="I57:J57"/>
    <mergeCell ref="K57:L57"/>
    <mergeCell ref="M57:N57"/>
    <mergeCell ref="O57:P57"/>
    <mergeCell ref="B51:D51"/>
    <mergeCell ref="B52:H52"/>
    <mergeCell ref="B53:F53"/>
    <mergeCell ref="B54:H54"/>
    <mergeCell ref="B55:H55"/>
    <mergeCell ref="Q3:R3"/>
    <mergeCell ref="D47:F47"/>
    <mergeCell ref="D48:F48"/>
    <mergeCell ref="D49:F49"/>
  </mergeCells>
  <phoneticPr fontId="2" type="noConversion"/>
  <pageMargins left="0.7" right="0.7" top="0.75" bottom="0.75" header="0.3" footer="0.3"/>
  <pageSetup scale="56" orientation="landscape" r:id="rId1"/>
  <ignoredErrors>
    <ignoredError sqref="AB48 AD48 AF48 AH48 AJ48 L50:L51 N50:N51 P50:P51 R50:R51 T50:T51 V50:V51 X50:X51 Z50:Z51 AB50:AB51 AD50:AD51 AF50:AF51 AH50:AH51 L74 I65 L48 N48 P48 R48 T48 V48 X48 Z48 M74 O74 Q74 S74 U74 W74 Y74 AA74 AC74 AE74 AG74 AH74:AI74 N74 P74 R74 T74 V74 X74 Z74 AB74 AD74 AF74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6C49E9-F149-4568-8451-8009043D7DB2}">
          <x14:formula1>
            <xm:f>'Glass CLF Calculation'!$A$41:$A$48</xm:f>
          </x14:formula1>
          <xm:sqref>Q3:R3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18AC-71F9-43DD-91FC-B2F685504B09}">
  <sheetPr>
    <pageSetUpPr fitToPage="1"/>
  </sheetPr>
  <dimension ref="B1:AN86"/>
  <sheetViews>
    <sheetView zoomScale="140" zoomScaleNormal="140" workbookViewId="0">
      <pane ySplit="7" topLeftCell="A24" activePane="bottomLeft" state="frozen"/>
      <selection activeCell="J9" sqref="J9:P9"/>
      <selection pane="bottomLeft" activeCell="E57" sqref="E57"/>
    </sheetView>
  </sheetViews>
  <sheetFormatPr baseColWidth="10" defaultColWidth="9.1640625" defaultRowHeight="11" x14ac:dyDescent="0.15"/>
  <cols>
    <col min="1" max="1" width="2" style="1" customWidth="1"/>
    <col min="2" max="2" width="2.5" style="1" customWidth="1"/>
    <col min="3" max="3" width="4.5" style="1" bestFit="1" customWidth="1"/>
    <col min="4" max="4" width="7.83203125" style="1" customWidth="1"/>
    <col min="5" max="5" width="4.6640625" style="1" customWidth="1"/>
    <col min="6" max="6" width="5.33203125" style="1" customWidth="1"/>
    <col min="7" max="7" width="6.5" style="1" customWidth="1"/>
    <col min="8" max="8" width="9.1640625" style="1" customWidth="1"/>
    <col min="9" max="9" width="5.5" style="1" customWidth="1"/>
    <col min="10" max="10" width="5.83203125" style="1" customWidth="1"/>
    <col min="11" max="40" width="5.1640625" style="1" customWidth="1"/>
    <col min="41" max="16384" width="9.1640625" style="1"/>
  </cols>
  <sheetData>
    <row r="1" spans="2:40" x14ac:dyDescent="0.15">
      <c r="B1" s="1" t="s">
        <v>85</v>
      </c>
      <c r="E1" s="1" t="str">
        <f>Summary!F3</f>
        <v>Carillon</v>
      </c>
      <c r="M1" s="2" t="s">
        <v>87</v>
      </c>
      <c r="N1" s="235">
        <v>42998</v>
      </c>
      <c r="O1" s="235"/>
      <c r="P1" s="235"/>
      <c r="Q1" s="235"/>
      <c r="R1" s="235"/>
      <c r="T1" s="211" t="s">
        <v>93</v>
      </c>
      <c r="U1" s="211"/>
      <c r="V1" s="211"/>
      <c r="W1" s="5">
        <f>Summary!G10</f>
        <v>8.5</v>
      </c>
    </row>
    <row r="2" spans="2:40" x14ac:dyDescent="0.15">
      <c r="B2" s="1" t="s">
        <v>84</v>
      </c>
      <c r="E2" s="1" t="str">
        <f>Summary!F4</f>
        <v>Lawrenceville, GA</v>
      </c>
      <c r="M2" s="2" t="s">
        <v>88</v>
      </c>
      <c r="N2" s="228"/>
      <c r="O2" s="228"/>
      <c r="P2" s="228"/>
      <c r="Q2" s="228"/>
      <c r="R2" s="228"/>
    </row>
    <row r="3" spans="2:40" x14ac:dyDescent="0.15">
      <c r="B3" s="1" t="s">
        <v>2</v>
      </c>
      <c r="E3" s="1" t="str">
        <f>Summary!F5</f>
        <v>Millhaven GL</v>
      </c>
      <c r="M3" s="2" t="s">
        <v>89</v>
      </c>
      <c r="N3" s="4" t="s">
        <v>91</v>
      </c>
      <c r="O3" s="4"/>
      <c r="P3" s="4"/>
      <c r="Q3" s="230" t="s">
        <v>239</v>
      </c>
      <c r="R3" s="230"/>
      <c r="T3" s="211" t="s">
        <v>94</v>
      </c>
      <c r="U3" s="211"/>
      <c r="V3" s="211"/>
      <c r="W3" s="5">
        <v>1</v>
      </c>
    </row>
    <row r="4" spans="2:40" ht="12" customHeight="1" x14ac:dyDescent="0.15">
      <c r="E4" s="1" t="s">
        <v>86</v>
      </c>
      <c r="F4" s="2"/>
      <c r="G4" s="3">
        <f>SUM(I44:I46)</f>
        <v>1038</v>
      </c>
      <c r="H4" s="2" t="s">
        <v>54</v>
      </c>
      <c r="I4" s="3">
        <f>I50</f>
        <v>8823</v>
      </c>
      <c r="J4" s="2" t="s">
        <v>92</v>
      </c>
      <c r="K4" s="106">
        <f>G4/E56</f>
        <v>593.14285714285711</v>
      </c>
      <c r="M4" s="2" t="s">
        <v>90</v>
      </c>
      <c r="N4" s="4">
        <v>14</v>
      </c>
    </row>
    <row r="5" spans="2:40" ht="5.25" customHeight="1" thickBot="1" x14ac:dyDescent="0.2"/>
    <row r="6" spans="2:40" ht="13.5" customHeight="1" x14ac:dyDescent="0.15">
      <c r="B6" s="6"/>
      <c r="C6" s="7"/>
      <c r="D6" s="7"/>
      <c r="E6" s="7"/>
      <c r="F6" s="7"/>
      <c r="G6" s="7"/>
      <c r="H6" s="7"/>
      <c r="I6" s="259" t="s">
        <v>32</v>
      </c>
      <c r="J6" s="259"/>
      <c r="K6" s="205">
        <f>$W$1</f>
        <v>8.5</v>
      </c>
      <c r="L6" s="205"/>
      <c r="M6" s="205">
        <f t="shared" ref="M6" si="0">$W$1</f>
        <v>8.5</v>
      </c>
      <c r="N6" s="205"/>
      <c r="O6" s="205">
        <f t="shared" ref="O6" si="1">$W$1</f>
        <v>8.5</v>
      </c>
      <c r="P6" s="205"/>
      <c r="Q6" s="205">
        <f t="shared" ref="Q6" si="2">$W$1</f>
        <v>8.5</v>
      </c>
      <c r="R6" s="205"/>
      <c r="S6" s="205">
        <f t="shared" ref="S6" si="3">$W$1</f>
        <v>8.5</v>
      </c>
      <c r="T6" s="205"/>
      <c r="U6" s="205">
        <f t="shared" ref="U6" si="4">$W$1</f>
        <v>8.5</v>
      </c>
      <c r="V6" s="205"/>
      <c r="W6" s="205">
        <f t="shared" ref="W6" si="5">$W$1</f>
        <v>8.5</v>
      </c>
      <c r="X6" s="205"/>
      <c r="Y6" s="205">
        <f t="shared" ref="Y6" si="6">$W$1</f>
        <v>8.5</v>
      </c>
      <c r="Z6" s="205"/>
      <c r="AA6" s="205">
        <f t="shared" ref="AA6" si="7">$W$1</f>
        <v>8.5</v>
      </c>
      <c r="AB6" s="205"/>
      <c r="AC6" s="205">
        <f t="shared" ref="AC6" si="8">$W$1</f>
        <v>8.5</v>
      </c>
      <c r="AD6" s="205"/>
      <c r="AE6" s="205">
        <f t="shared" ref="AE6" si="9">$W$1</f>
        <v>8.5</v>
      </c>
      <c r="AF6" s="205"/>
      <c r="AG6" s="205">
        <f t="shared" ref="AG6:AK6" si="10">$W$1</f>
        <v>8.5</v>
      </c>
      <c r="AH6" s="205"/>
      <c r="AI6" s="205">
        <f t="shared" ref="AI6" si="11">$W$1</f>
        <v>8.5</v>
      </c>
      <c r="AJ6" s="205"/>
      <c r="AK6" s="205">
        <f t="shared" si="10"/>
        <v>8.5</v>
      </c>
      <c r="AL6" s="205"/>
      <c r="AM6" s="205">
        <f t="shared" ref="AM6" si="12">$W$1</f>
        <v>8.5</v>
      </c>
      <c r="AN6" s="205"/>
    </row>
    <row r="7" spans="2:40" s="9" customFormat="1" ht="36" customHeight="1" x14ac:dyDescent="0.2">
      <c r="B7" s="254" t="s">
        <v>0</v>
      </c>
      <c r="C7" s="255"/>
      <c r="D7" s="255"/>
      <c r="E7" s="256" t="s">
        <v>3</v>
      </c>
      <c r="F7" s="256" t="s">
        <v>4</v>
      </c>
      <c r="G7" s="255" t="s">
        <v>5</v>
      </c>
      <c r="H7" s="206"/>
      <c r="I7" s="255" t="s">
        <v>29</v>
      </c>
      <c r="J7" s="255"/>
      <c r="K7" s="255" t="str" cm="1">
        <f t="array" ref="K7">IFERROR(INDEX('Rooms Walls and Glass'!$D$7:$AB$7,MATCH(0,IF('Unit 1 b'!$Q$3='Rooms Walls and Glass'!$D$2:$AB$2,COUNTIF($E$1:$E1,'Rooms Walls and Glass'!E7:AB$7),""),0)),"")</f>
        <v>Entry</v>
      </c>
      <c r="L7" s="255"/>
      <c r="M7" s="255" t="str" cm="1">
        <f t="array" ref="M7">IFERROR(INDEX('Rooms Walls and Glass'!$D$7:$AB$7,MATCH(0,IF('Unit 1 b'!$Q$3='Rooms Walls and Glass'!$D$2:$AB$2,COUNTIF(K7,'Rooms Walls and Glass'!D$7:$AB$7),""),0)),"")</f>
        <v>Family</v>
      </c>
      <c r="N7" s="255"/>
      <c r="O7" s="206" t="str" cm="1">
        <f t="array" ref="O7">IFERROR(INDEX('Rooms Walls and Glass'!$D$7:$AB$7,MATCH(0,IF('Unit 1 b'!$Q$3='Rooms Walls and Glass'!$D$2:$AB$2,COUNTIF(K7:M7,'Rooms Walls and Glass'!D$7:$AB$7),""),0)),"")</f>
        <v>PS WIC</v>
      </c>
      <c r="P7" s="207"/>
      <c r="Q7" s="206" t="str" cm="1">
        <f t="array" ref="Q7">IFERROR(INDEX('Rooms Walls and Glass'!$D$7:$AB$7,MATCH(0,IF('Unit 1 b'!$Q$3='Rooms Walls and Glass'!$D$2:$AB$2,COUNTIF($K$7:O$7,'Rooms Walls and Glass'!D$7:$AB$7),""),0)),"")</f>
        <v>PS Bath</v>
      </c>
      <c r="R7" s="207"/>
      <c r="S7" s="206" t="str" cm="1">
        <f t="array" ref="S7">IFERROR(INDEX('Rooms Walls and Glass'!$D$7:$AB$7,MATCH(0,IF('Unit 1 b'!$Q$3='Rooms Walls and Glass'!$D$2:$AB$2,COUNTIF($K$7:R$7,'Rooms Walls and Glass'!$D$7:$AB$7),""),0)),"")</f>
        <v>PS Bed</v>
      </c>
      <c r="T7" s="207"/>
      <c r="U7" s="206" t="str" cm="1">
        <f t="array" ref="U7">IFERROR(INDEX('Rooms Walls and Glass'!$D$7:$AB$7,MATCH(0,IF('Unit 1 b'!$Q$3='Rooms Walls and Glass'!$D$2:$AB$2,COUNTIF($K$7:T$7,'Rooms Walls and Glass'!$D$7:$AB$7),""),0)),"")</f>
        <v>Breakfast / Kitchen</v>
      </c>
      <c r="V7" s="207"/>
      <c r="W7" s="206" t="str" cm="1">
        <f t="array" ref="W7">IFERROR(INDEX('Rooms Walls and Glass'!$D$7:$AB$7,MATCH(0,IF('Unit 1 b'!$Q$3='Rooms Walls and Glass'!$D$2:$AB$2,COUNTIF($K$7:V$7,'Rooms Walls and Glass'!$D$7:$AB$7),""),0)),"")</f>
        <v>Powder</v>
      </c>
      <c r="X7" s="207"/>
      <c r="Y7" s="206" t="str" cm="1">
        <f t="array" ref="Y7">IFERROR(INDEX('Rooms Walls and Glass'!$D$7:$AB$7,MATCH(0,IF('Unit 1 b'!$Q$3='Rooms Walls and Glass'!$D$2:$AB$2,COUNTIF($K$7:X$7,'Rooms Walls and Glass'!$D$7:$AB$7),""),0)),"")</f>
        <v/>
      </c>
      <c r="Z7" s="207"/>
      <c r="AA7" s="206" t="str" cm="1">
        <f t="array" ref="AA7">IFERROR(INDEX('Rooms Walls and Glass'!$D$7:$AB$7,MATCH(0,IF('Unit 1 b'!$Q$3='Rooms Walls and Glass'!$D$2:$AB$2,COUNTIF($K$7:Z$7,'Rooms Walls and Glass'!$D$7:$AB$7),""),0)),"")</f>
        <v/>
      </c>
      <c r="AB7" s="207"/>
      <c r="AC7" s="206" t="str" cm="1">
        <f t="array" ref="AC7">IFERROR(INDEX('Rooms Walls and Glass'!$D$7:$AB$7,MATCH(0,IF('Unit 1 b'!$Q$3='Rooms Walls and Glass'!$D$2:$AB$2,COUNTIF($K$7:AB$7,'Rooms Walls and Glass'!$D$7:$AB$7),""),0)),"")</f>
        <v/>
      </c>
      <c r="AD7" s="207"/>
      <c r="AE7" s="206" t="str" cm="1">
        <f t="array" ref="AE7">IFERROR(INDEX('Rooms Walls and Glass'!$D$7:$AB$7,MATCH(0,IF('Unit 1 b'!$Q$3='Rooms Walls and Glass'!$D$2:$AB$2,COUNTIF($K$7:AD$7,'Rooms Walls and Glass'!$D$7:$AB$7),""),0)),"")</f>
        <v/>
      </c>
      <c r="AF7" s="207"/>
      <c r="AG7" s="206" t="str" cm="1">
        <f t="array" ref="AG7">IFERROR(INDEX('Rooms Walls and Glass'!$D$7:$AB$7,MATCH(0,IF('Unit 1 b'!$Q$3='Rooms Walls and Glass'!$D$2:$AB$2,COUNTIF($K$7:AF$7,'Rooms Walls and Glass'!$D$7:$AB$7),""),0)),"")</f>
        <v/>
      </c>
      <c r="AH7" s="207"/>
      <c r="AI7" s="206" t="str" cm="1">
        <f t="array" ref="AI7">IFERROR(INDEX('Rooms Walls and Glass'!$D$7:$AB$7,MATCH(0,IF('Unit 1 b'!$Q$3='Rooms Walls and Glass'!$D$2:$AB$2,COUNTIF($K$7:AH$7,'Rooms Walls and Glass'!$D$7:$AB$7),""),0)),"")</f>
        <v/>
      </c>
      <c r="AJ7" s="207"/>
      <c r="AK7" s="206" t="str" cm="1">
        <f t="array" ref="AK7">IFERROR(INDEX('Rooms Walls and Glass'!$D$7:$AB$7,MATCH(0,IF('Unit 1 b'!$Q$3='Rooms Walls and Glass'!$D$2:$AB$2,COUNTIF($K$7:AJ$7,'Rooms Walls and Glass'!$D$7:$AB$7),""),0)),"")</f>
        <v/>
      </c>
      <c r="AL7" s="207"/>
      <c r="AM7" s="206" t="str" cm="1">
        <f t="array" ref="AM7">IFERROR(INDEX('Rooms Walls and Glass'!$D$7:$AB$7,MATCH(0,IF('Unit 1 b'!$Q$3='Rooms Walls and Glass'!$D$2:$AB$2,COUNTIF($K$7:AL$7,'Rooms Walls and Glass'!$D$7:$AB$7),""),0)),"")</f>
        <v/>
      </c>
      <c r="AN7" s="207"/>
    </row>
    <row r="8" spans="2:40" ht="11.25" customHeight="1" thickBot="1" x14ac:dyDescent="0.2">
      <c r="B8" s="40"/>
      <c r="C8" s="18" t="s">
        <v>1</v>
      </c>
      <c r="D8" s="18" t="s">
        <v>2</v>
      </c>
      <c r="E8" s="257"/>
      <c r="F8" s="257"/>
      <c r="G8" s="258"/>
      <c r="H8" s="258"/>
      <c r="I8" s="18" t="s">
        <v>30</v>
      </c>
      <c r="J8" s="18" t="s">
        <v>31</v>
      </c>
      <c r="K8" s="18" t="s">
        <v>30</v>
      </c>
      <c r="L8" s="18" t="s">
        <v>31</v>
      </c>
      <c r="M8" s="18" t="s">
        <v>30</v>
      </c>
      <c r="N8" s="18" t="s">
        <v>31</v>
      </c>
      <c r="O8" s="18" t="s">
        <v>30</v>
      </c>
      <c r="P8" s="18" t="s">
        <v>31</v>
      </c>
      <c r="Q8" s="18" t="s">
        <v>30</v>
      </c>
      <c r="R8" s="18" t="s">
        <v>31</v>
      </c>
      <c r="S8" s="18" t="s">
        <v>30</v>
      </c>
      <c r="T8" s="18" t="s">
        <v>31</v>
      </c>
      <c r="U8" s="18" t="s">
        <v>30</v>
      </c>
      <c r="V8" s="18" t="s">
        <v>31</v>
      </c>
      <c r="W8" s="18" t="s">
        <v>30</v>
      </c>
      <c r="X8" s="18" t="s">
        <v>31</v>
      </c>
      <c r="Y8" s="18" t="s">
        <v>30</v>
      </c>
      <c r="Z8" s="18" t="s">
        <v>31</v>
      </c>
      <c r="AA8" s="18" t="s">
        <v>30</v>
      </c>
      <c r="AB8" s="18" t="s">
        <v>31</v>
      </c>
      <c r="AC8" s="18" t="s">
        <v>30</v>
      </c>
      <c r="AD8" s="18" t="s">
        <v>31</v>
      </c>
      <c r="AE8" s="18" t="s">
        <v>30</v>
      </c>
      <c r="AF8" s="18" t="s">
        <v>31</v>
      </c>
      <c r="AG8" s="18" t="s">
        <v>30</v>
      </c>
      <c r="AH8" s="18" t="s">
        <v>31</v>
      </c>
      <c r="AI8" s="18" t="s">
        <v>30</v>
      </c>
      <c r="AJ8" s="34" t="s">
        <v>31</v>
      </c>
      <c r="AK8" s="18" t="s">
        <v>30</v>
      </c>
      <c r="AL8" s="18" t="s">
        <v>31</v>
      </c>
      <c r="AM8" s="18" t="s">
        <v>30</v>
      </c>
      <c r="AN8" s="34" t="s">
        <v>31</v>
      </c>
    </row>
    <row r="9" spans="2:40" ht="11.25" customHeight="1" thickBot="1" x14ac:dyDescent="0.2">
      <c r="B9" s="212" t="s">
        <v>77</v>
      </c>
      <c r="C9" s="12" t="s">
        <v>7</v>
      </c>
      <c r="D9" s="13" t="str">
        <f>'Rooms Walls and Glass'!A8</f>
        <v>NorthWest</v>
      </c>
      <c r="E9" s="13" t="s">
        <v>8</v>
      </c>
      <c r="F9" s="13" t="s">
        <v>9</v>
      </c>
      <c r="G9" s="103">
        <f>INDEX('Glass CLF Calculation'!$A$4:$G$11,MATCH('Unit 1 b'!D9,'Glass CLF Calculation'!$A$4:$A$11,0),7)</f>
        <v>18.306648888888887</v>
      </c>
      <c r="H9" s="13" t="s">
        <v>6</v>
      </c>
      <c r="I9" s="65">
        <f>SUM(K9,M9,O9,Q9,U9,W9,Y9,AA9,AC9,AE9,AG9,AI9,S9,AK9,AM9)</f>
        <v>36</v>
      </c>
      <c r="J9" s="65">
        <f>IF(I9="","-",I9*$G9)</f>
        <v>659.03935999999999</v>
      </c>
      <c r="K9" s="66" t="str">
        <f>IF(K$7="","",IF(INDEX('Rooms Walls and Glass'!$D$3:$AB$17, MATCH($D9,'Rooms Walls and Glass'!$A$3:$A$17,0), MATCH('Unit 1 b'!K$7,'Rooms Walls and Glass'!$D$1:$AB$1,0))=0,"",INDEX('Rooms Walls and Glass'!$D$3:$AB$17, MATCH($D9,'Rooms Walls and Glass'!$A$3:$A$17,0), MATCH('Unit 1 b'!K$7,'Rooms Walls and Glass'!$D$1:$AB$1,0))))</f>
        <v/>
      </c>
      <c r="L9" s="65" t="str">
        <f>IF(K9="","-",K9*$G9)</f>
        <v>-</v>
      </c>
      <c r="M9" s="66">
        <f>IF(M$7="","",IF(INDEX('Rooms Walls and Glass'!$D$3:$AB$17, MATCH($D9,'Rooms Walls and Glass'!$A$3:$A$17,0), MATCH('Unit 1 b'!M$7,'Rooms Walls and Glass'!$D$1:$AB$1,0))=0,"",INDEX('Rooms Walls and Glass'!$D$3:$AB$17, MATCH($D9,'Rooms Walls and Glass'!$A$3:$A$17,0), MATCH('Unit 1 b'!M$7,'Rooms Walls and Glass'!$D$1:$AB$1,0))))</f>
        <v>36</v>
      </c>
      <c r="N9" s="65">
        <f>IF(M9="","-",M9*$G9)</f>
        <v>659.03935999999999</v>
      </c>
      <c r="O9" s="66" t="str">
        <f>IF(O$7="","",IF(INDEX('Rooms Walls and Glass'!$D$3:$AB$17, MATCH($D9,'Rooms Walls and Glass'!$A$3:$A$17,0), MATCH('Unit 1 b'!O$7,'Rooms Walls and Glass'!$D$1:$AB$1,0))=0,"",INDEX('Rooms Walls and Glass'!$D$3:$AB$17, MATCH($D9,'Rooms Walls and Glass'!$A$3:$A$17,0), MATCH('Unit 1 b'!O$7,'Rooms Walls and Glass'!$D$1:$AB$1,0))))</f>
        <v/>
      </c>
      <c r="P9" s="65" t="str">
        <f>IF(O9="","-",O9*$G9)</f>
        <v>-</v>
      </c>
      <c r="Q9" s="66" t="str">
        <f>IF(Q$7="","",IF(INDEX('Rooms Walls and Glass'!$D$3:$AB$17, MATCH($D9,'Rooms Walls and Glass'!$A$3:$A$17,0), MATCH('Unit 1 b'!Q$7,'Rooms Walls and Glass'!$D$1:$AB$1,0))=0,"",INDEX('Rooms Walls and Glass'!$D$3:$AB$17, MATCH($D9,'Rooms Walls and Glass'!$A$3:$A$17,0), MATCH('Unit 1 b'!Q$7,'Rooms Walls and Glass'!$D$1:$AB$1,0))))</f>
        <v/>
      </c>
      <c r="R9" s="65" t="str">
        <f>IF(Q9="","-",Q9*$G9)</f>
        <v>-</v>
      </c>
      <c r="S9" s="66" t="str">
        <f>IF(S$7="","",IF(INDEX('Rooms Walls and Glass'!$D$3:$AB$17, MATCH($D9,'Rooms Walls and Glass'!$A$3:$A$17,0), MATCH('Unit 1 b'!S$7,'Rooms Walls and Glass'!$D$1:$AB$1,0))=0,"",INDEX('Rooms Walls and Glass'!$D$3:$AB$17, MATCH($D9,'Rooms Walls and Glass'!$A$3:$A$17,0), MATCH('Unit 1 b'!S$7,'Rooms Walls and Glass'!$D$1:$AB$1,0))))</f>
        <v/>
      </c>
      <c r="T9" s="65" t="str">
        <f>IF(S9="","-",S9*$G9)</f>
        <v>-</v>
      </c>
      <c r="U9" s="66" t="str">
        <f>IF(U$7="","",IF(INDEX('Rooms Walls and Glass'!$D$3:$AB$17, MATCH($D9,'Rooms Walls and Glass'!$A$3:$A$17,0), MATCH('Unit 1 b'!U$7,'Rooms Walls and Glass'!$D$1:$AB$1,0))=0,"",INDEX('Rooms Walls and Glass'!$D$3:$AB$17, MATCH($D9,'Rooms Walls and Glass'!$A$3:$A$17,0), MATCH('Unit 1 b'!U$7,'Rooms Walls and Glass'!$D$1:$AB$1,0))))</f>
        <v/>
      </c>
      <c r="V9" s="65" t="str">
        <f>IF(U9="","-",U9*$G9)</f>
        <v>-</v>
      </c>
      <c r="W9" s="66" t="str">
        <f>IF(W$7="","",IF(INDEX('Rooms Walls and Glass'!$D$3:$AB$17, MATCH($D9,'Rooms Walls and Glass'!$A$3:$A$17,0), MATCH('Unit 1 b'!W$7,'Rooms Walls and Glass'!$D$1:$AB$1,0))=0,"",INDEX('Rooms Walls and Glass'!$D$3:$AB$17, MATCH($D9,'Rooms Walls and Glass'!$A$3:$A$17,0), MATCH('Unit 1 b'!W$7,'Rooms Walls and Glass'!$D$1:$AB$1,0))))</f>
        <v/>
      </c>
      <c r="X9" s="65" t="str">
        <f>IF(W9="","-",W9*$G9)</f>
        <v>-</v>
      </c>
      <c r="Y9" s="66" t="str">
        <f>IF(Y$7="","",IF(INDEX('Rooms Walls and Glass'!$D$3:$AB$17, MATCH($D9,'Rooms Walls and Glass'!$A$3:$A$17,0), MATCH('Unit 1 b'!Y$7,'Rooms Walls and Glass'!$D$1:$AB$1,0))=0,"",INDEX('Rooms Walls and Glass'!$D$3:$AB$17, MATCH($D9,'Rooms Walls and Glass'!$A$3:$A$17,0), MATCH('Unit 1 b'!Y$7,'Rooms Walls and Glass'!$D$1:$AB$1,0))))</f>
        <v/>
      </c>
      <c r="Z9" s="65" t="str">
        <f>IF(Y9="","-",Y9*$G9)</f>
        <v>-</v>
      </c>
      <c r="AA9" s="66" t="str">
        <f>IF(AA$7="","",IF(INDEX('Rooms Walls and Glass'!$D$3:$AB$17, MATCH($D9,'Rooms Walls and Glass'!$A$3:$A$17,0), MATCH('Unit 1 b'!AA$7,'Rooms Walls and Glass'!$D$1:$AB$1,0))=0,"",INDEX('Rooms Walls and Glass'!$D$3:$AB$17, MATCH($D9,'Rooms Walls and Glass'!$A$3:$A$17,0), MATCH('Unit 1 b'!AA$7,'Rooms Walls and Glass'!$D$1:$AB$1,0))))</f>
        <v/>
      </c>
      <c r="AB9" s="65" t="str">
        <f>IF(AA9="","-",AA9*$G9)</f>
        <v>-</v>
      </c>
      <c r="AC9" s="66" t="str">
        <f>IF(AC$7="","",IF(INDEX('Rooms Walls and Glass'!$D$3:$AB$17, MATCH($D9,'Rooms Walls and Glass'!$A$3:$A$17,0), MATCH('Unit 1 b'!AC$7,'Rooms Walls and Glass'!$D$1:$AB$1,0))=0,"",INDEX('Rooms Walls and Glass'!$D$3:$AB$17, MATCH($D9,'Rooms Walls and Glass'!$A$3:$A$17,0), MATCH('Unit 1 b'!AC$7,'Rooms Walls and Glass'!$D$1:$AB$1,0))))</f>
        <v/>
      </c>
      <c r="AD9" s="65" t="str">
        <f>IF(AC9="","-",AC9*$G9)</f>
        <v>-</v>
      </c>
      <c r="AE9" s="66" t="str">
        <f>IF(AE$7="","",IF(INDEX('Rooms Walls and Glass'!$D$3:$AB$17, MATCH($D9,'Rooms Walls and Glass'!$A$3:$A$17,0), MATCH('Unit 1 b'!AE$7,'Rooms Walls and Glass'!$D$1:$AB$1,0))=0,"",INDEX('Rooms Walls and Glass'!$D$3:$AB$17, MATCH($D9,'Rooms Walls and Glass'!$A$3:$A$17,0), MATCH('Unit 1 b'!AE$7,'Rooms Walls and Glass'!$D$1:$AB$1,0))))</f>
        <v/>
      </c>
      <c r="AF9" s="65" t="str">
        <f>IF(AE9="","-",AE9*$G9)</f>
        <v>-</v>
      </c>
      <c r="AG9" s="66" t="str">
        <f>IF(AG$7="","",IF(INDEX('Rooms Walls and Glass'!$D$3:$AB$17, MATCH($D9,'Rooms Walls and Glass'!$A$3:$A$17,0), MATCH('Unit 1 b'!AG$7,'Rooms Walls and Glass'!$D$1:$AB$1,0))=0,"",INDEX('Rooms Walls and Glass'!$D$3:$AB$17, MATCH($D9,'Rooms Walls and Glass'!$A$3:$A$17,0), MATCH('Unit 1 b'!AG$7,'Rooms Walls and Glass'!$D$1:$AB$1,0))))</f>
        <v/>
      </c>
      <c r="AH9" s="65" t="str">
        <f>IF(AG9="","-",AG9*$G9)</f>
        <v>-</v>
      </c>
      <c r="AI9" s="66" t="str">
        <f>IF(AI$7="","",IF(INDEX('Rooms Walls and Glass'!$D$3:$AB$17, MATCH($D9,'Rooms Walls and Glass'!$A$3:$A$17,0), MATCH('Unit 1 b'!AI$7,'Rooms Walls and Glass'!$D$1:$AB$1,0))=0,"",INDEX('Rooms Walls and Glass'!$D$3:$AB$17, MATCH($D9,'Rooms Walls and Glass'!$A$3:$A$17,0), MATCH('Unit 1 b'!AI$7,'Rooms Walls and Glass'!$D$1:$AB$1,0))))</f>
        <v/>
      </c>
      <c r="AJ9" s="67" t="str">
        <f>IF(AI9="","-",AI9*$G9)</f>
        <v>-</v>
      </c>
      <c r="AK9" s="66" t="str">
        <f>IF(AK$7="","",IF(INDEX('Rooms Walls and Glass'!$D$3:$AB$17, MATCH($D9,'Rooms Walls and Glass'!$A$3:$A$17,0), MATCH('Unit 1 b'!AK$7,'Rooms Walls and Glass'!$D$1:$AB$1,0))=0,"",INDEX('Rooms Walls and Glass'!$D$3:$AB$17, MATCH($D9,'Rooms Walls and Glass'!$A$3:$A$17,0), MATCH('Unit 1 b'!AK$7,'Rooms Walls and Glass'!$D$1:$AB$1,0))))</f>
        <v/>
      </c>
      <c r="AL9" s="65" t="str">
        <f>IF(AK9="","-",AK9*$G9)</f>
        <v>-</v>
      </c>
      <c r="AM9" s="66" t="str">
        <f>IF(AM$7="","",IF(INDEX('Rooms Walls and Glass'!$D$3:$AB$17, MATCH($D9,'Rooms Walls and Glass'!$A$3:$A$17,0), MATCH('Unit 1 b'!AM$7,'Rooms Walls and Glass'!$D$1:$AB$1,0))=0,"",INDEX('Rooms Walls and Glass'!$D$3:$AB$17, MATCH($D9,'Rooms Walls and Glass'!$A$3:$A$17,0), MATCH('Unit 1 b'!AM$7,'Rooms Walls and Glass'!$D$1:$AB$1,0))))</f>
        <v/>
      </c>
      <c r="AN9" s="67" t="str">
        <f>IF(AM9="","-",AM9*$G9)</f>
        <v>-</v>
      </c>
    </row>
    <row r="10" spans="2:40" ht="11.25" customHeight="1" thickBot="1" x14ac:dyDescent="0.2">
      <c r="B10" s="214"/>
      <c r="C10" s="15" t="s">
        <v>7</v>
      </c>
      <c r="D10" s="13" t="str">
        <f>'Rooms Walls and Glass'!A9</f>
        <v>North</v>
      </c>
      <c r="E10" s="16"/>
      <c r="F10" s="16" t="s">
        <v>10</v>
      </c>
      <c r="G10" s="103">
        <f>INDEX('Glass CLF Calculation'!$A$4:$G$11,MATCH('Unit 1 b'!D10,'Glass CLF Calculation'!$A$4:$A$11,0),7)</f>
        <v>6.2012662222222215</v>
      </c>
      <c r="H10" s="16" t="s">
        <v>6</v>
      </c>
      <c r="I10" s="65">
        <f t="shared" ref="I10:I46" si="13">SUM(K10,M10,O10,Q10,U10,W10,Y10,AA10,AC10,AE10,AG10,AI10,S10,AK10,AM10)</f>
        <v>0</v>
      </c>
      <c r="J10" s="68">
        <f t="shared" ref="J10:J49" si="14">IF(I10="","-",I10*$G10)</f>
        <v>0</v>
      </c>
      <c r="K10" s="66" t="str">
        <f>IF(K$7="","",IF(INDEX('Rooms Walls and Glass'!$D$3:$AB$17, MATCH($D10,'Rooms Walls and Glass'!$A$3:$A$17,0), MATCH('Unit 1 b'!K$7,'Rooms Walls and Glass'!$D$1:$AB$1,0))=0,"",INDEX('Rooms Walls and Glass'!$D$3:$AB$17, MATCH($D10,'Rooms Walls and Glass'!$A$3:$A$17,0), MATCH('Unit 1 b'!K$7,'Rooms Walls and Glass'!$D$1:$AB$1,0))))</f>
        <v/>
      </c>
      <c r="L10" s="68" t="str">
        <f t="shared" ref="L10:L55" si="15">IF(K10="","-",K10*$G10)</f>
        <v>-</v>
      </c>
      <c r="M10" s="66" t="str">
        <f>IF(M$7="","",IF(INDEX('Rooms Walls and Glass'!$D$3:$AB$17, MATCH($D10,'Rooms Walls and Glass'!$A$3:$A$17,0), MATCH('Unit 1 b'!M$7,'Rooms Walls and Glass'!$D$1:$AB$1,0))=0,"",INDEX('Rooms Walls and Glass'!$D$3:$AB$17, MATCH($D10,'Rooms Walls and Glass'!$A$3:$A$17,0), MATCH('Unit 1 b'!M$7,'Rooms Walls and Glass'!$D$1:$AB$1,0))))</f>
        <v/>
      </c>
      <c r="N10" s="68" t="str">
        <f t="shared" ref="N10:N55" si="16">IF(M10="","-",M10*$G10)</f>
        <v>-</v>
      </c>
      <c r="O10" s="66" t="str">
        <f>IF(O$7="","",IF(INDEX('Rooms Walls and Glass'!$D$3:$AB$17, MATCH($D10,'Rooms Walls and Glass'!$A$3:$A$17,0), MATCH('Unit 1 b'!O$7,'Rooms Walls and Glass'!$D$1:$AB$1,0))=0,"",INDEX('Rooms Walls and Glass'!$D$3:$AB$17, MATCH($D10,'Rooms Walls and Glass'!$A$3:$A$17,0), MATCH('Unit 1 b'!O$7,'Rooms Walls and Glass'!$D$1:$AB$1,0))))</f>
        <v/>
      </c>
      <c r="P10" s="68" t="str">
        <f t="shared" ref="P10:P55" si="17">IF(O10="","-",O10*$G10)</f>
        <v>-</v>
      </c>
      <c r="Q10" s="66" t="str">
        <f>IF(Q$7="","",IF(INDEX('Rooms Walls and Glass'!$D$3:$AB$17, MATCH($D10,'Rooms Walls and Glass'!$A$3:$A$17,0), MATCH('Unit 1 b'!Q$7,'Rooms Walls and Glass'!$D$1:$AB$1,0))=0,"",INDEX('Rooms Walls and Glass'!$D$3:$AB$17, MATCH($D10,'Rooms Walls and Glass'!$A$3:$A$17,0), MATCH('Unit 1 b'!Q$7,'Rooms Walls and Glass'!$D$1:$AB$1,0))))</f>
        <v/>
      </c>
      <c r="R10" s="68" t="str">
        <f t="shared" ref="R10:R55" si="18">IF(Q10="","-",Q10*$G10)</f>
        <v>-</v>
      </c>
      <c r="S10" s="66" t="str">
        <f>IF(S$7="","",IF(INDEX('Rooms Walls and Glass'!$D$3:$AB$17, MATCH($D10,'Rooms Walls and Glass'!$A$3:$A$17,0), MATCH('Unit 1 b'!S$7,'Rooms Walls and Glass'!$D$1:$AB$1,0))=0,"",INDEX('Rooms Walls and Glass'!$D$3:$AB$17, MATCH($D10,'Rooms Walls and Glass'!$A$3:$A$17,0), MATCH('Unit 1 b'!S$7,'Rooms Walls and Glass'!$D$1:$AB$1,0))))</f>
        <v/>
      </c>
      <c r="T10" s="68" t="str">
        <f t="shared" ref="T10:T55" si="19">IF(S10="","-",S10*$G10)</f>
        <v>-</v>
      </c>
      <c r="U10" s="66" t="str">
        <f>IF(U$7="","",IF(INDEX('Rooms Walls and Glass'!$D$3:$AB$17, MATCH($D10,'Rooms Walls and Glass'!$A$3:$A$17,0), MATCH('Unit 1 b'!U$7,'Rooms Walls and Glass'!$D$1:$AB$1,0))=0,"",INDEX('Rooms Walls and Glass'!$D$3:$AB$17, MATCH($D10,'Rooms Walls and Glass'!$A$3:$A$17,0), MATCH('Unit 1 b'!U$7,'Rooms Walls and Glass'!$D$1:$AB$1,0))))</f>
        <v/>
      </c>
      <c r="V10" s="68" t="str">
        <f t="shared" ref="V10:V55" si="20">IF(U10="","-",U10*$G10)</f>
        <v>-</v>
      </c>
      <c r="W10" s="66" t="str">
        <f>IF(W$7="","",IF(INDEX('Rooms Walls and Glass'!$D$3:$AB$17, MATCH($D10,'Rooms Walls and Glass'!$A$3:$A$17,0), MATCH('Unit 1 b'!W$7,'Rooms Walls and Glass'!$D$1:$AB$1,0))=0,"",INDEX('Rooms Walls and Glass'!$D$3:$AB$17, MATCH($D10,'Rooms Walls and Glass'!$A$3:$A$17,0), MATCH('Unit 1 b'!W$7,'Rooms Walls and Glass'!$D$1:$AB$1,0))))</f>
        <v/>
      </c>
      <c r="X10" s="68" t="str">
        <f t="shared" ref="X10:X55" si="21">IF(W10="","-",W10*$G10)</f>
        <v>-</v>
      </c>
      <c r="Y10" s="66" t="str">
        <f>IF(Y$7="","",IF(INDEX('Rooms Walls and Glass'!$D$3:$AB$17, MATCH($D10,'Rooms Walls and Glass'!$A$3:$A$17,0), MATCH('Unit 1 b'!Y$7,'Rooms Walls and Glass'!$D$1:$AB$1,0))=0,"",INDEX('Rooms Walls and Glass'!$D$3:$AB$17, MATCH($D10,'Rooms Walls and Glass'!$A$3:$A$17,0), MATCH('Unit 1 b'!Y$7,'Rooms Walls and Glass'!$D$1:$AB$1,0))))</f>
        <v/>
      </c>
      <c r="Z10" s="68" t="str">
        <f t="shared" ref="Z10:Z55" si="22">IF(Y10="","-",Y10*$G10)</f>
        <v>-</v>
      </c>
      <c r="AA10" s="66" t="str">
        <f>IF(AA$7="","",IF(INDEX('Rooms Walls and Glass'!$D$3:$AB$17, MATCH($D10,'Rooms Walls and Glass'!$A$3:$A$17,0), MATCH('Unit 1 b'!AA$7,'Rooms Walls and Glass'!$D$1:$AB$1,0))=0,"",INDEX('Rooms Walls and Glass'!$D$3:$AB$17, MATCH($D10,'Rooms Walls and Glass'!$A$3:$A$17,0), MATCH('Unit 1 b'!AA$7,'Rooms Walls and Glass'!$D$1:$AB$1,0))))</f>
        <v/>
      </c>
      <c r="AB10" s="68" t="str">
        <f t="shared" ref="AB10:AB55" si="23">IF(AA10="","-",AA10*$G10)</f>
        <v>-</v>
      </c>
      <c r="AC10" s="66" t="str">
        <f>IF(AC$7="","",IF(INDEX('Rooms Walls and Glass'!$D$3:$AB$17, MATCH($D10,'Rooms Walls and Glass'!$A$3:$A$17,0), MATCH('Unit 1 b'!AC$7,'Rooms Walls and Glass'!$D$1:$AB$1,0))=0,"",INDEX('Rooms Walls and Glass'!$D$3:$AB$17, MATCH($D10,'Rooms Walls and Glass'!$A$3:$A$17,0), MATCH('Unit 1 b'!AC$7,'Rooms Walls and Glass'!$D$1:$AB$1,0))))</f>
        <v/>
      </c>
      <c r="AD10" s="68" t="str">
        <f t="shared" ref="AD10:AF25" si="24">IF(AC10="","-",AC10*$G10)</f>
        <v>-</v>
      </c>
      <c r="AE10" s="66" t="str">
        <f>IF(AE$7="","",IF(INDEX('Rooms Walls and Glass'!$D$3:$AB$17, MATCH($D10,'Rooms Walls and Glass'!$A$3:$A$17,0), MATCH('Unit 1 b'!AE$7,'Rooms Walls and Glass'!$D$1:$AB$1,0))=0,"",INDEX('Rooms Walls and Glass'!$D$3:$AB$17, MATCH($D10,'Rooms Walls and Glass'!$A$3:$A$17,0), MATCH('Unit 1 b'!AE$7,'Rooms Walls and Glass'!$D$1:$AB$1,0))))</f>
        <v/>
      </c>
      <c r="AF10" s="68" t="str">
        <f t="shared" si="24"/>
        <v>-</v>
      </c>
      <c r="AG10" s="66" t="str">
        <f>IF(AG$7="","",IF(INDEX('Rooms Walls and Glass'!$D$3:$AB$17, MATCH($D10,'Rooms Walls and Glass'!$A$3:$A$17,0), MATCH('Unit 1 b'!AG$7,'Rooms Walls and Glass'!$D$1:$AB$1,0))=0,"",INDEX('Rooms Walls and Glass'!$D$3:$AB$17, MATCH($D10,'Rooms Walls and Glass'!$A$3:$A$17,0), MATCH('Unit 1 b'!AG$7,'Rooms Walls and Glass'!$D$1:$AB$1,0))))</f>
        <v/>
      </c>
      <c r="AH10" s="68" t="str">
        <f t="shared" ref="AH10:AH55" si="25">IF(AG10="","-",AG10*$G10)</f>
        <v>-</v>
      </c>
      <c r="AI10" s="66" t="str">
        <f>IF(AI$7="","",IF(INDEX('Rooms Walls and Glass'!$D$3:$AB$17, MATCH($D10,'Rooms Walls and Glass'!$A$3:$A$17,0), MATCH('Unit 1 b'!AI$7,'Rooms Walls and Glass'!$D$1:$AB$1,0))=0,"",INDEX('Rooms Walls and Glass'!$D$3:$AB$17, MATCH($D10,'Rooms Walls and Glass'!$A$3:$A$17,0), MATCH('Unit 1 b'!AI$7,'Rooms Walls and Glass'!$D$1:$AB$1,0))))</f>
        <v/>
      </c>
      <c r="AJ10" s="69" t="str">
        <f t="shared" ref="AJ10:AJ55" si="26">IF(AI10="","-",AI10*$G10)</f>
        <v>-</v>
      </c>
      <c r="AK10" s="66" t="str">
        <f>IF(AK$7="","",IF(INDEX('Rooms Walls and Glass'!$D$3:$AB$17, MATCH($D10,'Rooms Walls and Glass'!$A$3:$A$17,0), MATCH('Unit 1 b'!AK$7,'Rooms Walls and Glass'!$D$1:$AB$1,0))=0,"",INDEX('Rooms Walls and Glass'!$D$3:$AB$17, MATCH($D10,'Rooms Walls and Glass'!$A$3:$A$17,0), MATCH('Unit 1 b'!AK$7,'Rooms Walls and Glass'!$D$1:$AB$1,0))))</f>
        <v/>
      </c>
      <c r="AL10" s="68" t="str">
        <f t="shared" ref="AL10:AL47" si="27">IF(AK10="","-",AK10*$G10)</f>
        <v>-</v>
      </c>
      <c r="AM10" s="66" t="str">
        <f>IF(AM$7="","",IF(INDEX('Rooms Walls and Glass'!$D$3:$AB$17, MATCH($D10,'Rooms Walls and Glass'!$A$3:$A$17,0), MATCH('Unit 1 b'!AM$7,'Rooms Walls and Glass'!$D$1:$AB$1,0))=0,"",INDEX('Rooms Walls and Glass'!$D$3:$AB$17, MATCH($D10,'Rooms Walls and Glass'!$A$3:$A$17,0), MATCH('Unit 1 b'!AM$7,'Rooms Walls and Glass'!$D$1:$AB$1,0))))</f>
        <v/>
      </c>
      <c r="AN10" s="69" t="str">
        <f t="shared" ref="AN10:AN47" si="28">IF(AM10="","-",AM10*$G10)</f>
        <v>-</v>
      </c>
    </row>
    <row r="11" spans="2:40" ht="11.25" customHeight="1" thickBot="1" x14ac:dyDescent="0.2">
      <c r="B11" s="214"/>
      <c r="C11" s="15" t="s">
        <v>7</v>
      </c>
      <c r="D11" s="13" t="str">
        <f>'Rooms Walls and Glass'!A10</f>
        <v>NorthEast</v>
      </c>
      <c r="E11" s="16" t="s">
        <v>17</v>
      </c>
      <c r="F11" s="16" t="s">
        <v>11</v>
      </c>
      <c r="G11" s="103">
        <f>INDEX('Glass CLF Calculation'!$A$4:$G$11,MATCH('Unit 1 b'!D11,'Glass CLF Calculation'!$A$4:$A$11,0),7)</f>
        <v>7.8267093333333335</v>
      </c>
      <c r="H11" s="16" t="s">
        <v>6</v>
      </c>
      <c r="I11" s="65">
        <f t="shared" si="13"/>
        <v>0</v>
      </c>
      <c r="J11" s="68">
        <f t="shared" si="14"/>
        <v>0</v>
      </c>
      <c r="K11" s="66" t="str">
        <f>IF(K$7="","",IF(INDEX('Rooms Walls and Glass'!$D$3:$AB$17, MATCH($D11,'Rooms Walls and Glass'!$A$3:$A$17,0), MATCH('Unit 1 b'!K$7,'Rooms Walls and Glass'!$D$1:$AB$1,0))=0,"",INDEX('Rooms Walls and Glass'!$D$3:$AB$17, MATCH($D11,'Rooms Walls and Glass'!$A$3:$A$17,0), MATCH('Unit 1 b'!K$7,'Rooms Walls and Glass'!$D$1:$AB$1,0))))</f>
        <v/>
      </c>
      <c r="L11" s="68" t="str">
        <f t="shared" si="15"/>
        <v>-</v>
      </c>
      <c r="M11" s="66" t="str">
        <f>IF(M$7="","",IF(INDEX('Rooms Walls and Glass'!$D$3:$AB$17, MATCH($D11,'Rooms Walls and Glass'!$A$3:$A$17,0), MATCH('Unit 1 b'!M$7,'Rooms Walls and Glass'!$D$1:$AB$1,0))=0,"",INDEX('Rooms Walls and Glass'!$D$3:$AB$17, MATCH($D11,'Rooms Walls and Glass'!$A$3:$A$17,0), MATCH('Unit 1 b'!M$7,'Rooms Walls and Glass'!$D$1:$AB$1,0))))</f>
        <v/>
      </c>
      <c r="N11" s="68" t="str">
        <f t="shared" si="16"/>
        <v>-</v>
      </c>
      <c r="O11" s="66" t="str">
        <f>IF(O$7="","",IF(INDEX('Rooms Walls and Glass'!$D$3:$AB$17, MATCH($D11,'Rooms Walls and Glass'!$A$3:$A$17,0), MATCH('Unit 1 b'!O$7,'Rooms Walls and Glass'!$D$1:$AB$1,0))=0,"",INDEX('Rooms Walls and Glass'!$D$3:$AB$17, MATCH($D11,'Rooms Walls and Glass'!$A$3:$A$17,0), MATCH('Unit 1 b'!O$7,'Rooms Walls and Glass'!$D$1:$AB$1,0))))</f>
        <v/>
      </c>
      <c r="P11" s="68" t="str">
        <f t="shared" si="17"/>
        <v>-</v>
      </c>
      <c r="Q11" s="66" t="str">
        <f>IF(Q$7="","",IF(INDEX('Rooms Walls and Glass'!$D$3:$AB$17, MATCH($D11,'Rooms Walls and Glass'!$A$3:$A$17,0), MATCH('Unit 1 b'!Q$7,'Rooms Walls and Glass'!$D$1:$AB$1,0))=0,"",INDEX('Rooms Walls and Glass'!$D$3:$AB$17, MATCH($D11,'Rooms Walls and Glass'!$A$3:$A$17,0), MATCH('Unit 1 b'!Q$7,'Rooms Walls and Glass'!$D$1:$AB$1,0))))</f>
        <v/>
      </c>
      <c r="R11" s="68" t="str">
        <f t="shared" si="18"/>
        <v>-</v>
      </c>
      <c r="S11" s="66" t="str">
        <f>IF(S$7="","",IF(INDEX('Rooms Walls and Glass'!$D$3:$AB$17, MATCH($D11,'Rooms Walls and Glass'!$A$3:$A$17,0), MATCH('Unit 1 b'!S$7,'Rooms Walls and Glass'!$D$1:$AB$1,0))=0,"",INDEX('Rooms Walls and Glass'!$D$3:$AB$17, MATCH($D11,'Rooms Walls and Glass'!$A$3:$A$17,0), MATCH('Unit 1 b'!S$7,'Rooms Walls and Glass'!$D$1:$AB$1,0))))</f>
        <v/>
      </c>
      <c r="T11" s="68" t="str">
        <f t="shared" si="19"/>
        <v>-</v>
      </c>
      <c r="U11" s="66" t="str">
        <f>IF(U$7="","",IF(INDEX('Rooms Walls and Glass'!$D$3:$AB$17, MATCH($D11,'Rooms Walls and Glass'!$A$3:$A$17,0), MATCH('Unit 1 b'!U$7,'Rooms Walls and Glass'!$D$1:$AB$1,0))=0,"",INDEX('Rooms Walls and Glass'!$D$3:$AB$17, MATCH($D11,'Rooms Walls and Glass'!$A$3:$A$17,0), MATCH('Unit 1 b'!U$7,'Rooms Walls and Glass'!$D$1:$AB$1,0))))</f>
        <v/>
      </c>
      <c r="V11" s="68" t="str">
        <f t="shared" si="20"/>
        <v>-</v>
      </c>
      <c r="W11" s="66" t="str">
        <f>IF(W$7="","",IF(INDEX('Rooms Walls and Glass'!$D$3:$AB$17, MATCH($D11,'Rooms Walls and Glass'!$A$3:$A$17,0), MATCH('Unit 1 b'!W$7,'Rooms Walls and Glass'!$D$1:$AB$1,0))=0,"",INDEX('Rooms Walls and Glass'!$D$3:$AB$17, MATCH($D11,'Rooms Walls and Glass'!$A$3:$A$17,0), MATCH('Unit 1 b'!W$7,'Rooms Walls and Glass'!$D$1:$AB$1,0))))</f>
        <v/>
      </c>
      <c r="X11" s="68" t="str">
        <f t="shared" si="21"/>
        <v>-</v>
      </c>
      <c r="Y11" s="66" t="str">
        <f>IF(Y$7="","",IF(INDEX('Rooms Walls and Glass'!$D$3:$AB$17, MATCH($D11,'Rooms Walls and Glass'!$A$3:$A$17,0), MATCH('Unit 1 b'!Y$7,'Rooms Walls and Glass'!$D$1:$AB$1,0))=0,"",INDEX('Rooms Walls and Glass'!$D$3:$AB$17, MATCH($D11,'Rooms Walls and Glass'!$A$3:$A$17,0), MATCH('Unit 1 b'!Y$7,'Rooms Walls and Glass'!$D$1:$AB$1,0))))</f>
        <v/>
      </c>
      <c r="Z11" s="68" t="str">
        <f t="shared" si="22"/>
        <v>-</v>
      </c>
      <c r="AA11" s="66" t="str">
        <f>IF(AA$7="","",IF(INDEX('Rooms Walls and Glass'!$D$3:$AB$17, MATCH($D11,'Rooms Walls and Glass'!$A$3:$A$17,0), MATCH('Unit 1 b'!AA$7,'Rooms Walls and Glass'!$D$1:$AB$1,0))=0,"",INDEX('Rooms Walls and Glass'!$D$3:$AB$17, MATCH($D11,'Rooms Walls and Glass'!$A$3:$A$17,0), MATCH('Unit 1 b'!AA$7,'Rooms Walls and Glass'!$D$1:$AB$1,0))))</f>
        <v/>
      </c>
      <c r="AB11" s="68" t="str">
        <f t="shared" si="23"/>
        <v>-</v>
      </c>
      <c r="AC11" s="66" t="str">
        <f>IF(AC$7="","",IF(INDEX('Rooms Walls and Glass'!$D$3:$AB$17, MATCH($D11,'Rooms Walls and Glass'!$A$3:$A$17,0), MATCH('Unit 1 b'!AC$7,'Rooms Walls and Glass'!$D$1:$AB$1,0))=0,"",INDEX('Rooms Walls and Glass'!$D$3:$AB$17, MATCH($D11,'Rooms Walls and Glass'!$A$3:$A$17,0), MATCH('Unit 1 b'!AC$7,'Rooms Walls and Glass'!$D$1:$AB$1,0))))</f>
        <v/>
      </c>
      <c r="AD11" s="68" t="str">
        <f t="shared" si="24"/>
        <v>-</v>
      </c>
      <c r="AE11" s="66" t="str">
        <f>IF(AE$7="","",IF(INDEX('Rooms Walls and Glass'!$D$3:$AB$17, MATCH($D11,'Rooms Walls and Glass'!$A$3:$A$17,0), MATCH('Unit 1 b'!AE$7,'Rooms Walls and Glass'!$D$1:$AB$1,0))=0,"",INDEX('Rooms Walls and Glass'!$D$3:$AB$17, MATCH($D11,'Rooms Walls and Glass'!$A$3:$A$17,0), MATCH('Unit 1 b'!AE$7,'Rooms Walls and Glass'!$D$1:$AB$1,0))))</f>
        <v/>
      </c>
      <c r="AF11" s="68" t="str">
        <f t="shared" si="24"/>
        <v>-</v>
      </c>
      <c r="AG11" s="66" t="str">
        <f>IF(AG$7="","",IF(INDEX('Rooms Walls and Glass'!$D$3:$AB$17, MATCH($D11,'Rooms Walls and Glass'!$A$3:$A$17,0), MATCH('Unit 1 b'!AG$7,'Rooms Walls and Glass'!$D$1:$AB$1,0))=0,"",INDEX('Rooms Walls and Glass'!$D$3:$AB$17, MATCH($D11,'Rooms Walls and Glass'!$A$3:$A$17,0), MATCH('Unit 1 b'!AG$7,'Rooms Walls and Glass'!$D$1:$AB$1,0))))</f>
        <v/>
      </c>
      <c r="AH11" s="68" t="str">
        <f t="shared" si="25"/>
        <v>-</v>
      </c>
      <c r="AI11" s="66" t="str">
        <f>IF(AI$7="","",IF(INDEX('Rooms Walls and Glass'!$D$3:$AB$17, MATCH($D11,'Rooms Walls and Glass'!$A$3:$A$17,0), MATCH('Unit 1 b'!AI$7,'Rooms Walls and Glass'!$D$1:$AB$1,0))=0,"",INDEX('Rooms Walls and Glass'!$D$3:$AB$17, MATCH($D11,'Rooms Walls and Glass'!$A$3:$A$17,0), MATCH('Unit 1 b'!AI$7,'Rooms Walls and Glass'!$D$1:$AB$1,0))))</f>
        <v/>
      </c>
      <c r="AJ11" s="69" t="str">
        <f t="shared" si="26"/>
        <v>-</v>
      </c>
      <c r="AK11" s="66" t="str">
        <f>IF(AK$7="","",IF(INDEX('Rooms Walls and Glass'!$D$3:$AB$17, MATCH($D11,'Rooms Walls and Glass'!$A$3:$A$17,0), MATCH('Unit 1 b'!AK$7,'Rooms Walls and Glass'!$D$1:$AB$1,0))=0,"",INDEX('Rooms Walls and Glass'!$D$3:$AB$17, MATCH($D11,'Rooms Walls and Glass'!$A$3:$A$17,0), MATCH('Unit 1 b'!AK$7,'Rooms Walls and Glass'!$D$1:$AB$1,0))))</f>
        <v/>
      </c>
      <c r="AL11" s="68" t="str">
        <f t="shared" si="27"/>
        <v>-</v>
      </c>
      <c r="AM11" s="66" t="str">
        <f>IF(AM$7="","",IF(INDEX('Rooms Walls and Glass'!$D$3:$AB$17, MATCH($D11,'Rooms Walls and Glass'!$A$3:$A$17,0), MATCH('Unit 1 b'!AM$7,'Rooms Walls and Glass'!$D$1:$AB$1,0))=0,"",INDEX('Rooms Walls and Glass'!$D$3:$AB$17, MATCH($D11,'Rooms Walls and Glass'!$A$3:$A$17,0), MATCH('Unit 1 b'!AM$7,'Rooms Walls and Glass'!$D$1:$AB$1,0))))</f>
        <v/>
      </c>
      <c r="AN11" s="69" t="str">
        <f t="shared" si="28"/>
        <v>-</v>
      </c>
    </row>
    <row r="12" spans="2:40" ht="11.25" customHeight="1" thickBot="1" x14ac:dyDescent="0.2">
      <c r="B12" s="214"/>
      <c r="C12" s="15" t="s">
        <v>7</v>
      </c>
      <c r="D12" s="13" t="str">
        <f>'Rooms Walls and Glass'!A11</f>
        <v>East</v>
      </c>
      <c r="E12" s="16"/>
      <c r="F12" s="16" t="s">
        <v>12</v>
      </c>
      <c r="G12" s="103">
        <f>INDEX('Glass CLF Calculation'!$A$4:$G$11,MATCH('Unit 1 b'!D12,'Glass CLF Calculation'!$A$4:$A$11,0),7)</f>
        <v>12.953999999999999</v>
      </c>
      <c r="H12" s="16" t="s">
        <v>6</v>
      </c>
      <c r="I12" s="65">
        <f t="shared" si="13"/>
        <v>0</v>
      </c>
      <c r="J12" s="68">
        <f t="shared" si="14"/>
        <v>0</v>
      </c>
      <c r="K12" s="66" t="str">
        <f>IF(K$7="","",IF(INDEX('Rooms Walls and Glass'!$D$3:$AB$17, MATCH($D12,'Rooms Walls and Glass'!$A$3:$A$17,0), MATCH('Unit 1 b'!K$7,'Rooms Walls and Glass'!$D$1:$AB$1,0))=0,"",INDEX('Rooms Walls and Glass'!$D$3:$AB$17, MATCH($D12,'Rooms Walls and Glass'!$A$3:$A$17,0), MATCH('Unit 1 b'!K$7,'Rooms Walls and Glass'!$D$1:$AB$1,0))))</f>
        <v/>
      </c>
      <c r="L12" s="68" t="str">
        <f t="shared" si="15"/>
        <v>-</v>
      </c>
      <c r="M12" s="66" t="str">
        <f>IF(M$7="","",IF(INDEX('Rooms Walls and Glass'!$D$3:$AB$17, MATCH($D12,'Rooms Walls and Glass'!$A$3:$A$17,0), MATCH('Unit 1 b'!M$7,'Rooms Walls and Glass'!$D$1:$AB$1,0))=0,"",INDEX('Rooms Walls and Glass'!$D$3:$AB$17, MATCH($D12,'Rooms Walls and Glass'!$A$3:$A$17,0), MATCH('Unit 1 b'!M$7,'Rooms Walls and Glass'!$D$1:$AB$1,0))))</f>
        <v/>
      </c>
      <c r="N12" s="68" t="str">
        <f t="shared" si="16"/>
        <v>-</v>
      </c>
      <c r="O12" s="66" t="str">
        <f>IF(O$7="","",IF(INDEX('Rooms Walls and Glass'!$D$3:$AB$17, MATCH($D12,'Rooms Walls and Glass'!$A$3:$A$17,0), MATCH('Unit 1 b'!O$7,'Rooms Walls and Glass'!$D$1:$AB$1,0))=0,"",INDEX('Rooms Walls and Glass'!$D$3:$AB$17, MATCH($D12,'Rooms Walls and Glass'!$A$3:$A$17,0), MATCH('Unit 1 b'!O$7,'Rooms Walls and Glass'!$D$1:$AB$1,0))))</f>
        <v/>
      </c>
      <c r="P12" s="68" t="str">
        <f t="shared" si="17"/>
        <v>-</v>
      </c>
      <c r="Q12" s="66" t="str">
        <f>IF(Q$7="","",IF(INDEX('Rooms Walls and Glass'!$D$3:$AB$17, MATCH($D12,'Rooms Walls and Glass'!$A$3:$A$17,0), MATCH('Unit 1 b'!Q$7,'Rooms Walls and Glass'!$D$1:$AB$1,0))=0,"",INDEX('Rooms Walls and Glass'!$D$3:$AB$17, MATCH($D12,'Rooms Walls and Glass'!$A$3:$A$17,0), MATCH('Unit 1 b'!Q$7,'Rooms Walls and Glass'!$D$1:$AB$1,0))))</f>
        <v/>
      </c>
      <c r="R12" s="68" t="str">
        <f t="shared" si="18"/>
        <v>-</v>
      </c>
      <c r="S12" s="66" t="str">
        <f>IF(S$7="","",IF(INDEX('Rooms Walls and Glass'!$D$3:$AB$17, MATCH($D12,'Rooms Walls and Glass'!$A$3:$A$17,0), MATCH('Unit 1 b'!S$7,'Rooms Walls and Glass'!$D$1:$AB$1,0))=0,"",INDEX('Rooms Walls and Glass'!$D$3:$AB$17, MATCH($D12,'Rooms Walls and Glass'!$A$3:$A$17,0), MATCH('Unit 1 b'!S$7,'Rooms Walls and Glass'!$D$1:$AB$1,0))))</f>
        <v/>
      </c>
      <c r="T12" s="68" t="str">
        <f t="shared" si="19"/>
        <v>-</v>
      </c>
      <c r="U12" s="66" t="str">
        <f>IF(U$7="","",IF(INDEX('Rooms Walls and Glass'!$D$3:$AB$17, MATCH($D12,'Rooms Walls and Glass'!$A$3:$A$17,0), MATCH('Unit 1 b'!U$7,'Rooms Walls and Glass'!$D$1:$AB$1,0))=0,"",INDEX('Rooms Walls and Glass'!$D$3:$AB$17, MATCH($D12,'Rooms Walls and Glass'!$A$3:$A$17,0), MATCH('Unit 1 b'!U$7,'Rooms Walls and Glass'!$D$1:$AB$1,0))))</f>
        <v/>
      </c>
      <c r="V12" s="68" t="str">
        <f t="shared" si="20"/>
        <v>-</v>
      </c>
      <c r="W12" s="66" t="str">
        <f>IF(W$7="","",IF(INDEX('Rooms Walls and Glass'!$D$3:$AB$17, MATCH($D12,'Rooms Walls and Glass'!$A$3:$A$17,0), MATCH('Unit 1 b'!W$7,'Rooms Walls and Glass'!$D$1:$AB$1,0))=0,"",INDEX('Rooms Walls and Glass'!$D$3:$AB$17, MATCH($D12,'Rooms Walls and Glass'!$A$3:$A$17,0), MATCH('Unit 1 b'!W$7,'Rooms Walls and Glass'!$D$1:$AB$1,0))))</f>
        <v/>
      </c>
      <c r="X12" s="68" t="str">
        <f t="shared" si="21"/>
        <v>-</v>
      </c>
      <c r="Y12" s="66" t="str">
        <f>IF(Y$7="","",IF(INDEX('Rooms Walls and Glass'!$D$3:$AB$17, MATCH($D12,'Rooms Walls and Glass'!$A$3:$A$17,0), MATCH('Unit 1 b'!Y$7,'Rooms Walls and Glass'!$D$1:$AB$1,0))=0,"",INDEX('Rooms Walls and Glass'!$D$3:$AB$17, MATCH($D12,'Rooms Walls and Glass'!$A$3:$A$17,0), MATCH('Unit 1 b'!Y$7,'Rooms Walls and Glass'!$D$1:$AB$1,0))))</f>
        <v/>
      </c>
      <c r="Z12" s="68" t="str">
        <f t="shared" si="22"/>
        <v>-</v>
      </c>
      <c r="AA12" s="66" t="str">
        <f>IF(AA$7="","",IF(INDEX('Rooms Walls and Glass'!$D$3:$AB$17, MATCH($D12,'Rooms Walls and Glass'!$A$3:$A$17,0), MATCH('Unit 1 b'!AA$7,'Rooms Walls and Glass'!$D$1:$AB$1,0))=0,"",INDEX('Rooms Walls and Glass'!$D$3:$AB$17, MATCH($D12,'Rooms Walls and Glass'!$A$3:$A$17,0), MATCH('Unit 1 b'!AA$7,'Rooms Walls and Glass'!$D$1:$AB$1,0))))</f>
        <v/>
      </c>
      <c r="AB12" s="68" t="str">
        <f t="shared" si="23"/>
        <v>-</v>
      </c>
      <c r="AC12" s="66" t="str">
        <f>IF(AC$7="","",IF(INDEX('Rooms Walls and Glass'!$D$3:$AB$17, MATCH($D12,'Rooms Walls and Glass'!$A$3:$A$17,0), MATCH('Unit 1 b'!AC$7,'Rooms Walls and Glass'!$D$1:$AB$1,0))=0,"",INDEX('Rooms Walls and Glass'!$D$3:$AB$17, MATCH($D12,'Rooms Walls and Glass'!$A$3:$A$17,0), MATCH('Unit 1 b'!AC$7,'Rooms Walls and Glass'!$D$1:$AB$1,0))))</f>
        <v/>
      </c>
      <c r="AD12" s="68" t="str">
        <f t="shared" si="24"/>
        <v>-</v>
      </c>
      <c r="AE12" s="66" t="str">
        <f>IF(AE$7="","",IF(INDEX('Rooms Walls and Glass'!$D$3:$AB$17, MATCH($D12,'Rooms Walls and Glass'!$A$3:$A$17,0), MATCH('Unit 1 b'!AE$7,'Rooms Walls and Glass'!$D$1:$AB$1,0))=0,"",INDEX('Rooms Walls and Glass'!$D$3:$AB$17, MATCH($D12,'Rooms Walls and Glass'!$A$3:$A$17,0), MATCH('Unit 1 b'!AE$7,'Rooms Walls and Glass'!$D$1:$AB$1,0))))</f>
        <v/>
      </c>
      <c r="AF12" s="68" t="str">
        <f t="shared" si="24"/>
        <v>-</v>
      </c>
      <c r="AG12" s="66" t="str">
        <f>IF(AG$7="","",IF(INDEX('Rooms Walls and Glass'!$D$3:$AB$17, MATCH($D12,'Rooms Walls and Glass'!$A$3:$A$17,0), MATCH('Unit 1 b'!AG$7,'Rooms Walls and Glass'!$D$1:$AB$1,0))=0,"",INDEX('Rooms Walls and Glass'!$D$3:$AB$17, MATCH($D12,'Rooms Walls and Glass'!$A$3:$A$17,0), MATCH('Unit 1 b'!AG$7,'Rooms Walls and Glass'!$D$1:$AB$1,0))))</f>
        <v/>
      </c>
      <c r="AH12" s="68" t="str">
        <f t="shared" si="25"/>
        <v>-</v>
      </c>
      <c r="AI12" s="66" t="str">
        <f>IF(AI$7="","",IF(INDEX('Rooms Walls and Glass'!$D$3:$AB$17, MATCH($D12,'Rooms Walls and Glass'!$A$3:$A$17,0), MATCH('Unit 1 b'!AI$7,'Rooms Walls and Glass'!$D$1:$AB$1,0))=0,"",INDEX('Rooms Walls and Glass'!$D$3:$AB$17, MATCH($D12,'Rooms Walls and Glass'!$A$3:$A$17,0), MATCH('Unit 1 b'!AI$7,'Rooms Walls and Glass'!$D$1:$AB$1,0))))</f>
        <v/>
      </c>
      <c r="AJ12" s="69" t="str">
        <f t="shared" si="26"/>
        <v>-</v>
      </c>
      <c r="AK12" s="66" t="str">
        <f>IF(AK$7="","",IF(INDEX('Rooms Walls and Glass'!$D$3:$AB$17, MATCH($D12,'Rooms Walls and Glass'!$A$3:$A$17,0), MATCH('Unit 1 b'!AK$7,'Rooms Walls and Glass'!$D$1:$AB$1,0))=0,"",INDEX('Rooms Walls and Glass'!$D$3:$AB$17, MATCH($D12,'Rooms Walls and Glass'!$A$3:$A$17,0), MATCH('Unit 1 b'!AK$7,'Rooms Walls and Glass'!$D$1:$AB$1,0))))</f>
        <v/>
      </c>
      <c r="AL12" s="68" t="str">
        <f t="shared" si="27"/>
        <v>-</v>
      </c>
      <c r="AM12" s="66" t="str">
        <f>IF(AM$7="","",IF(INDEX('Rooms Walls and Glass'!$D$3:$AB$17, MATCH($D12,'Rooms Walls and Glass'!$A$3:$A$17,0), MATCH('Unit 1 b'!AM$7,'Rooms Walls and Glass'!$D$1:$AB$1,0))=0,"",INDEX('Rooms Walls and Glass'!$D$3:$AB$17, MATCH($D12,'Rooms Walls and Glass'!$A$3:$A$17,0), MATCH('Unit 1 b'!AM$7,'Rooms Walls and Glass'!$D$1:$AB$1,0))))</f>
        <v/>
      </c>
      <c r="AN12" s="69" t="str">
        <f t="shared" si="28"/>
        <v>-</v>
      </c>
    </row>
    <row r="13" spans="2:40" ht="11.25" customHeight="1" thickBot="1" x14ac:dyDescent="0.2">
      <c r="B13" s="214"/>
      <c r="C13" s="15" t="s">
        <v>7</v>
      </c>
      <c r="D13" s="13" t="str">
        <f>'Rooms Walls and Glass'!A12</f>
        <v>SouthEast</v>
      </c>
      <c r="E13" s="16" t="s">
        <v>18</v>
      </c>
      <c r="F13" s="16" t="s">
        <v>13</v>
      </c>
      <c r="G13" s="103">
        <f>INDEX('Glass CLF Calculation'!$A$4:$G$11,MATCH('Unit 1 b'!D13,'Glass CLF Calculation'!$A$4:$A$11,0),7)</f>
        <v>14.271164444444445</v>
      </c>
      <c r="H13" s="16" t="s">
        <v>6</v>
      </c>
      <c r="I13" s="65">
        <f t="shared" si="13"/>
        <v>3</v>
      </c>
      <c r="J13" s="68">
        <f t="shared" si="14"/>
        <v>42.813493333333334</v>
      </c>
      <c r="K13" s="66" t="str">
        <f>IF(K$7="","",IF(INDEX('Rooms Walls and Glass'!$D$3:$AB$17, MATCH($D13,'Rooms Walls and Glass'!$A$3:$A$17,0), MATCH('Unit 1 b'!K$7,'Rooms Walls and Glass'!$D$1:$AB$1,0))=0,"",INDEX('Rooms Walls and Glass'!$D$3:$AB$17, MATCH($D13,'Rooms Walls and Glass'!$A$3:$A$17,0), MATCH('Unit 1 b'!K$7,'Rooms Walls and Glass'!$D$1:$AB$1,0))))</f>
        <v/>
      </c>
      <c r="L13" s="68" t="str">
        <f t="shared" si="15"/>
        <v>-</v>
      </c>
      <c r="M13" s="66" t="str">
        <f>IF(M$7="","",IF(INDEX('Rooms Walls and Glass'!$D$3:$AB$17, MATCH($D13,'Rooms Walls and Glass'!$A$3:$A$17,0), MATCH('Unit 1 b'!M$7,'Rooms Walls and Glass'!$D$1:$AB$1,0))=0,"",INDEX('Rooms Walls and Glass'!$D$3:$AB$17, MATCH($D13,'Rooms Walls and Glass'!$A$3:$A$17,0), MATCH('Unit 1 b'!M$7,'Rooms Walls and Glass'!$D$1:$AB$1,0))))</f>
        <v/>
      </c>
      <c r="N13" s="68" t="str">
        <f t="shared" si="16"/>
        <v>-</v>
      </c>
      <c r="O13" s="66" t="str">
        <f>IF(O$7="","",IF(INDEX('Rooms Walls and Glass'!$D$3:$AB$17, MATCH($D13,'Rooms Walls and Glass'!$A$3:$A$17,0), MATCH('Unit 1 b'!O$7,'Rooms Walls and Glass'!$D$1:$AB$1,0))=0,"",INDEX('Rooms Walls and Glass'!$D$3:$AB$17, MATCH($D13,'Rooms Walls and Glass'!$A$3:$A$17,0), MATCH('Unit 1 b'!O$7,'Rooms Walls and Glass'!$D$1:$AB$1,0))))</f>
        <v/>
      </c>
      <c r="P13" s="68" t="str">
        <f t="shared" si="17"/>
        <v>-</v>
      </c>
      <c r="Q13" s="66">
        <f>IF(Q$7="","",IF(INDEX('Rooms Walls and Glass'!$D$3:$AB$17, MATCH($D13,'Rooms Walls and Glass'!$A$3:$A$17,0), MATCH('Unit 1 b'!Q$7,'Rooms Walls and Glass'!$D$1:$AB$1,0))=0,"",INDEX('Rooms Walls and Glass'!$D$3:$AB$17, MATCH($D13,'Rooms Walls and Glass'!$A$3:$A$17,0), MATCH('Unit 1 b'!Q$7,'Rooms Walls and Glass'!$D$1:$AB$1,0))))</f>
        <v>3</v>
      </c>
      <c r="R13" s="68">
        <f t="shared" si="18"/>
        <v>42.813493333333334</v>
      </c>
      <c r="S13" s="66" t="str">
        <f>IF(S$7="","",IF(INDEX('Rooms Walls and Glass'!$D$3:$AB$17, MATCH($D13,'Rooms Walls and Glass'!$A$3:$A$17,0), MATCH('Unit 1 b'!S$7,'Rooms Walls and Glass'!$D$1:$AB$1,0))=0,"",INDEX('Rooms Walls and Glass'!$D$3:$AB$17, MATCH($D13,'Rooms Walls and Glass'!$A$3:$A$17,0), MATCH('Unit 1 b'!S$7,'Rooms Walls and Glass'!$D$1:$AB$1,0))))</f>
        <v/>
      </c>
      <c r="T13" s="68" t="str">
        <f t="shared" si="19"/>
        <v>-</v>
      </c>
      <c r="U13" s="66" t="str">
        <f>IF(U$7="","",IF(INDEX('Rooms Walls and Glass'!$D$3:$AB$17, MATCH($D13,'Rooms Walls and Glass'!$A$3:$A$17,0), MATCH('Unit 1 b'!U$7,'Rooms Walls and Glass'!$D$1:$AB$1,0))=0,"",INDEX('Rooms Walls and Glass'!$D$3:$AB$17, MATCH($D13,'Rooms Walls and Glass'!$A$3:$A$17,0), MATCH('Unit 1 b'!U$7,'Rooms Walls and Glass'!$D$1:$AB$1,0))))</f>
        <v/>
      </c>
      <c r="V13" s="68" t="str">
        <f t="shared" si="20"/>
        <v>-</v>
      </c>
      <c r="W13" s="66" t="str">
        <f>IF(W$7="","",IF(INDEX('Rooms Walls and Glass'!$D$3:$AB$17, MATCH($D13,'Rooms Walls and Glass'!$A$3:$A$17,0), MATCH('Unit 1 b'!W$7,'Rooms Walls and Glass'!$D$1:$AB$1,0))=0,"",INDEX('Rooms Walls and Glass'!$D$3:$AB$17, MATCH($D13,'Rooms Walls and Glass'!$A$3:$A$17,0), MATCH('Unit 1 b'!W$7,'Rooms Walls and Glass'!$D$1:$AB$1,0))))</f>
        <v/>
      </c>
      <c r="X13" s="68" t="str">
        <f t="shared" si="21"/>
        <v>-</v>
      </c>
      <c r="Y13" s="66" t="str">
        <f>IF(Y$7="","",IF(INDEX('Rooms Walls and Glass'!$D$3:$AB$17, MATCH($D13,'Rooms Walls and Glass'!$A$3:$A$17,0), MATCH('Unit 1 b'!Y$7,'Rooms Walls and Glass'!$D$1:$AB$1,0))=0,"",INDEX('Rooms Walls and Glass'!$D$3:$AB$17, MATCH($D13,'Rooms Walls and Glass'!$A$3:$A$17,0), MATCH('Unit 1 b'!Y$7,'Rooms Walls and Glass'!$D$1:$AB$1,0))))</f>
        <v/>
      </c>
      <c r="Z13" s="68" t="str">
        <f t="shared" si="22"/>
        <v>-</v>
      </c>
      <c r="AA13" s="66" t="str">
        <f>IF(AA$7="","",IF(INDEX('Rooms Walls and Glass'!$D$3:$AB$17, MATCH($D13,'Rooms Walls and Glass'!$A$3:$A$17,0), MATCH('Unit 1 b'!AA$7,'Rooms Walls and Glass'!$D$1:$AB$1,0))=0,"",INDEX('Rooms Walls and Glass'!$D$3:$AB$17, MATCH($D13,'Rooms Walls and Glass'!$A$3:$A$17,0), MATCH('Unit 1 b'!AA$7,'Rooms Walls and Glass'!$D$1:$AB$1,0))))</f>
        <v/>
      </c>
      <c r="AB13" s="68" t="str">
        <f t="shared" si="23"/>
        <v>-</v>
      </c>
      <c r="AC13" s="66" t="str">
        <f>IF(AC$7="","",IF(INDEX('Rooms Walls and Glass'!$D$3:$AB$17, MATCH($D13,'Rooms Walls and Glass'!$A$3:$A$17,0), MATCH('Unit 1 b'!AC$7,'Rooms Walls and Glass'!$D$1:$AB$1,0))=0,"",INDEX('Rooms Walls and Glass'!$D$3:$AB$17, MATCH($D13,'Rooms Walls and Glass'!$A$3:$A$17,0), MATCH('Unit 1 b'!AC$7,'Rooms Walls and Glass'!$D$1:$AB$1,0))))</f>
        <v/>
      </c>
      <c r="AD13" s="68" t="str">
        <f t="shared" si="24"/>
        <v>-</v>
      </c>
      <c r="AE13" s="66" t="str">
        <f>IF(AE$7="","",IF(INDEX('Rooms Walls and Glass'!$D$3:$AB$17, MATCH($D13,'Rooms Walls and Glass'!$A$3:$A$17,0), MATCH('Unit 1 b'!AE$7,'Rooms Walls and Glass'!$D$1:$AB$1,0))=0,"",INDEX('Rooms Walls and Glass'!$D$3:$AB$17, MATCH($D13,'Rooms Walls and Glass'!$A$3:$A$17,0), MATCH('Unit 1 b'!AE$7,'Rooms Walls and Glass'!$D$1:$AB$1,0))))</f>
        <v/>
      </c>
      <c r="AF13" s="68" t="str">
        <f t="shared" si="24"/>
        <v>-</v>
      </c>
      <c r="AG13" s="66" t="str">
        <f>IF(AG$7="","",IF(INDEX('Rooms Walls and Glass'!$D$3:$AB$17, MATCH($D13,'Rooms Walls and Glass'!$A$3:$A$17,0), MATCH('Unit 1 b'!AG$7,'Rooms Walls and Glass'!$D$1:$AB$1,0))=0,"",INDEX('Rooms Walls and Glass'!$D$3:$AB$17, MATCH($D13,'Rooms Walls and Glass'!$A$3:$A$17,0), MATCH('Unit 1 b'!AG$7,'Rooms Walls and Glass'!$D$1:$AB$1,0))))</f>
        <v/>
      </c>
      <c r="AH13" s="68" t="str">
        <f t="shared" si="25"/>
        <v>-</v>
      </c>
      <c r="AI13" s="66" t="str">
        <f>IF(AI$7="","",IF(INDEX('Rooms Walls and Glass'!$D$3:$AB$17, MATCH($D13,'Rooms Walls and Glass'!$A$3:$A$17,0), MATCH('Unit 1 b'!AI$7,'Rooms Walls and Glass'!$D$1:$AB$1,0))=0,"",INDEX('Rooms Walls and Glass'!$D$3:$AB$17, MATCH($D13,'Rooms Walls and Glass'!$A$3:$A$17,0), MATCH('Unit 1 b'!AI$7,'Rooms Walls and Glass'!$D$1:$AB$1,0))))</f>
        <v/>
      </c>
      <c r="AJ13" s="69" t="str">
        <f t="shared" si="26"/>
        <v>-</v>
      </c>
      <c r="AK13" s="66" t="str">
        <f>IF(AK$7="","",IF(INDEX('Rooms Walls and Glass'!$D$3:$AB$17, MATCH($D13,'Rooms Walls and Glass'!$A$3:$A$17,0), MATCH('Unit 1 b'!AK$7,'Rooms Walls and Glass'!$D$1:$AB$1,0))=0,"",INDEX('Rooms Walls and Glass'!$D$3:$AB$17, MATCH($D13,'Rooms Walls and Glass'!$A$3:$A$17,0), MATCH('Unit 1 b'!AK$7,'Rooms Walls and Glass'!$D$1:$AB$1,0))))</f>
        <v/>
      </c>
      <c r="AL13" s="68" t="str">
        <f t="shared" si="27"/>
        <v>-</v>
      </c>
      <c r="AM13" s="66" t="str">
        <f>IF(AM$7="","",IF(INDEX('Rooms Walls and Glass'!$D$3:$AB$17, MATCH($D13,'Rooms Walls and Glass'!$A$3:$A$17,0), MATCH('Unit 1 b'!AM$7,'Rooms Walls and Glass'!$D$1:$AB$1,0))=0,"",INDEX('Rooms Walls and Glass'!$D$3:$AB$17, MATCH($D13,'Rooms Walls and Glass'!$A$3:$A$17,0), MATCH('Unit 1 b'!AM$7,'Rooms Walls and Glass'!$D$1:$AB$1,0))))</f>
        <v/>
      </c>
      <c r="AN13" s="69" t="str">
        <f t="shared" si="28"/>
        <v>-</v>
      </c>
    </row>
    <row r="14" spans="2:40" ht="11.25" customHeight="1" thickBot="1" x14ac:dyDescent="0.2">
      <c r="B14" s="214"/>
      <c r="C14" s="15" t="s">
        <v>7</v>
      </c>
      <c r="D14" s="13" t="str">
        <f>'Rooms Walls and Glass'!A13</f>
        <v>South</v>
      </c>
      <c r="E14" s="16"/>
      <c r="F14" s="16" t="s">
        <v>14</v>
      </c>
      <c r="G14" s="103">
        <f>INDEX('Glass CLF Calculation'!$A$4:$G$11,MATCH('Unit 1 b'!D14,'Glass CLF Calculation'!$A$4:$A$11,0),7)</f>
        <v>15.869088</v>
      </c>
      <c r="H14" s="16" t="s">
        <v>6</v>
      </c>
      <c r="I14" s="65">
        <f t="shared" si="13"/>
        <v>0</v>
      </c>
      <c r="J14" s="68">
        <f t="shared" si="14"/>
        <v>0</v>
      </c>
      <c r="K14" s="66" t="str">
        <f>IF(K$7="","",IF(INDEX('Rooms Walls and Glass'!$D$3:$AB$17, MATCH($D14,'Rooms Walls and Glass'!$A$3:$A$17,0), MATCH('Unit 1 b'!K$7,'Rooms Walls and Glass'!$D$1:$AB$1,0))=0,"",INDEX('Rooms Walls and Glass'!$D$3:$AB$17, MATCH($D14,'Rooms Walls and Glass'!$A$3:$A$17,0), MATCH('Unit 1 b'!K$7,'Rooms Walls and Glass'!$D$1:$AB$1,0))))</f>
        <v/>
      </c>
      <c r="L14" s="68" t="str">
        <f t="shared" si="15"/>
        <v>-</v>
      </c>
      <c r="M14" s="66" t="str">
        <f>IF(M$7="","",IF(INDEX('Rooms Walls and Glass'!$D$3:$AB$17, MATCH($D14,'Rooms Walls and Glass'!$A$3:$A$17,0), MATCH('Unit 1 b'!M$7,'Rooms Walls and Glass'!$D$1:$AB$1,0))=0,"",INDEX('Rooms Walls and Glass'!$D$3:$AB$17, MATCH($D14,'Rooms Walls and Glass'!$A$3:$A$17,0), MATCH('Unit 1 b'!M$7,'Rooms Walls and Glass'!$D$1:$AB$1,0))))</f>
        <v/>
      </c>
      <c r="N14" s="68" t="str">
        <f t="shared" si="16"/>
        <v>-</v>
      </c>
      <c r="O14" s="66" t="str">
        <f>IF(O$7="","",IF(INDEX('Rooms Walls and Glass'!$D$3:$AB$17, MATCH($D14,'Rooms Walls and Glass'!$A$3:$A$17,0), MATCH('Unit 1 b'!O$7,'Rooms Walls and Glass'!$D$1:$AB$1,0))=0,"",INDEX('Rooms Walls and Glass'!$D$3:$AB$17, MATCH($D14,'Rooms Walls and Glass'!$A$3:$A$17,0), MATCH('Unit 1 b'!O$7,'Rooms Walls and Glass'!$D$1:$AB$1,0))))</f>
        <v/>
      </c>
      <c r="P14" s="68" t="str">
        <f t="shared" si="17"/>
        <v>-</v>
      </c>
      <c r="Q14" s="66" t="str">
        <f>IF(Q$7="","",IF(INDEX('Rooms Walls and Glass'!$D$3:$AB$17, MATCH($D14,'Rooms Walls and Glass'!$A$3:$A$17,0), MATCH('Unit 1 b'!Q$7,'Rooms Walls and Glass'!$D$1:$AB$1,0))=0,"",INDEX('Rooms Walls and Glass'!$D$3:$AB$17, MATCH($D14,'Rooms Walls and Glass'!$A$3:$A$17,0), MATCH('Unit 1 b'!Q$7,'Rooms Walls and Glass'!$D$1:$AB$1,0))))</f>
        <v/>
      </c>
      <c r="R14" s="68" t="str">
        <f t="shared" si="18"/>
        <v>-</v>
      </c>
      <c r="S14" s="66" t="str">
        <f>IF(S$7="","",IF(INDEX('Rooms Walls and Glass'!$D$3:$AB$17, MATCH($D14,'Rooms Walls and Glass'!$A$3:$A$17,0), MATCH('Unit 1 b'!S$7,'Rooms Walls and Glass'!$D$1:$AB$1,0))=0,"",INDEX('Rooms Walls and Glass'!$D$3:$AB$17, MATCH($D14,'Rooms Walls and Glass'!$A$3:$A$17,0), MATCH('Unit 1 b'!S$7,'Rooms Walls and Glass'!$D$1:$AB$1,0))))</f>
        <v/>
      </c>
      <c r="T14" s="68" t="str">
        <f t="shared" si="19"/>
        <v>-</v>
      </c>
      <c r="U14" s="66" t="str">
        <f>IF(U$7="","",IF(INDEX('Rooms Walls and Glass'!$D$3:$AB$17, MATCH($D14,'Rooms Walls and Glass'!$A$3:$A$17,0), MATCH('Unit 1 b'!U$7,'Rooms Walls and Glass'!$D$1:$AB$1,0))=0,"",INDEX('Rooms Walls and Glass'!$D$3:$AB$17, MATCH($D14,'Rooms Walls and Glass'!$A$3:$A$17,0), MATCH('Unit 1 b'!U$7,'Rooms Walls and Glass'!$D$1:$AB$1,0))))</f>
        <v/>
      </c>
      <c r="V14" s="68" t="str">
        <f t="shared" si="20"/>
        <v>-</v>
      </c>
      <c r="W14" s="66" t="str">
        <f>IF(W$7="","",IF(INDEX('Rooms Walls and Glass'!$D$3:$AB$17, MATCH($D14,'Rooms Walls and Glass'!$A$3:$A$17,0), MATCH('Unit 1 b'!W$7,'Rooms Walls and Glass'!$D$1:$AB$1,0))=0,"",INDEX('Rooms Walls and Glass'!$D$3:$AB$17, MATCH($D14,'Rooms Walls and Glass'!$A$3:$A$17,0), MATCH('Unit 1 b'!W$7,'Rooms Walls and Glass'!$D$1:$AB$1,0))))</f>
        <v/>
      </c>
      <c r="X14" s="68" t="str">
        <f t="shared" si="21"/>
        <v>-</v>
      </c>
      <c r="Y14" s="66" t="str">
        <f>IF(Y$7="","",IF(INDEX('Rooms Walls and Glass'!$D$3:$AB$17, MATCH($D14,'Rooms Walls and Glass'!$A$3:$A$17,0), MATCH('Unit 1 b'!Y$7,'Rooms Walls and Glass'!$D$1:$AB$1,0))=0,"",INDEX('Rooms Walls and Glass'!$D$3:$AB$17, MATCH($D14,'Rooms Walls and Glass'!$A$3:$A$17,0), MATCH('Unit 1 b'!Y$7,'Rooms Walls and Glass'!$D$1:$AB$1,0))))</f>
        <v/>
      </c>
      <c r="Z14" s="68" t="str">
        <f t="shared" si="22"/>
        <v>-</v>
      </c>
      <c r="AA14" s="66" t="str">
        <f>IF(AA$7="","",IF(INDEX('Rooms Walls and Glass'!$D$3:$AB$17, MATCH($D14,'Rooms Walls and Glass'!$A$3:$A$17,0), MATCH('Unit 1 b'!AA$7,'Rooms Walls and Glass'!$D$1:$AB$1,0))=0,"",INDEX('Rooms Walls and Glass'!$D$3:$AB$17, MATCH($D14,'Rooms Walls and Glass'!$A$3:$A$17,0), MATCH('Unit 1 b'!AA$7,'Rooms Walls and Glass'!$D$1:$AB$1,0))))</f>
        <v/>
      </c>
      <c r="AB14" s="68" t="str">
        <f t="shared" si="23"/>
        <v>-</v>
      </c>
      <c r="AC14" s="66" t="str">
        <f>IF(AC$7="","",IF(INDEX('Rooms Walls and Glass'!$D$3:$AB$17, MATCH($D14,'Rooms Walls and Glass'!$A$3:$A$17,0), MATCH('Unit 1 b'!AC$7,'Rooms Walls and Glass'!$D$1:$AB$1,0))=0,"",INDEX('Rooms Walls and Glass'!$D$3:$AB$17, MATCH($D14,'Rooms Walls and Glass'!$A$3:$A$17,0), MATCH('Unit 1 b'!AC$7,'Rooms Walls and Glass'!$D$1:$AB$1,0))))</f>
        <v/>
      </c>
      <c r="AD14" s="68" t="str">
        <f t="shared" si="24"/>
        <v>-</v>
      </c>
      <c r="AE14" s="66" t="str">
        <f>IF(AE$7="","",IF(INDEX('Rooms Walls and Glass'!$D$3:$AB$17, MATCH($D14,'Rooms Walls and Glass'!$A$3:$A$17,0), MATCH('Unit 1 b'!AE$7,'Rooms Walls and Glass'!$D$1:$AB$1,0))=0,"",INDEX('Rooms Walls and Glass'!$D$3:$AB$17, MATCH($D14,'Rooms Walls and Glass'!$A$3:$A$17,0), MATCH('Unit 1 b'!AE$7,'Rooms Walls and Glass'!$D$1:$AB$1,0))))</f>
        <v/>
      </c>
      <c r="AF14" s="68" t="str">
        <f t="shared" si="24"/>
        <v>-</v>
      </c>
      <c r="AG14" s="66" t="str">
        <f>IF(AG$7="","",IF(INDEX('Rooms Walls and Glass'!$D$3:$AB$17, MATCH($D14,'Rooms Walls and Glass'!$A$3:$A$17,0), MATCH('Unit 1 b'!AG$7,'Rooms Walls and Glass'!$D$1:$AB$1,0))=0,"",INDEX('Rooms Walls and Glass'!$D$3:$AB$17, MATCH($D14,'Rooms Walls and Glass'!$A$3:$A$17,0), MATCH('Unit 1 b'!AG$7,'Rooms Walls and Glass'!$D$1:$AB$1,0))))</f>
        <v/>
      </c>
      <c r="AH14" s="68" t="str">
        <f t="shared" si="25"/>
        <v>-</v>
      </c>
      <c r="AI14" s="66" t="str">
        <f>IF(AI$7="","",IF(INDEX('Rooms Walls and Glass'!$D$3:$AB$17, MATCH($D14,'Rooms Walls and Glass'!$A$3:$A$17,0), MATCH('Unit 1 b'!AI$7,'Rooms Walls and Glass'!$D$1:$AB$1,0))=0,"",INDEX('Rooms Walls and Glass'!$D$3:$AB$17, MATCH($D14,'Rooms Walls and Glass'!$A$3:$A$17,0), MATCH('Unit 1 b'!AI$7,'Rooms Walls and Glass'!$D$1:$AB$1,0))))</f>
        <v/>
      </c>
      <c r="AJ14" s="69" t="str">
        <f t="shared" si="26"/>
        <v>-</v>
      </c>
      <c r="AK14" s="66" t="str">
        <f>IF(AK$7="","",IF(INDEX('Rooms Walls and Glass'!$D$3:$AB$17, MATCH($D14,'Rooms Walls and Glass'!$A$3:$A$17,0), MATCH('Unit 1 b'!AK$7,'Rooms Walls and Glass'!$D$1:$AB$1,0))=0,"",INDEX('Rooms Walls and Glass'!$D$3:$AB$17, MATCH($D14,'Rooms Walls and Glass'!$A$3:$A$17,0), MATCH('Unit 1 b'!AK$7,'Rooms Walls and Glass'!$D$1:$AB$1,0))))</f>
        <v/>
      </c>
      <c r="AL14" s="68" t="str">
        <f t="shared" si="27"/>
        <v>-</v>
      </c>
      <c r="AM14" s="66" t="str">
        <f>IF(AM$7="","",IF(INDEX('Rooms Walls and Glass'!$D$3:$AB$17, MATCH($D14,'Rooms Walls and Glass'!$A$3:$A$17,0), MATCH('Unit 1 b'!AM$7,'Rooms Walls and Glass'!$D$1:$AB$1,0))=0,"",INDEX('Rooms Walls and Glass'!$D$3:$AB$17, MATCH($D14,'Rooms Walls and Glass'!$A$3:$A$17,0), MATCH('Unit 1 b'!AM$7,'Rooms Walls and Glass'!$D$1:$AB$1,0))))</f>
        <v/>
      </c>
      <c r="AN14" s="69" t="str">
        <f t="shared" si="28"/>
        <v>-</v>
      </c>
    </row>
    <row r="15" spans="2:40" ht="11.25" customHeight="1" thickBot="1" x14ac:dyDescent="0.2">
      <c r="B15" s="214"/>
      <c r="C15" s="15" t="s">
        <v>7</v>
      </c>
      <c r="D15" s="13" t="str">
        <f>'Rooms Walls and Glass'!A14</f>
        <v>SouthWest</v>
      </c>
      <c r="E15" s="16" t="s">
        <v>19</v>
      </c>
      <c r="F15" s="16" t="s">
        <v>15</v>
      </c>
      <c r="G15" s="103">
        <f>INDEX('Glass CLF Calculation'!$A$4:$G$11,MATCH('Unit 1 b'!D15,'Glass CLF Calculation'!$A$4:$A$11,0),7)</f>
        <v>26.22</v>
      </c>
      <c r="H15" s="16" t="s">
        <v>6</v>
      </c>
      <c r="I15" s="65">
        <f t="shared" si="13"/>
        <v>81</v>
      </c>
      <c r="J15" s="68">
        <f t="shared" si="14"/>
        <v>2123.8199999999997</v>
      </c>
      <c r="K15" s="66" t="str">
        <f>IF(K$7="","",IF(INDEX('Rooms Walls and Glass'!$D$3:$AB$17, MATCH($D15,'Rooms Walls and Glass'!$A$3:$A$17,0), MATCH('Unit 1 b'!K$7,'Rooms Walls and Glass'!$D$1:$AB$1,0))=0,"",INDEX('Rooms Walls and Glass'!$D$3:$AB$17, MATCH($D15,'Rooms Walls and Glass'!$A$3:$A$17,0), MATCH('Unit 1 b'!K$7,'Rooms Walls and Glass'!$D$1:$AB$1,0))))</f>
        <v/>
      </c>
      <c r="L15" s="68" t="str">
        <f t="shared" si="15"/>
        <v>-</v>
      </c>
      <c r="M15" s="66" t="str">
        <f>IF(M$7="","",IF(INDEX('Rooms Walls and Glass'!$D$3:$AB$17, MATCH($D15,'Rooms Walls and Glass'!$A$3:$A$17,0), MATCH('Unit 1 b'!M$7,'Rooms Walls and Glass'!$D$1:$AB$1,0))=0,"",INDEX('Rooms Walls and Glass'!$D$3:$AB$17, MATCH($D15,'Rooms Walls and Glass'!$A$3:$A$17,0), MATCH('Unit 1 b'!M$7,'Rooms Walls and Glass'!$D$1:$AB$1,0))))</f>
        <v/>
      </c>
      <c r="N15" s="68" t="str">
        <f t="shared" si="16"/>
        <v>-</v>
      </c>
      <c r="O15" s="66" t="str">
        <f>IF(O$7="","",IF(INDEX('Rooms Walls and Glass'!$D$3:$AB$17, MATCH($D15,'Rooms Walls and Glass'!$A$3:$A$17,0), MATCH('Unit 1 b'!O$7,'Rooms Walls and Glass'!$D$1:$AB$1,0))=0,"",INDEX('Rooms Walls and Glass'!$D$3:$AB$17, MATCH($D15,'Rooms Walls and Glass'!$A$3:$A$17,0), MATCH('Unit 1 b'!O$7,'Rooms Walls and Glass'!$D$1:$AB$1,0))))</f>
        <v/>
      </c>
      <c r="P15" s="68" t="str">
        <f t="shared" si="17"/>
        <v>-</v>
      </c>
      <c r="Q15" s="66" t="str">
        <f>IF(Q$7="","",IF(INDEX('Rooms Walls and Glass'!$D$3:$AB$17, MATCH($D15,'Rooms Walls and Glass'!$A$3:$A$17,0), MATCH('Unit 1 b'!Q$7,'Rooms Walls and Glass'!$D$1:$AB$1,0))=0,"",INDEX('Rooms Walls and Glass'!$D$3:$AB$17, MATCH($D15,'Rooms Walls and Glass'!$A$3:$A$17,0), MATCH('Unit 1 b'!Q$7,'Rooms Walls and Glass'!$D$1:$AB$1,0))))</f>
        <v/>
      </c>
      <c r="R15" s="68" t="str">
        <f t="shared" si="18"/>
        <v>-</v>
      </c>
      <c r="S15" s="66">
        <f>IF(S$7="","",IF(INDEX('Rooms Walls and Glass'!$D$3:$AB$17, MATCH($D15,'Rooms Walls and Glass'!$A$3:$A$17,0), MATCH('Unit 1 b'!S$7,'Rooms Walls and Glass'!$D$1:$AB$1,0))=0,"",INDEX('Rooms Walls and Glass'!$D$3:$AB$17, MATCH($D15,'Rooms Walls and Glass'!$A$3:$A$17,0), MATCH('Unit 1 b'!S$7,'Rooms Walls and Glass'!$D$1:$AB$1,0))))</f>
        <v>36</v>
      </c>
      <c r="T15" s="68">
        <f t="shared" si="19"/>
        <v>943.92</v>
      </c>
      <c r="U15" s="66">
        <f>IF(U$7="","",IF(INDEX('Rooms Walls and Glass'!$D$3:$AB$17, MATCH($D15,'Rooms Walls and Glass'!$A$3:$A$17,0), MATCH('Unit 1 b'!U$7,'Rooms Walls and Glass'!$D$1:$AB$1,0))=0,"",INDEX('Rooms Walls and Glass'!$D$3:$AB$17, MATCH($D15,'Rooms Walls and Glass'!$A$3:$A$17,0), MATCH('Unit 1 b'!U$7,'Rooms Walls and Glass'!$D$1:$AB$1,0))))</f>
        <v>45</v>
      </c>
      <c r="V15" s="68">
        <f t="shared" si="20"/>
        <v>1179.8999999999999</v>
      </c>
      <c r="W15" s="66" t="str">
        <f>IF(W$7="","",IF(INDEX('Rooms Walls and Glass'!$D$3:$AB$17, MATCH($D15,'Rooms Walls and Glass'!$A$3:$A$17,0), MATCH('Unit 1 b'!W$7,'Rooms Walls and Glass'!$D$1:$AB$1,0))=0,"",INDEX('Rooms Walls and Glass'!$D$3:$AB$17, MATCH($D15,'Rooms Walls and Glass'!$A$3:$A$17,0), MATCH('Unit 1 b'!W$7,'Rooms Walls and Glass'!$D$1:$AB$1,0))))</f>
        <v/>
      </c>
      <c r="X15" s="68" t="str">
        <f t="shared" si="21"/>
        <v>-</v>
      </c>
      <c r="Y15" s="66" t="str">
        <f>IF(Y$7="","",IF(INDEX('Rooms Walls and Glass'!$D$3:$AB$17, MATCH($D15,'Rooms Walls and Glass'!$A$3:$A$17,0), MATCH('Unit 1 b'!Y$7,'Rooms Walls and Glass'!$D$1:$AB$1,0))=0,"",INDEX('Rooms Walls and Glass'!$D$3:$AB$17, MATCH($D15,'Rooms Walls and Glass'!$A$3:$A$17,0), MATCH('Unit 1 b'!Y$7,'Rooms Walls and Glass'!$D$1:$AB$1,0))))</f>
        <v/>
      </c>
      <c r="Z15" s="68" t="str">
        <f t="shared" si="22"/>
        <v>-</v>
      </c>
      <c r="AA15" s="66" t="str">
        <f>IF(AA$7="","",IF(INDEX('Rooms Walls and Glass'!$D$3:$AB$17, MATCH($D15,'Rooms Walls and Glass'!$A$3:$A$17,0), MATCH('Unit 1 b'!AA$7,'Rooms Walls and Glass'!$D$1:$AB$1,0))=0,"",INDEX('Rooms Walls and Glass'!$D$3:$AB$17, MATCH($D15,'Rooms Walls and Glass'!$A$3:$A$17,0), MATCH('Unit 1 b'!AA$7,'Rooms Walls and Glass'!$D$1:$AB$1,0))))</f>
        <v/>
      </c>
      <c r="AB15" s="68" t="str">
        <f t="shared" si="23"/>
        <v>-</v>
      </c>
      <c r="AC15" s="66" t="str">
        <f>IF(AC$7="","",IF(INDEX('Rooms Walls and Glass'!$D$3:$AB$17, MATCH($D15,'Rooms Walls and Glass'!$A$3:$A$17,0), MATCH('Unit 1 b'!AC$7,'Rooms Walls and Glass'!$D$1:$AB$1,0))=0,"",INDEX('Rooms Walls and Glass'!$D$3:$AB$17, MATCH($D15,'Rooms Walls and Glass'!$A$3:$A$17,0), MATCH('Unit 1 b'!AC$7,'Rooms Walls and Glass'!$D$1:$AB$1,0))))</f>
        <v/>
      </c>
      <c r="AD15" s="68" t="str">
        <f t="shared" si="24"/>
        <v>-</v>
      </c>
      <c r="AE15" s="66" t="str">
        <f>IF(AE$7="","",IF(INDEX('Rooms Walls and Glass'!$D$3:$AB$17, MATCH($D15,'Rooms Walls and Glass'!$A$3:$A$17,0), MATCH('Unit 1 b'!AE$7,'Rooms Walls and Glass'!$D$1:$AB$1,0))=0,"",INDEX('Rooms Walls and Glass'!$D$3:$AB$17, MATCH($D15,'Rooms Walls and Glass'!$A$3:$A$17,0), MATCH('Unit 1 b'!AE$7,'Rooms Walls and Glass'!$D$1:$AB$1,0))))</f>
        <v/>
      </c>
      <c r="AF15" s="68" t="str">
        <f t="shared" si="24"/>
        <v>-</v>
      </c>
      <c r="AG15" s="66" t="str">
        <f>IF(AG$7="","",IF(INDEX('Rooms Walls and Glass'!$D$3:$AB$17, MATCH($D15,'Rooms Walls and Glass'!$A$3:$A$17,0), MATCH('Unit 1 b'!AG$7,'Rooms Walls and Glass'!$D$1:$AB$1,0))=0,"",INDEX('Rooms Walls and Glass'!$D$3:$AB$17, MATCH($D15,'Rooms Walls and Glass'!$A$3:$A$17,0), MATCH('Unit 1 b'!AG$7,'Rooms Walls and Glass'!$D$1:$AB$1,0))))</f>
        <v/>
      </c>
      <c r="AH15" s="68" t="str">
        <f t="shared" si="25"/>
        <v>-</v>
      </c>
      <c r="AI15" s="66" t="str">
        <f>IF(AI$7="","",IF(INDEX('Rooms Walls and Glass'!$D$3:$AB$17, MATCH($D15,'Rooms Walls and Glass'!$A$3:$A$17,0), MATCH('Unit 1 b'!AI$7,'Rooms Walls and Glass'!$D$1:$AB$1,0))=0,"",INDEX('Rooms Walls and Glass'!$D$3:$AB$17, MATCH($D15,'Rooms Walls and Glass'!$A$3:$A$17,0), MATCH('Unit 1 b'!AI$7,'Rooms Walls and Glass'!$D$1:$AB$1,0))))</f>
        <v/>
      </c>
      <c r="AJ15" s="69" t="str">
        <f t="shared" si="26"/>
        <v>-</v>
      </c>
      <c r="AK15" s="66" t="str">
        <f>IF(AK$7="","",IF(INDEX('Rooms Walls and Glass'!$D$3:$AB$17, MATCH($D15,'Rooms Walls and Glass'!$A$3:$A$17,0), MATCH('Unit 1 b'!AK$7,'Rooms Walls and Glass'!$D$1:$AB$1,0))=0,"",INDEX('Rooms Walls and Glass'!$D$3:$AB$17, MATCH($D15,'Rooms Walls and Glass'!$A$3:$A$17,0), MATCH('Unit 1 b'!AK$7,'Rooms Walls and Glass'!$D$1:$AB$1,0))))</f>
        <v/>
      </c>
      <c r="AL15" s="68" t="str">
        <f t="shared" si="27"/>
        <v>-</v>
      </c>
      <c r="AM15" s="66" t="str">
        <f>IF(AM$7="","",IF(INDEX('Rooms Walls and Glass'!$D$3:$AB$17, MATCH($D15,'Rooms Walls and Glass'!$A$3:$A$17,0), MATCH('Unit 1 b'!AM$7,'Rooms Walls and Glass'!$D$1:$AB$1,0))=0,"",INDEX('Rooms Walls and Glass'!$D$3:$AB$17, MATCH($D15,'Rooms Walls and Glass'!$A$3:$A$17,0), MATCH('Unit 1 b'!AM$7,'Rooms Walls and Glass'!$D$1:$AB$1,0))))</f>
        <v/>
      </c>
      <c r="AN15" s="69" t="str">
        <f t="shared" si="28"/>
        <v>-</v>
      </c>
    </row>
    <row r="16" spans="2:40" ht="11.25" customHeight="1" thickBot="1" x14ac:dyDescent="0.2">
      <c r="B16" s="214"/>
      <c r="C16" s="15" t="s">
        <v>7</v>
      </c>
      <c r="D16" s="13" t="str">
        <f>'Rooms Walls and Glass'!A15</f>
        <v>West</v>
      </c>
      <c r="E16" s="16"/>
      <c r="F16" s="16" t="s">
        <v>16</v>
      </c>
      <c r="G16" s="103">
        <f>INDEX('Glass CLF Calculation'!$A$4:$G$11,MATCH('Unit 1 b'!D16,'Glass CLF Calculation'!$A$4:$A$11,0),7)</f>
        <v>29.197724444444443</v>
      </c>
      <c r="H16" s="16" t="s">
        <v>6</v>
      </c>
      <c r="I16" s="65">
        <f t="shared" si="13"/>
        <v>0</v>
      </c>
      <c r="J16" s="68">
        <f t="shared" si="14"/>
        <v>0</v>
      </c>
      <c r="K16" s="66" t="str">
        <f>IF(K$7="","",IF(INDEX('Rooms Walls and Glass'!$D$3:$AB$17, MATCH($D16,'Rooms Walls and Glass'!$A$3:$A$17,0), MATCH('Unit 1 b'!K$7,'Rooms Walls and Glass'!$D$1:$AB$1,0))=0,"",INDEX('Rooms Walls and Glass'!$D$3:$AB$17, MATCH($D16,'Rooms Walls and Glass'!$A$3:$A$17,0), MATCH('Unit 1 b'!K$7,'Rooms Walls and Glass'!$D$1:$AB$1,0))))</f>
        <v/>
      </c>
      <c r="L16" s="68" t="str">
        <f t="shared" si="15"/>
        <v>-</v>
      </c>
      <c r="M16" s="66" t="str">
        <f>IF(M$7="","",IF(INDEX('Rooms Walls and Glass'!$D$3:$AB$17, MATCH($D16,'Rooms Walls and Glass'!$A$3:$A$17,0), MATCH('Unit 1 b'!M$7,'Rooms Walls and Glass'!$D$1:$AB$1,0))=0,"",INDEX('Rooms Walls and Glass'!$D$3:$AB$17, MATCH($D16,'Rooms Walls and Glass'!$A$3:$A$17,0), MATCH('Unit 1 b'!M$7,'Rooms Walls and Glass'!$D$1:$AB$1,0))))</f>
        <v/>
      </c>
      <c r="N16" s="68" t="str">
        <f t="shared" si="16"/>
        <v>-</v>
      </c>
      <c r="O16" s="66" t="str">
        <f>IF(O$7="","",IF(INDEX('Rooms Walls and Glass'!$D$3:$AB$17, MATCH($D16,'Rooms Walls and Glass'!$A$3:$A$17,0), MATCH('Unit 1 b'!O$7,'Rooms Walls and Glass'!$D$1:$AB$1,0))=0,"",INDEX('Rooms Walls and Glass'!$D$3:$AB$17, MATCH($D16,'Rooms Walls and Glass'!$A$3:$A$17,0), MATCH('Unit 1 b'!O$7,'Rooms Walls and Glass'!$D$1:$AB$1,0))))</f>
        <v/>
      </c>
      <c r="P16" s="68" t="str">
        <f t="shared" si="17"/>
        <v>-</v>
      </c>
      <c r="Q16" s="66" t="str">
        <f>IF(Q$7="","",IF(INDEX('Rooms Walls and Glass'!$D$3:$AB$17, MATCH($D16,'Rooms Walls and Glass'!$A$3:$A$17,0), MATCH('Unit 1 b'!Q$7,'Rooms Walls and Glass'!$D$1:$AB$1,0))=0,"",INDEX('Rooms Walls and Glass'!$D$3:$AB$17, MATCH($D16,'Rooms Walls and Glass'!$A$3:$A$17,0), MATCH('Unit 1 b'!Q$7,'Rooms Walls and Glass'!$D$1:$AB$1,0))))</f>
        <v/>
      </c>
      <c r="R16" s="68" t="str">
        <f t="shared" si="18"/>
        <v>-</v>
      </c>
      <c r="S16" s="66" t="str">
        <f>IF(S$7="","",IF(INDEX('Rooms Walls and Glass'!$D$3:$AB$17, MATCH($D16,'Rooms Walls and Glass'!$A$3:$A$17,0), MATCH('Unit 1 b'!S$7,'Rooms Walls and Glass'!$D$1:$AB$1,0))=0,"",INDEX('Rooms Walls and Glass'!$D$3:$AB$17, MATCH($D16,'Rooms Walls and Glass'!$A$3:$A$17,0), MATCH('Unit 1 b'!S$7,'Rooms Walls and Glass'!$D$1:$AB$1,0))))</f>
        <v/>
      </c>
      <c r="T16" s="68" t="str">
        <f t="shared" si="19"/>
        <v>-</v>
      </c>
      <c r="U16" s="66" t="str">
        <f>IF(U$7="","",IF(INDEX('Rooms Walls and Glass'!$D$3:$AB$17, MATCH($D16,'Rooms Walls and Glass'!$A$3:$A$17,0), MATCH('Unit 1 b'!U$7,'Rooms Walls and Glass'!$D$1:$AB$1,0))=0,"",INDEX('Rooms Walls and Glass'!$D$3:$AB$17, MATCH($D16,'Rooms Walls and Glass'!$A$3:$A$17,0), MATCH('Unit 1 b'!U$7,'Rooms Walls and Glass'!$D$1:$AB$1,0))))</f>
        <v/>
      </c>
      <c r="V16" s="68" t="str">
        <f t="shared" si="20"/>
        <v>-</v>
      </c>
      <c r="W16" s="66" t="str">
        <f>IF(W$7="","",IF(INDEX('Rooms Walls and Glass'!$D$3:$AB$17, MATCH($D16,'Rooms Walls and Glass'!$A$3:$A$17,0), MATCH('Unit 1 b'!W$7,'Rooms Walls and Glass'!$D$1:$AB$1,0))=0,"",INDEX('Rooms Walls and Glass'!$D$3:$AB$17, MATCH($D16,'Rooms Walls and Glass'!$A$3:$A$17,0), MATCH('Unit 1 b'!W$7,'Rooms Walls and Glass'!$D$1:$AB$1,0))))</f>
        <v/>
      </c>
      <c r="X16" s="68" t="str">
        <f t="shared" si="21"/>
        <v>-</v>
      </c>
      <c r="Y16" s="66" t="str">
        <f>IF(Y$7="","",IF(INDEX('Rooms Walls and Glass'!$D$3:$AB$17, MATCH($D16,'Rooms Walls and Glass'!$A$3:$A$17,0), MATCH('Unit 1 b'!Y$7,'Rooms Walls and Glass'!$D$1:$AB$1,0))=0,"",INDEX('Rooms Walls and Glass'!$D$3:$AB$17, MATCH($D16,'Rooms Walls and Glass'!$A$3:$A$17,0), MATCH('Unit 1 b'!Y$7,'Rooms Walls and Glass'!$D$1:$AB$1,0))))</f>
        <v/>
      </c>
      <c r="Z16" s="68" t="str">
        <f t="shared" si="22"/>
        <v>-</v>
      </c>
      <c r="AA16" s="66" t="str">
        <f>IF(AA$7="","",IF(INDEX('Rooms Walls and Glass'!$D$3:$AB$17, MATCH($D16,'Rooms Walls and Glass'!$A$3:$A$17,0), MATCH('Unit 1 b'!AA$7,'Rooms Walls and Glass'!$D$1:$AB$1,0))=0,"",INDEX('Rooms Walls and Glass'!$D$3:$AB$17, MATCH($D16,'Rooms Walls and Glass'!$A$3:$A$17,0), MATCH('Unit 1 b'!AA$7,'Rooms Walls and Glass'!$D$1:$AB$1,0))))</f>
        <v/>
      </c>
      <c r="AB16" s="68" t="str">
        <f t="shared" si="23"/>
        <v>-</v>
      </c>
      <c r="AC16" s="66" t="str">
        <f>IF(AC$7="","",IF(INDEX('Rooms Walls and Glass'!$D$3:$AB$17, MATCH($D16,'Rooms Walls and Glass'!$A$3:$A$17,0), MATCH('Unit 1 b'!AC$7,'Rooms Walls and Glass'!$D$1:$AB$1,0))=0,"",INDEX('Rooms Walls and Glass'!$D$3:$AB$17, MATCH($D16,'Rooms Walls and Glass'!$A$3:$A$17,0), MATCH('Unit 1 b'!AC$7,'Rooms Walls and Glass'!$D$1:$AB$1,0))))</f>
        <v/>
      </c>
      <c r="AD16" s="68" t="str">
        <f t="shared" si="24"/>
        <v>-</v>
      </c>
      <c r="AE16" s="66" t="str">
        <f>IF(AE$7="","",IF(INDEX('Rooms Walls and Glass'!$D$3:$AB$17, MATCH($D16,'Rooms Walls and Glass'!$A$3:$A$17,0), MATCH('Unit 1 b'!AE$7,'Rooms Walls and Glass'!$D$1:$AB$1,0))=0,"",INDEX('Rooms Walls and Glass'!$D$3:$AB$17, MATCH($D16,'Rooms Walls and Glass'!$A$3:$A$17,0), MATCH('Unit 1 b'!AE$7,'Rooms Walls and Glass'!$D$1:$AB$1,0))))</f>
        <v/>
      </c>
      <c r="AF16" s="68" t="str">
        <f t="shared" si="24"/>
        <v>-</v>
      </c>
      <c r="AG16" s="66" t="str">
        <f>IF(AG$7="","",IF(INDEX('Rooms Walls and Glass'!$D$3:$AB$17, MATCH($D16,'Rooms Walls and Glass'!$A$3:$A$17,0), MATCH('Unit 1 b'!AG$7,'Rooms Walls and Glass'!$D$1:$AB$1,0))=0,"",INDEX('Rooms Walls and Glass'!$D$3:$AB$17, MATCH($D16,'Rooms Walls and Glass'!$A$3:$A$17,0), MATCH('Unit 1 b'!AG$7,'Rooms Walls and Glass'!$D$1:$AB$1,0))))</f>
        <v/>
      </c>
      <c r="AH16" s="68" t="str">
        <f t="shared" si="25"/>
        <v>-</v>
      </c>
      <c r="AI16" s="66" t="str">
        <f>IF(AI$7="","",IF(INDEX('Rooms Walls and Glass'!$D$3:$AB$17, MATCH($D16,'Rooms Walls and Glass'!$A$3:$A$17,0), MATCH('Unit 1 b'!AI$7,'Rooms Walls and Glass'!$D$1:$AB$1,0))=0,"",INDEX('Rooms Walls and Glass'!$D$3:$AB$17, MATCH($D16,'Rooms Walls and Glass'!$A$3:$A$17,0), MATCH('Unit 1 b'!AI$7,'Rooms Walls and Glass'!$D$1:$AB$1,0))))</f>
        <v/>
      </c>
      <c r="AJ16" s="69" t="str">
        <f t="shared" si="26"/>
        <v>-</v>
      </c>
      <c r="AK16" s="66" t="str">
        <f>IF(AK$7="","",IF(INDEX('Rooms Walls and Glass'!$D$3:$AB$17, MATCH($D16,'Rooms Walls and Glass'!$A$3:$A$17,0), MATCH('Unit 1 b'!AK$7,'Rooms Walls and Glass'!$D$1:$AB$1,0))=0,"",INDEX('Rooms Walls and Glass'!$D$3:$AB$17, MATCH($D16,'Rooms Walls and Glass'!$A$3:$A$17,0), MATCH('Unit 1 b'!AK$7,'Rooms Walls and Glass'!$D$1:$AB$1,0))))</f>
        <v/>
      </c>
      <c r="AL16" s="68" t="str">
        <f t="shared" si="27"/>
        <v>-</v>
      </c>
      <c r="AM16" s="66" t="str">
        <f>IF(AM$7="","",IF(INDEX('Rooms Walls and Glass'!$D$3:$AB$17, MATCH($D16,'Rooms Walls and Glass'!$A$3:$A$17,0), MATCH('Unit 1 b'!AM$7,'Rooms Walls and Glass'!$D$1:$AB$1,0))=0,"",INDEX('Rooms Walls and Glass'!$D$3:$AB$17, MATCH($D16,'Rooms Walls and Glass'!$A$3:$A$17,0), MATCH('Unit 1 b'!AM$7,'Rooms Walls and Glass'!$D$1:$AB$1,0))))</f>
        <v/>
      </c>
      <c r="AN16" s="69" t="str">
        <f t="shared" si="28"/>
        <v>-</v>
      </c>
    </row>
    <row r="17" spans="2:40" ht="11.25" customHeight="1" thickBot="1" x14ac:dyDescent="0.2">
      <c r="B17" s="214"/>
      <c r="C17" s="15" t="s">
        <v>7</v>
      </c>
      <c r="D17" s="13" t="str">
        <f>'Rooms Walls and Glass'!A16</f>
        <v>Sky Light</v>
      </c>
      <c r="E17" s="16"/>
      <c r="F17" s="16"/>
      <c r="G17" s="105">
        <v>55</v>
      </c>
      <c r="H17" s="16" t="s">
        <v>6</v>
      </c>
      <c r="I17" s="65">
        <f t="shared" si="13"/>
        <v>0</v>
      </c>
      <c r="J17" s="68">
        <f t="shared" si="14"/>
        <v>0</v>
      </c>
      <c r="K17" s="66" t="str">
        <f>IF(K$7="","",IF(INDEX('Rooms Walls and Glass'!$D$3:$AB$17, MATCH($D17,'Rooms Walls and Glass'!$A$3:$A$17,0), MATCH('Unit 1 b'!K$7,'Rooms Walls and Glass'!$D$1:$AB$1,0))=0,"",INDEX('Rooms Walls and Glass'!$D$3:$AB$17, MATCH($D17,'Rooms Walls and Glass'!$A$3:$A$17,0), MATCH('Unit 1 b'!K$7,'Rooms Walls and Glass'!$D$1:$AB$1,0))))</f>
        <v/>
      </c>
      <c r="L17" s="68" t="str">
        <f t="shared" si="15"/>
        <v>-</v>
      </c>
      <c r="M17" s="66" t="str">
        <f>IF(M$7="","",IF(INDEX('Rooms Walls and Glass'!$D$3:$AB$17, MATCH($D17,'Rooms Walls and Glass'!$A$3:$A$17,0), MATCH('Unit 1 b'!M$7,'Rooms Walls and Glass'!$D$1:$AB$1,0))=0,"",INDEX('Rooms Walls and Glass'!$D$3:$AB$17, MATCH($D17,'Rooms Walls and Glass'!$A$3:$A$17,0), MATCH('Unit 1 b'!M$7,'Rooms Walls and Glass'!$D$1:$AB$1,0))))</f>
        <v/>
      </c>
      <c r="N17" s="68" t="str">
        <f t="shared" si="16"/>
        <v>-</v>
      </c>
      <c r="O17" s="66" t="str">
        <f>IF(O$7="","",IF(INDEX('Rooms Walls and Glass'!$D$3:$AB$17, MATCH($D17,'Rooms Walls and Glass'!$A$3:$A$17,0), MATCH('Unit 1 b'!O$7,'Rooms Walls and Glass'!$D$1:$AB$1,0))=0,"",INDEX('Rooms Walls and Glass'!$D$3:$AB$17, MATCH($D17,'Rooms Walls and Glass'!$A$3:$A$17,0), MATCH('Unit 1 b'!O$7,'Rooms Walls and Glass'!$D$1:$AB$1,0))))</f>
        <v/>
      </c>
      <c r="P17" s="68" t="str">
        <f t="shared" si="17"/>
        <v>-</v>
      </c>
      <c r="Q17" s="66" t="str">
        <f>IF(Q$7="","",IF(INDEX('Rooms Walls and Glass'!$D$3:$AB$17, MATCH($D17,'Rooms Walls and Glass'!$A$3:$A$17,0), MATCH('Unit 1 b'!Q$7,'Rooms Walls and Glass'!$D$1:$AB$1,0))=0,"",INDEX('Rooms Walls and Glass'!$D$3:$AB$17, MATCH($D17,'Rooms Walls and Glass'!$A$3:$A$17,0), MATCH('Unit 1 b'!Q$7,'Rooms Walls and Glass'!$D$1:$AB$1,0))))</f>
        <v/>
      </c>
      <c r="R17" s="68" t="str">
        <f t="shared" si="18"/>
        <v>-</v>
      </c>
      <c r="S17" s="66" t="str">
        <f>IF(S$7="","",IF(INDEX('Rooms Walls and Glass'!$D$3:$AB$17, MATCH($D17,'Rooms Walls and Glass'!$A$3:$A$17,0), MATCH('Unit 1 b'!S$7,'Rooms Walls and Glass'!$D$1:$AB$1,0))=0,"",INDEX('Rooms Walls and Glass'!$D$3:$AB$17, MATCH($D17,'Rooms Walls and Glass'!$A$3:$A$17,0), MATCH('Unit 1 b'!S$7,'Rooms Walls and Glass'!$D$1:$AB$1,0))))</f>
        <v/>
      </c>
      <c r="T17" s="68" t="str">
        <f t="shared" si="19"/>
        <v>-</v>
      </c>
      <c r="U17" s="66" t="str">
        <f>IF(U$7="","",IF(INDEX('Rooms Walls and Glass'!$D$3:$AB$17, MATCH($D17,'Rooms Walls and Glass'!$A$3:$A$17,0), MATCH('Unit 1 b'!U$7,'Rooms Walls and Glass'!$D$1:$AB$1,0))=0,"",INDEX('Rooms Walls and Glass'!$D$3:$AB$17, MATCH($D17,'Rooms Walls and Glass'!$A$3:$A$17,0), MATCH('Unit 1 b'!U$7,'Rooms Walls and Glass'!$D$1:$AB$1,0))))</f>
        <v/>
      </c>
      <c r="V17" s="68" t="str">
        <f t="shared" si="20"/>
        <v>-</v>
      </c>
      <c r="W17" s="66" t="str">
        <f>IF(W$7="","",IF(INDEX('Rooms Walls and Glass'!$D$3:$AB$17, MATCH($D17,'Rooms Walls and Glass'!$A$3:$A$17,0), MATCH('Unit 1 b'!W$7,'Rooms Walls and Glass'!$D$1:$AB$1,0))=0,"",INDEX('Rooms Walls and Glass'!$D$3:$AB$17, MATCH($D17,'Rooms Walls and Glass'!$A$3:$A$17,0), MATCH('Unit 1 b'!W$7,'Rooms Walls and Glass'!$D$1:$AB$1,0))))</f>
        <v/>
      </c>
      <c r="X17" s="68" t="str">
        <f t="shared" si="21"/>
        <v>-</v>
      </c>
      <c r="Y17" s="66" t="str">
        <f>IF(Y$7="","",IF(INDEX('Rooms Walls and Glass'!$D$3:$AB$17, MATCH($D17,'Rooms Walls and Glass'!$A$3:$A$17,0), MATCH('Unit 1 b'!Y$7,'Rooms Walls and Glass'!$D$1:$AB$1,0))=0,"",INDEX('Rooms Walls and Glass'!$D$3:$AB$17, MATCH($D17,'Rooms Walls and Glass'!$A$3:$A$17,0), MATCH('Unit 1 b'!Y$7,'Rooms Walls and Glass'!$D$1:$AB$1,0))))</f>
        <v/>
      </c>
      <c r="Z17" s="68" t="str">
        <f t="shared" si="22"/>
        <v>-</v>
      </c>
      <c r="AA17" s="66" t="str">
        <f>IF(AA$7="","",IF(INDEX('Rooms Walls and Glass'!$D$3:$AB$17, MATCH($D17,'Rooms Walls and Glass'!$A$3:$A$17,0), MATCH('Unit 1 b'!AA$7,'Rooms Walls and Glass'!$D$1:$AB$1,0))=0,"",INDEX('Rooms Walls and Glass'!$D$3:$AB$17, MATCH($D17,'Rooms Walls and Glass'!$A$3:$A$17,0), MATCH('Unit 1 b'!AA$7,'Rooms Walls and Glass'!$D$1:$AB$1,0))))</f>
        <v/>
      </c>
      <c r="AB17" s="68" t="str">
        <f t="shared" si="23"/>
        <v>-</v>
      </c>
      <c r="AC17" s="66" t="str">
        <f>IF(AC$7="","",IF(INDEX('Rooms Walls and Glass'!$D$3:$AB$17, MATCH($D17,'Rooms Walls and Glass'!$A$3:$A$17,0), MATCH('Unit 1 b'!AC$7,'Rooms Walls and Glass'!$D$1:$AB$1,0))=0,"",INDEX('Rooms Walls and Glass'!$D$3:$AB$17, MATCH($D17,'Rooms Walls and Glass'!$A$3:$A$17,0), MATCH('Unit 1 b'!AC$7,'Rooms Walls and Glass'!$D$1:$AB$1,0))))</f>
        <v/>
      </c>
      <c r="AD17" s="68" t="str">
        <f t="shared" si="24"/>
        <v>-</v>
      </c>
      <c r="AE17" s="66" t="str">
        <f>IF(AE$7="","",IF(INDEX('Rooms Walls and Glass'!$D$3:$AB$17, MATCH($D17,'Rooms Walls and Glass'!$A$3:$A$17,0), MATCH('Unit 1 b'!AE$7,'Rooms Walls and Glass'!$D$1:$AB$1,0))=0,"",INDEX('Rooms Walls and Glass'!$D$3:$AB$17, MATCH($D17,'Rooms Walls and Glass'!$A$3:$A$17,0), MATCH('Unit 1 b'!AE$7,'Rooms Walls and Glass'!$D$1:$AB$1,0))))</f>
        <v/>
      </c>
      <c r="AF17" s="68" t="str">
        <f t="shared" si="24"/>
        <v>-</v>
      </c>
      <c r="AG17" s="66" t="str">
        <f>IF(AG$7="","",IF(INDEX('Rooms Walls and Glass'!$D$3:$AB$17, MATCH($D17,'Rooms Walls and Glass'!$A$3:$A$17,0), MATCH('Unit 1 b'!AG$7,'Rooms Walls and Glass'!$D$1:$AB$1,0))=0,"",INDEX('Rooms Walls and Glass'!$D$3:$AB$17, MATCH($D17,'Rooms Walls and Glass'!$A$3:$A$17,0), MATCH('Unit 1 b'!AG$7,'Rooms Walls and Glass'!$D$1:$AB$1,0))))</f>
        <v/>
      </c>
      <c r="AH17" s="68" t="str">
        <f t="shared" si="25"/>
        <v>-</v>
      </c>
      <c r="AI17" s="66" t="str">
        <f>IF(AI$7="","",IF(INDEX('Rooms Walls and Glass'!$D$3:$AB$17, MATCH($D17,'Rooms Walls and Glass'!$A$3:$A$17,0), MATCH('Unit 1 b'!AI$7,'Rooms Walls and Glass'!$D$1:$AB$1,0))=0,"",INDEX('Rooms Walls and Glass'!$D$3:$AB$17, MATCH($D17,'Rooms Walls and Glass'!$A$3:$A$17,0), MATCH('Unit 1 b'!AI$7,'Rooms Walls and Glass'!$D$1:$AB$1,0))))</f>
        <v/>
      </c>
      <c r="AJ17" s="69" t="str">
        <f t="shared" si="26"/>
        <v>-</v>
      </c>
      <c r="AK17" s="66" t="str">
        <f>IF(AK$7="","",IF(INDEX('Rooms Walls and Glass'!$D$3:$AB$17, MATCH($D17,'Rooms Walls and Glass'!$A$3:$A$17,0), MATCH('Unit 1 b'!AK$7,'Rooms Walls and Glass'!$D$1:$AB$1,0))=0,"",INDEX('Rooms Walls and Glass'!$D$3:$AB$17, MATCH($D17,'Rooms Walls and Glass'!$A$3:$A$17,0), MATCH('Unit 1 b'!AK$7,'Rooms Walls and Glass'!$D$1:$AB$1,0))))</f>
        <v/>
      </c>
      <c r="AL17" s="68" t="str">
        <f t="shared" si="27"/>
        <v>-</v>
      </c>
      <c r="AM17" s="66" t="str">
        <f>IF(AM$7="","",IF(INDEX('Rooms Walls and Glass'!$D$3:$AB$17, MATCH($D17,'Rooms Walls and Glass'!$A$3:$A$17,0), MATCH('Unit 1 b'!AM$7,'Rooms Walls and Glass'!$D$1:$AB$1,0))=0,"",INDEX('Rooms Walls and Glass'!$D$3:$AB$17, MATCH($D17,'Rooms Walls and Glass'!$A$3:$A$17,0), MATCH('Unit 1 b'!AM$7,'Rooms Walls and Glass'!$D$1:$AB$1,0))))</f>
        <v/>
      </c>
      <c r="AN17" s="69" t="str">
        <f t="shared" si="28"/>
        <v>-</v>
      </c>
    </row>
    <row r="18" spans="2:40" ht="11.25" customHeight="1" thickBot="1" x14ac:dyDescent="0.2">
      <c r="B18" s="213"/>
      <c r="C18" s="17" t="s">
        <v>7</v>
      </c>
      <c r="D18" s="13" t="str">
        <f>'Rooms Walls and Glass'!A17</f>
        <v>Shaded</v>
      </c>
      <c r="E18" s="18"/>
      <c r="F18" s="18"/>
      <c r="G18" s="104">
        <f>'Glass CLF Calculation'!G5</f>
        <v>6.2012662222222215</v>
      </c>
      <c r="H18" s="18" t="s">
        <v>6</v>
      </c>
      <c r="I18" s="65">
        <f t="shared" si="13"/>
        <v>6</v>
      </c>
      <c r="J18" s="70">
        <f t="shared" si="14"/>
        <v>37.207597333333325</v>
      </c>
      <c r="K18" s="66">
        <f>IF(K$7="","",IF(INDEX('Rooms Walls and Glass'!$D$3:$AB$17, MATCH($D18,'Rooms Walls and Glass'!$A$3:$A$17,0), MATCH('Unit 1 b'!K$7,'Rooms Walls and Glass'!$D$1:$AB$1,0))=0,"",INDEX('Rooms Walls and Glass'!$D$3:$AB$17, MATCH($D18,'Rooms Walls and Glass'!$A$3:$A$17,0), MATCH('Unit 1 b'!K$7,'Rooms Walls and Glass'!$D$1:$AB$1,0))))</f>
        <v>6</v>
      </c>
      <c r="L18" s="70">
        <f t="shared" si="15"/>
        <v>37.207597333333325</v>
      </c>
      <c r="M18" s="66" t="str">
        <f>IF(M$7="","",IF(INDEX('Rooms Walls and Glass'!$D$3:$AB$17, MATCH($D18,'Rooms Walls and Glass'!$A$3:$A$17,0), MATCH('Unit 1 b'!M$7,'Rooms Walls and Glass'!$D$1:$AB$1,0))=0,"",INDEX('Rooms Walls and Glass'!$D$3:$AB$17, MATCH($D18,'Rooms Walls and Glass'!$A$3:$A$17,0), MATCH('Unit 1 b'!M$7,'Rooms Walls and Glass'!$D$1:$AB$1,0))))</f>
        <v/>
      </c>
      <c r="N18" s="70" t="str">
        <f t="shared" si="16"/>
        <v>-</v>
      </c>
      <c r="O18" s="66" t="str">
        <f>IF(O$7="","",IF(INDEX('Rooms Walls and Glass'!$D$3:$AB$17, MATCH($D18,'Rooms Walls and Glass'!$A$3:$A$17,0), MATCH('Unit 1 b'!O$7,'Rooms Walls and Glass'!$D$1:$AB$1,0))=0,"",INDEX('Rooms Walls and Glass'!$D$3:$AB$17, MATCH($D18,'Rooms Walls and Glass'!$A$3:$A$17,0), MATCH('Unit 1 b'!O$7,'Rooms Walls and Glass'!$D$1:$AB$1,0))))</f>
        <v/>
      </c>
      <c r="P18" s="70" t="str">
        <f t="shared" si="17"/>
        <v>-</v>
      </c>
      <c r="Q18" s="66" t="str">
        <f>IF(Q$7="","",IF(INDEX('Rooms Walls and Glass'!$D$3:$AB$17, MATCH($D18,'Rooms Walls and Glass'!$A$3:$A$17,0), MATCH('Unit 1 b'!Q$7,'Rooms Walls and Glass'!$D$1:$AB$1,0))=0,"",INDEX('Rooms Walls and Glass'!$D$3:$AB$17, MATCH($D18,'Rooms Walls and Glass'!$A$3:$A$17,0), MATCH('Unit 1 b'!Q$7,'Rooms Walls and Glass'!$D$1:$AB$1,0))))</f>
        <v/>
      </c>
      <c r="R18" s="70" t="str">
        <f t="shared" si="18"/>
        <v>-</v>
      </c>
      <c r="S18" s="66" t="str">
        <f>IF(S$7="","",IF(INDEX('Rooms Walls and Glass'!$D$3:$AB$17, MATCH($D18,'Rooms Walls and Glass'!$A$3:$A$17,0), MATCH('Unit 1 b'!S$7,'Rooms Walls and Glass'!$D$1:$AB$1,0))=0,"",INDEX('Rooms Walls and Glass'!$D$3:$AB$17, MATCH($D18,'Rooms Walls and Glass'!$A$3:$A$17,0), MATCH('Unit 1 b'!S$7,'Rooms Walls and Glass'!$D$1:$AB$1,0))))</f>
        <v/>
      </c>
      <c r="T18" s="70" t="str">
        <f t="shared" si="19"/>
        <v>-</v>
      </c>
      <c r="U18" s="66" t="str">
        <f>IF(U$7="","",IF(INDEX('Rooms Walls and Glass'!$D$3:$AB$17, MATCH($D18,'Rooms Walls and Glass'!$A$3:$A$17,0), MATCH('Unit 1 b'!U$7,'Rooms Walls and Glass'!$D$1:$AB$1,0))=0,"",INDEX('Rooms Walls and Glass'!$D$3:$AB$17, MATCH($D18,'Rooms Walls and Glass'!$A$3:$A$17,0), MATCH('Unit 1 b'!U$7,'Rooms Walls and Glass'!$D$1:$AB$1,0))))</f>
        <v/>
      </c>
      <c r="V18" s="70" t="str">
        <f t="shared" si="20"/>
        <v>-</v>
      </c>
      <c r="W18" s="66" t="str">
        <f>IF(W$7="","",IF(INDEX('Rooms Walls and Glass'!$D$3:$AB$17, MATCH($D18,'Rooms Walls and Glass'!$A$3:$A$17,0), MATCH('Unit 1 b'!W$7,'Rooms Walls and Glass'!$D$1:$AB$1,0))=0,"",INDEX('Rooms Walls and Glass'!$D$3:$AB$17, MATCH($D18,'Rooms Walls and Glass'!$A$3:$A$17,0), MATCH('Unit 1 b'!W$7,'Rooms Walls and Glass'!$D$1:$AB$1,0))))</f>
        <v/>
      </c>
      <c r="X18" s="70" t="str">
        <f t="shared" si="21"/>
        <v>-</v>
      </c>
      <c r="Y18" s="66" t="str">
        <f>IF(Y$7="","",IF(INDEX('Rooms Walls and Glass'!$D$3:$AB$17, MATCH($D18,'Rooms Walls and Glass'!$A$3:$A$17,0), MATCH('Unit 1 b'!Y$7,'Rooms Walls and Glass'!$D$1:$AB$1,0))=0,"",INDEX('Rooms Walls and Glass'!$D$3:$AB$17, MATCH($D18,'Rooms Walls and Glass'!$A$3:$A$17,0), MATCH('Unit 1 b'!Y$7,'Rooms Walls and Glass'!$D$1:$AB$1,0))))</f>
        <v/>
      </c>
      <c r="Z18" s="70" t="str">
        <f t="shared" si="22"/>
        <v>-</v>
      </c>
      <c r="AA18" s="66" t="str">
        <f>IF(AA$7="","",IF(INDEX('Rooms Walls and Glass'!$D$3:$AB$17, MATCH($D18,'Rooms Walls and Glass'!$A$3:$A$17,0), MATCH('Unit 1 b'!AA$7,'Rooms Walls and Glass'!$D$1:$AB$1,0))=0,"",INDEX('Rooms Walls and Glass'!$D$3:$AB$17, MATCH($D18,'Rooms Walls and Glass'!$A$3:$A$17,0), MATCH('Unit 1 b'!AA$7,'Rooms Walls and Glass'!$D$1:$AB$1,0))))</f>
        <v/>
      </c>
      <c r="AB18" s="70" t="str">
        <f t="shared" si="23"/>
        <v>-</v>
      </c>
      <c r="AC18" s="66" t="str">
        <f>IF(AC$7="","",IF(INDEX('Rooms Walls and Glass'!$D$3:$AB$17, MATCH($D18,'Rooms Walls and Glass'!$A$3:$A$17,0), MATCH('Unit 1 b'!AC$7,'Rooms Walls and Glass'!$D$1:$AB$1,0))=0,"",INDEX('Rooms Walls and Glass'!$D$3:$AB$17, MATCH($D18,'Rooms Walls and Glass'!$A$3:$A$17,0), MATCH('Unit 1 b'!AC$7,'Rooms Walls and Glass'!$D$1:$AB$1,0))))</f>
        <v/>
      </c>
      <c r="AD18" s="70" t="str">
        <f t="shared" si="24"/>
        <v>-</v>
      </c>
      <c r="AE18" s="66" t="str">
        <f>IF(AE$7="","",IF(INDEX('Rooms Walls and Glass'!$D$3:$AB$17, MATCH($D18,'Rooms Walls and Glass'!$A$3:$A$17,0), MATCH('Unit 1 b'!AE$7,'Rooms Walls and Glass'!$D$1:$AB$1,0))=0,"",INDEX('Rooms Walls and Glass'!$D$3:$AB$17, MATCH($D18,'Rooms Walls and Glass'!$A$3:$A$17,0), MATCH('Unit 1 b'!AE$7,'Rooms Walls and Glass'!$D$1:$AB$1,0))))</f>
        <v/>
      </c>
      <c r="AF18" s="70" t="str">
        <f t="shared" si="24"/>
        <v>-</v>
      </c>
      <c r="AG18" s="66" t="str">
        <f>IF(AG$7="","",IF(INDEX('Rooms Walls and Glass'!$D$3:$AB$17, MATCH($D18,'Rooms Walls and Glass'!$A$3:$A$17,0), MATCH('Unit 1 b'!AG$7,'Rooms Walls and Glass'!$D$1:$AB$1,0))=0,"",INDEX('Rooms Walls and Glass'!$D$3:$AB$17, MATCH($D18,'Rooms Walls and Glass'!$A$3:$A$17,0), MATCH('Unit 1 b'!AG$7,'Rooms Walls and Glass'!$D$1:$AB$1,0))))</f>
        <v/>
      </c>
      <c r="AH18" s="70" t="str">
        <f t="shared" si="25"/>
        <v>-</v>
      </c>
      <c r="AI18" s="66" t="str">
        <f>IF(AI$7="","",IF(INDEX('Rooms Walls and Glass'!$D$3:$AB$17, MATCH($D18,'Rooms Walls and Glass'!$A$3:$A$17,0), MATCH('Unit 1 b'!AI$7,'Rooms Walls and Glass'!$D$1:$AB$1,0))=0,"",INDEX('Rooms Walls and Glass'!$D$3:$AB$17, MATCH($D18,'Rooms Walls and Glass'!$A$3:$A$17,0), MATCH('Unit 1 b'!AI$7,'Rooms Walls and Glass'!$D$1:$AB$1,0))))</f>
        <v/>
      </c>
      <c r="AJ18" s="71" t="str">
        <f t="shared" si="26"/>
        <v>-</v>
      </c>
      <c r="AK18" s="66" t="str">
        <f>IF(AK$7="","",IF(INDEX('Rooms Walls and Glass'!$D$3:$AB$17, MATCH($D18,'Rooms Walls and Glass'!$A$3:$A$17,0), MATCH('Unit 1 b'!AK$7,'Rooms Walls and Glass'!$D$1:$AB$1,0))=0,"",INDEX('Rooms Walls and Glass'!$D$3:$AB$17, MATCH($D18,'Rooms Walls and Glass'!$A$3:$A$17,0), MATCH('Unit 1 b'!AK$7,'Rooms Walls and Glass'!$D$1:$AB$1,0))))</f>
        <v/>
      </c>
      <c r="AL18" s="70" t="str">
        <f t="shared" si="27"/>
        <v>-</v>
      </c>
      <c r="AM18" s="66" t="str">
        <f>IF(AM$7="","",IF(INDEX('Rooms Walls and Glass'!$D$3:$AB$17, MATCH($D18,'Rooms Walls and Glass'!$A$3:$A$17,0), MATCH('Unit 1 b'!AM$7,'Rooms Walls and Glass'!$D$1:$AB$1,0))=0,"",INDEX('Rooms Walls and Glass'!$D$3:$AB$17, MATCH($D18,'Rooms Walls and Glass'!$A$3:$A$17,0), MATCH('Unit 1 b'!AM$7,'Rooms Walls and Glass'!$D$1:$AB$1,0))))</f>
        <v/>
      </c>
      <c r="AN18" s="71" t="str">
        <f t="shared" si="28"/>
        <v>-</v>
      </c>
    </row>
    <row r="19" spans="2:40" ht="11.25" customHeight="1" thickBot="1" x14ac:dyDescent="0.2">
      <c r="B19" s="212" t="s">
        <v>37</v>
      </c>
      <c r="C19" s="12" t="s">
        <v>33</v>
      </c>
      <c r="D19" s="13" t="s">
        <v>237</v>
      </c>
      <c r="E19" s="13">
        <f>INDEX('Glass CLF Calculation'!$A$17:$G$18,MATCH('Unit 1 b'!C19,'Glass CLF Calculation'!$A$17:$A$18,0),7)</f>
        <v>21</v>
      </c>
      <c r="F19" s="14">
        <f>INDEX(Summary!$F$19:$F$30,MATCH('Unit 1 b'!C19,Summary!$D$19:$D$30,0))</f>
        <v>0.5</v>
      </c>
      <c r="G19" s="14">
        <f>F19*E19</f>
        <v>10.5</v>
      </c>
      <c r="H19" s="13" t="s">
        <v>6</v>
      </c>
      <c r="I19" s="65">
        <f t="shared" si="13"/>
        <v>24.7</v>
      </c>
      <c r="J19" s="65">
        <f t="shared" si="14"/>
        <v>259.34999999999997</v>
      </c>
      <c r="K19" s="66">
        <f>IF(K$7="","",IF(INDEX('Rooms Walls and Glass'!$D$8:$AB$19, MATCH($D19,'Rooms Walls and Glass'!$A$8:$A$19,0), MATCH('Unit 1 b'!K$7,'Rooms Walls and Glass'!$D$1:$AB$1,0))=0,"",INDEX('Rooms Walls and Glass'!$D$8:$AB$19, MATCH($D19,'Rooms Walls and Glass'!$A$8:$A$19,0), MATCH('Unit 1 b'!K$7,'Rooms Walls and Glass'!$D$1:$AB$1,0))))</f>
        <v>16.7</v>
      </c>
      <c r="L19" s="65">
        <f t="shared" si="15"/>
        <v>175.35</v>
      </c>
      <c r="M19" s="66" t="str">
        <f>IF(M$7="","",IF(INDEX('Rooms Walls and Glass'!$D$8:$AB$19, MATCH($D19,'Rooms Walls and Glass'!$A$8:$A$19,0), MATCH('Unit 1 b'!M$7,'Rooms Walls and Glass'!$D$1:$AB$1,0))=0,"",INDEX('Rooms Walls and Glass'!$D$8:$AB$19, MATCH($D19,'Rooms Walls and Glass'!$A$8:$A$19,0), MATCH('Unit 1 b'!M$7,'Rooms Walls and Glass'!$D$1:$AB$1,0))))</f>
        <v/>
      </c>
      <c r="N19" s="65" t="str">
        <f t="shared" si="16"/>
        <v>-</v>
      </c>
      <c r="O19" s="66" t="str">
        <f>IF(O$7="","",IF(INDEX('Rooms Walls and Glass'!$D$8:$AB$19, MATCH($D19,'Rooms Walls and Glass'!$A$8:$A$19,0), MATCH('Unit 1 b'!O$7,'Rooms Walls and Glass'!$D$1:$AB$1,0))=0,"",INDEX('Rooms Walls and Glass'!$D$8:$AB$19, MATCH($D19,'Rooms Walls and Glass'!$A$8:$A$19,0), MATCH('Unit 1 b'!O$7,'Rooms Walls and Glass'!$D$1:$AB$1,0))))</f>
        <v/>
      </c>
      <c r="P19" s="65" t="str">
        <f t="shared" si="17"/>
        <v>-</v>
      </c>
      <c r="Q19" s="66" t="str">
        <f>IF(Q$7="","",IF(INDEX('Rooms Walls and Glass'!$D$8:$AB$19, MATCH($D19,'Rooms Walls and Glass'!$A$8:$A$19,0), MATCH('Unit 1 b'!Q$7,'Rooms Walls and Glass'!$D$1:$AB$1,0))=0,"",INDEX('Rooms Walls and Glass'!$D$8:$AB$19, MATCH($D19,'Rooms Walls and Glass'!$A$8:$A$19,0), MATCH('Unit 1 b'!Q$7,'Rooms Walls and Glass'!$D$1:$AB$1,0))))</f>
        <v/>
      </c>
      <c r="R19" s="65" t="str">
        <f t="shared" si="18"/>
        <v>-</v>
      </c>
      <c r="S19" s="66" t="str">
        <f>IF(S$7="","",IF(INDEX('Rooms Walls and Glass'!$D$8:$AB$19, MATCH($D19,'Rooms Walls and Glass'!$A$8:$A$19,0), MATCH('Unit 1 b'!S$7,'Rooms Walls and Glass'!$D$1:$AB$1,0))=0,"",INDEX('Rooms Walls and Glass'!$D$8:$AB$19, MATCH($D19,'Rooms Walls and Glass'!$A$8:$A$19,0), MATCH('Unit 1 b'!S$7,'Rooms Walls and Glass'!$D$1:$AB$1,0))))</f>
        <v/>
      </c>
      <c r="T19" s="65" t="str">
        <f t="shared" si="19"/>
        <v>-</v>
      </c>
      <c r="U19" s="66">
        <f>IF(U$7="","",IF(INDEX('Rooms Walls and Glass'!$D$8:$AB$19, MATCH($D19,'Rooms Walls and Glass'!$A$8:$A$19,0), MATCH('Unit 1 b'!U$7,'Rooms Walls and Glass'!$D$1:$AB$1,0))=0,"",INDEX('Rooms Walls and Glass'!$D$8:$AB$19, MATCH($D19,'Rooms Walls and Glass'!$A$8:$A$19,0), MATCH('Unit 1 b'!U$7,'Rooms Walls and Glass'!$D$1:$AB$1,0))))</f>
        <v>8</v>
      </c>
      <c r="V19" s="65">
        <f t="shared" si="20"/>
        <v>84</v>
      </c>
      <c r="W19" s="66" t="str">
        <f>IF(W$7="","",IF(INDEX('Rooms Walls and Glass'!$D$8:$AB$19, MATCH($D19,'Rooms Walls and Glass'!$A$8:$A$19,0), MATCH('Unit 1 b'!W$7,'Rooms Walls and Glass'!$D$1:$AB$1,0))=0,"",INDEX('Rooms Walls and Glass'!$D$8:$AB$19, MATCH($D19,'Rooms Walls and Glass'!$A$8:$A$19,0), MATCH('Unit 1 b'!W$7,'Rooms Walls and Glass'!$D$1:$AB$1,0))))</f>
        <v/>
      </c>
      <c r="X19" s="65" t="str">
        <f t="shared" si="21"/>
        <v>-</v>
      </c>
      <c r="Y19" s="66" t="str">
        <f>IF(Y$7="","",IF(INDEX('Rooms Walls and Glass'!$D$8:$AB$19, MATCH($D19,'Rooms Walls and Glass'!$A$8:$A$19,0), MATCH('Unit 1 b'!Y$7,'Rooms Walls and Glass'!$D$1:$AB$1,0))=0,"",INDEX('Rooms Walls and Glass'!$D$8:$AB$19, MATCH($D19,'Rooms Walls and Glass'!$A$8:$A$19,0), MATCH('Unit 1 b'!Y$7,'Rooms Walls and Glass'!$D$1:$AB$1,0))))</f>
        <v/>
      </c>
      <c r="Z19" s="65" t="str">
        <f t="shared" si="22"/>
        <v>-</v>
      </c>
      <c r="AA19" s="66" t="str">
        <f>IF(AA$7="","",IF(INDEX('Rooms Walls and Glass'!$D$8:$AB$19, MATCH($D19,'Rooms Walls and Glass'!$A$8:$A$19,0), MATCH('Unit 1 b'!AA$7,'Rooms Walls and Glass'!$D$1:$AB$1,0))=0,"",INDEX('Rooms Walls and Glass'!$D$8:$AB$19, MATCH($D19,'Rooms Walls and Glass'!$A$8:$A$19,0), MATCH('Unit 1 b'!AA$7,'Rooms Walls and Glass'!$D$1:$AB$1,0))))</f>
        <v/>
      </c>
      <c r="AB19" s="65" t="str">
        <f t="shared" si="23"/>
        <v>-</v>
      </c>
      <c r="AC19" s="66" t="str">
        <f>IF(AC$7="","",IF(INDEX('Rooms Walls and Glass'!$D$8:$AB$19, MATCH($D19,'Rooms Walls and Glass'!$A$8:$A$19,0), MATCH('Unit 1 b'!AC$7,'Rooms Walls and Glass'!$D$1:$AB$1,0))=0,"",INDEX('Rooms Walls and Glass'!$D$8:$AB$19, MATCH($D19,'Rooms Walls and Glass'!$A$8:$A$19,0), MATCH('Unit 1 b'!AC$7,'Rooms Walls and Glass'!$D$1:$AB$1,0))))</f>
        <v/>
      </c>
      <c r="AD19" s="65" t="str">
        <f t="shared" si="24"/>
        <v>-</v>
      </c>
      <c r="AE19" s="66" t="str">
        <f>IF(AE$7="","",IF(INDEX('Rooms Walls and Glass'!$D$8:$AB$19, MATCH($D19,'Rooms Walls and Glass'!$A$8:$A$19,0), MATCH('Unit 1 b'!AE$7,'Rooms Walls and Glass'!$D$1:$AB$1,0))=0,"",INDEX('Rooms Walls and Glass'!$D$8:$AB$19, MATCH($D19,'Rooms Walls and Glass'!$A$8:$A$19,0), MATCH('Unit 1 b'!AE$7,'Rooms Walls and Glass'!$D$1:$AB$1,0))))</f>
        <v/>
      </c>
      <c r="AF19" s="65" t="str">
        <f t="shared" si="24"/>
        <v>-</v>
      </c>
      <c r="AG19" s="66" t="str">
        <f>IF(AG$7="","",IF(INDEX('Rooms Walls and Glass'!$D$8:$AB$19, MATCH($D19,'Rooms Walls and Glass'!$A$8:$A$19,0), MATCH('Unit 1 b'!AG$7,'Rooms Walls and Glass'!$D$1:$AB$1,0))=0,"",INDEX('Rooms Walls and Glass'!$D$8:$AB$19, MATCH($D19,'Rooms Walls and Glass'!$A$8:$A$19,0), MATCH('Unit 1 b'!AG$7,'Rooms Walls and Glass'!$D$1:$AB$1,0))))</f>
        <v/>
      </c>
      <c r="AH19" s="65" t="str">
        <f t="shared" si="25"/>
        <v>-</v>
      </c>
      <c r="AI19" s="66" t="str">
        <f>IF(AI$7="","",IF(INDEX('Rooms Walls and Glass'!$D$8:$AB$19, MATCH($D19,'Rooms Walls and Glass'!$A$8:$A$19,0), MATCH('Unit 1 b'!AI$7,'Rooms Walls and Glass'!$D$1:$AB$1,0))=0,"",INDEX('Rooms Walls and Glass'!$D$8:$AB$19, MATCH($D19,'Rooms Walls and Glass'!$A$8:$A$19,0), MATCH('Unit 1 b'!AI$7,'Rooms Walls and Glass'!$D$1:$AB$1,0))))</f>
        <v/>
      </c>
      <c r="AJ19" s="67" t="str">
        <f t="shared" si="26"/>
        <v>-</v>
      </c>
      <c r="AK19" s="66" t="str">
        <f>IF(AK$7="","",IF(INDEX('Rooms Walls and Glass'!$D$8:$AB$19, MATCH($D19,'Rooms Walls and Glass'!$A$8:$A$19,0), MATCH('Unit 1 b'!AK$7,'Rooms Walls and Glass'!$D$1:$AB$1,0))=0,"",INDEX('Rooms Walls and Glass'!$D$8:$AB$19, MATCH($D19,'Rooms Walls and Glass'!$A$8:$A$19,0), MATCH('Unit 1 b'!AK$7,'Rooms Walls and Glass'!$D$1:$AB$1,0))))</f>
        <v/>
      </c>
      <c r="AL19" s="65" t="str">
        <f t="shared" si="27"/>
        <v>-</v>
      </c>
      <c r="AM19" s="66" t="str">
        <f>IF(AM$7="","",IF(INDEX('Rooms Walls and Glass'!$D$8:$AB$19, MATCH($D19,'Rooms Walls and Glass'!$A$8:$A$19,0), MATCH('Unit 1 b'!AM$7,'Rooms Walls and Glass'!$D$1:$AB$1,0))=0,"",INDEX('Rooms Walls and Glass'!$D$8:$AB$19, MATCH($D19,'Rooms Walls and Glass'!$A$8:$A$19,0), MATCH('Unit 1 b'!AM$7,'Rooms Walls and Glass'!$D$1:$AB$1,0))))</f>
        <v/>
      </c>
      <c r="AN19" s="67" t="str">
        <f t="shared" si="28"/>
        <v>-</v>
      </c>
    </row>
    <row r="20" spans="2:40" ht="11.25" customHeight="1" thickBot="1" x14ac:dyDescent="0.2">
      <c r="B20" s="213"/>
      <c r="C20" s="17" t="s">
        <v>34</v>
      </c>
      <c r="D20" s="18" t="s">
        <v>238</v>
      </c>
      <c r="E20" s="13">
        <f>INDEX('Glass CLF Calculation'!$A$17:$G$18,MATCH('Unit 1 b'!C20,'Glass CLF Calculation'!$A$17:$A$18,0),7)</f>
        <v>30</v>
      </c>
      <c r="F20" s="14">
        <f>INDEX(Summary!$F$19:$F$30,MATCH('Unit 1 b'!C20,Summary!$D$19:$D$30,0))</f>
        <v>0.5</v>
      </c>
      <c r="G20" s="14">
        <f t="shared" ref="G20:G46" si="29">F20*E20</f>
        <v>15</v>
      </c>
      <c r="H20" s="18" t="s">
        <v>6</v>
      </c>
      <c r="I20" s="65">
        <f t="shared" si="13"/>
        <v>17.8</v>
      </c>
      <c r="J20" s="70">
        <f t="shared" si="14"/>
        <v>267</v>
      </c>
      <c r="K20" s="66">
        <f>IF(K$7="","",IF(INDEX('Rooms Walls and Glass'!$D$8:$AB$19, MATCH($D20,'Rooms Walls and Glass'!$A$8:$A$19,0), MATCH('Unit 1 b'!K$7,'Rooms Walls and Glass'!$D$1:$AB$1,0))=0,"",INDEX('Rooms Walls and Glass'!$D$8:$AB$19, MATCH($D20,'Rooms Walls and Glass'!$A$8:$A$19,0), MATCH('Unit 1 b'!K$7,'Rooms Walls and Glass'!$D$1:$AB$1,0))))</f>
        <v>17.8</v>
      </c>
      <c r="L20" s="70">
        <f t="shared" si="15"/>
        <v>267</v>
      </c>
      <c r="M20" s="66" t="str">
        <f>IF(M$7="","",IF(INDEX('Rooms Walls and Glass'!$D$8:$AB$19, MATCH($D20,'Rooms Walls and Glass'!$A$8:$A$19,0), MATCH('Unit 1 b'!M$7,'Rooms Walls and Glass'!$D$1:$AB$1,0))=0,"",INDEX('Rooms Walls and Glass'!$D$8:$AB$19, MATCH($D20,'Rooms Walls and Glass'!$A$8:$A$19,0), MATCH('Unit 1 b'!M$7,'Rooms Walls and Glass'!$D$1:$AB$1,0))))</f>
        <v/>
      </c>
      <c r="N20" s="70" t="str">
        <f t="shared" si="16"/>
        <v>-</v>
      </c>
      <c r="O20" s="66" t="str">
        <f>IF(O$7="","",IF(INDEX('Rooms Walls and Glass'!$D$8:$AB$19, MATCH($D20,'Rooms Walls and Glass'!$A$8:$A$19,0), MATCH('Unit 1 b'!O$7,'Rooms Walls and Glass'!$D$1:$AB$1,0))=0,"",INDEX('Rooms Walls and Glass'!$D$8:$AB$19, MATCH($D20,'Rooms Walls and Glass'!$A$8:$A$19,0), MATCH('Unit 1 b'!O$7,'Rooms Walls and Glass'!$D$1:$AB$1,0))))</f>
        <v/>
      </c>
      <c r="P20" s="70" t="str">
        <f t="shared" si="17"/>
        <v>-</v>
      </c>
      <c r="Q20" s="66" t="str">
        <f>IF(Q$7="","",IF(INDEX('Rooms Walls and Glass'!$D$8:$AB$19, MATCH($D20,'Rooms Walls and Glass'!$A$8:$A$19,0), MATCH('Unit 1 b'!Q$7,'Rooms Walls and Glass'!$D$1:$AB$1,0))=0,"",INDEX('Rooms Walls and Glass'!$D$8:$AB$19, MATCH($D20,'Rooms Walls and Glass'!$A$8:$A$19,0), MATCH('Unit 1 b'!Q$7,'Rooms Walls and Glass'!$D$1:$AB$1,0))))</f>
        <v/>
      </c>
      <c r="R20" s="70" t="str">
        <f t="shared" si="18"/>
        <v>-</v>
      </c>
      <c r="S20" s="66" t="str">
        <f>IF(S$7="","",IF(INDEX('Rooms Walls and Glass'!$D$8:$AB$19, MATCH($D20,'Rooms Walls and Glass'!$A$8:$A$19,0), MATCH('Unit 1 b'!S$7,'Rooms Walls and Glass'!$D$1:$AB$1,0))=0,"",INDEX('Rooms Walls and Glass'!$D$8:$AB$19, MATCH($D20,'Rooms Walls and Glass'!$A$8:$A$19,0), MATCH('Unit 1 b'!S$7,'Rooms Walls and Glass'!$D$1:$AB$1,0))))</f>
        <v/>
      </c>
      <c r="T20" s="70" t="str">
        <f t="shared" si="19"/>
        <v>-</v>
      </c>
      <c r="U20" s="66" t="str">
        <f>IF(U$7="","",IF(INDEX('Rooms Walls and Glass'!$D$8:$AB$19, MATCH($D20,'Rooms Walls and Glass'!$A$8:$A$19,0), MATCH('Unit 1 b'!U$7,'Rooms Walls and Glass'!$D$1:$AB$1,0))=0,"",INDEX('Rooms Walls and Glass'!$D$8:$AB$19, MATCH($D20,'Rooms Walls and Glass'!$A$8:$A$19,0), MATCH('Unit 1 b'!U$7,'Rooms Walls and Glass'!$D$1:$AB$1,0))))</f>
        <v/>
      </c>
      <c r="V20" s="70" t="str">
        <f t="shared" si="20"/>
        <v>-</v>
      </c>
      <c r="W20" s="66" t="str">
        <f>IF(W$7="","",IF(INDEX('Rooms Walls and Glass'!$D$8:$AB$19, MATCH($D20,'Rooms Walls and Glass'!$A$8:$A$19,0), MATCH('Unit 1 b'!W$7,'Rooms Walls and Glass'!$D$1:$AB$1,0))=0,"",INDEX('Rooms Walls and Glass'!$D$8:$AB$19, MATCH($D20,'Rooms Walls and Glass'!$A$8:$A$19,0), MATCH('Unit 1 b'!W$7,'Rooms Walls and Glass'!$D$1:$AB$1,0))))</f>
        <v/>
      </c>
      <c r="X20" s="70" t="str">
        <f t="shared" si="21"/>
        <v>-</v>
      </c>
      <c r="Y20" s="66" t="str">
        <f>IF(Y$7="","",IF(INDEX('Rooms Walls and Glass'!$D$8:$AB$19, MATCH($D20,'Rooms Walls and Glass'!$A$8:$A$19,0), MATCH('Unit 1 b'!Y$7,'Rooms Walls and Glass'!$D$1:$AB$1,0))=0,"",INDEX('Rooms Walls and Glass'!$D$8:$AB$19, MATCH($D20,'Rooms Walls and Glass'!$A$8:$A$19,0), MATCH('Unit 1 b'!Y$7,'Rooms Walls and Glass'!$D$1:$AB$1,0))))</f>
        <v/>
      </c>
      <c r="Z20" s="70" t="str">
        <f t="shared" si="22"/>
        <v>-</v>
      </c>
      <c r="AA20" s="66" t="str">
        <f>IF(AA$7="","",IF(INDEX('Rooms Walls and Glass'!$D$8:$AB$19, MATCH($D20,'Rooms Walls and Glass'!$A$8:$A$19,0), MATCH('Unit 1 b'!AA$7,'Rooms Walls and Glass'!$D$1:$AB$1,0))=0,"",INDEX('Rooms Walls and Glass'!$D$8:$AB$19, MATCH($D20,'Rooms Walls and Glass'!$A$8:$A$19,0), MATCH('Unit 1 b'!AA$7,'Rooms Walls and Glass'!$D$1:$AB$1,0))))</f>
        <v/>
      </c>
      <c r="AB20" s="70" t="str">
        <f t="shared" si="23"/>
        <v>-</v>
      </c>
      <c r="AC20" s="66" t="str">
        <f>IF(AC$7="","",IF(INDEX('Rooms Walls and Glass'!$D$8:$AB$19, MATCH($D20,'Rooms Walls and Glass'!$A$8:$A$19,0), MATCH('Unit 1 b'!AC$7,'Rooms Walls and Glass'!$D$1:$AB$1,0))=0,"",INDEX('Rooms Walls and Glass'!$D$8:$AB$19, MATCH($D20,'Rooms Walls and Glass'!$A$8:$A$19,0), MATCH('Unit 1 b'!AC$7,'Rooms Walls and Glass'!$D$1:$AB$1,0))))</f>
        <v/>
      </c>
      <c r="AD20" s="70" t="str">
        <f t="shared" si="24"/>
        <v>-</v>
      </c>
      <c r="AE20" s="66" t="str">
        <f>IF(AE$7="","",IF(INDEX('Rooms Walls and Glass'!$D$8:$AB$19, MATCH($D20,'Rooms Walls and Glass'!$A$8:$A$19,0), MATCH('Unit 1 b'!AE$7,'Rooms Walls and Glass'!$D$1:$AB$1,0))=0,"",INDEX('Rooms Walls and Glass'!$D$8:$AB$19, MATCH($D20,'Rooms Walls and Glass'!$A$8:$A$19,0), MATCH('Unit 1 b'!AE$7,'Rooms Walls and Glass'!$D$1:$AB$1,0))))</f>
        <v/>
      </c>
      <c r="AF20" s="70" t="str">
        <f t="shared" si="24"/>
        <v>-</v>
      </c>
      <c r="AG20" s="66" t="str">
        <f>IF(AG$7="","",IF(INDEX('Rooms Walls and Glass'!$D$8:$AB$19, MATCH($D20,'Rooms Walls and Glass'!$A$8:$A$19,0), MATCH('Unit 1 b'!AG$7,'Rooms Walls and Glass'!$D$1:$AB$1,0))=0,"",INDEX('Rooms Walls and Glass'!$D$8:$AB$19, MATCH($D20,'Rooms Walls and Glass'!$A$8:$A$19,0), MATCH('Unit 1 b'!AG$7,'Rooms Walls and Glass'!$D$1:$AB$1,0))))</f>
        <v/>
      </c>
      <c r="AH20" s="70" t="str">
        <f t="shared" si="25"/>
        <v>-</v>
      </c>
      <c r="AI20" s="66" t="str">
        <f>IF(AI$7="","",IF(INDEX('Rooms Walls and Glass'!$D$8:$AB$19, MATCH($D20,'Rooms Walls and Glass'!$A$8:$A$19,0), MATCH('Unit 1 b'!AI$7,'Rooms Walls and Glass'!$D$1:$AB$1,0))=0,"",INDEX('Rooms Walls and Glass'!$D$8:$AB$19, MATCH($D20,'Rooms Walls and Glass'!$A$8:$A$19,0), MATCH('Unit 1 b'!AI$7,'Rooms Walls and Glass'!$D$1:$AB$1,0))))</f>
        <v/>
      </c>
      <c r="AJ20" s="71" t="str">
        <f t="shared" si="26"/>
        <v>-</v>
      </c>
      <c r="AK20" s="66" t="str">
        <f>IF(AK$7="","",IF(INDEX('Rooms Walls and Glass'!$D$8:$AB$19, MATCH($D20,'Rooms Walls and Glass'!$A$8:$A$19,0), MATCH('Unit 1 b'!AK$7,'Rooms Walls and Glass'!$D$1:$AB$1,0))=0,"",INDEX('Rooms Walls and Glass'!$D$8:$AB$19, MATCH($D20,'Rooms Walls and Glass'!$A$8:$A$19,0), MATCH('Unit 1 b'!AK$7,'Rooms Walls and Glass'!$D$1:$AB$1,0))))</f>
        <v/>
      </c>
      <c r="AL20" s="70" t="str">
        <f t="shared" si="27"/>
        <v>-</v>
      </c>
      <c r="AM20" s="66" t="str">
        <f>IF(AM$7="","",IF(INDEX('Rooms Walls and Glass'!$D$8:$AB$19, MATCH($D20,'Rooms Walls and Glass'!$A$8:$A$19,0), MATCH('Unit 1 b'!AM$7,'Rooms Walls and Glass'!$D$1:$AB$1,0))=0,"",INDEX('Rooms Walls and Glass'!$D$8:$AB$19, MATCH($D20,'Rooms Walls and Glass'!$A$8:$A$19,0), MATCH('Unit 1 b'!AM$7,'Rooms Walls and Glass'!$D$1:$AB$1,0))))</f>
        <v/>
      </c>
      <c r="AN20" s="71" t="str">
        <f t="shared" si="28"/>
        <v>-</v>
      </c>
    </row>
    <row r="21" spans="2:40" ht="11.25" customHeight="1" thickBot="1" x14ac:dyDescent="0.2">
      <c r="B21" s="212" t="s">
        <v>79</v>
      </c>
      <c r="C21" s="12" t="s">
        <v>38</v>
      </c>
      <c r="D21" s="13" t="str">
        <f>'Rooms Walls and Glass'!A23</f>
        <v>NorthWest</v>
      </c>
      <c r="E21" s="13">
        <f>INDEX('Glass CLF Calculation'!$A$20:$G$27,MATCH('Unit 1 b'!D21,'Glass CLF Calculation'!$A$20:$A$27,0),7)</f>
        <v>19</v>
      </c>
      <c r="F21" s="14">
        <f>INDEX(Summary!$F$19:$F$30,MATCH('Unit 1 b'!C21,Summary!$D$19:$D$30,0))</f>
        <v>7.6999999999999999E-2</v>
      </c>
      <c r="G21" s="14">
        <f t="shared" si="29"/>
        <v>1.4630000000000001</v>
      </c>
      <c r="H21" s="13" t="s">
        <v>6</v>
      </c>
      <c r="I21" s="65">
        <f t="shared" si="13"/>
        <v>379</v>
      </c>
      <c r="J21" s="65">
        <f t="shared" si="14"/>
        <v>554.47699999999998</v>
      </c>
      <c r="K21" s="66">
        <f>IF(K$7="","",IF(INDEX('Rooms Walls and Glass'!$D$23:$AB$30, MATCH($D21,'Rooms Walls and Glass'!$A$23:$A$30,0), MATCH('Unit 1 b'!K$7,'Rooms Walls and Glass'!$D$1:$AB$1,0))=0,"",INDEX('Rooms Walls and Glass'!$D$23:$AB$30, MATCH($D21,'Rooms Walls and Glass'!$A$23:$A$30,0), MATCH('Unit 1 b'!K$7,'Rooms Walls and Glass'!$D$1:$AB$1,0))))</f>
        <v>99</v>
      </c>
      <c r="L21" s="65">
        <f t="shared" si="15"/>
        <v>144.83700000000002</v>
      </c>
      <c r="M21" s="66">
        <f>IF(M$7="","",IF(INDEX('Rooms Walls and Glass'!$D$23:$AB$30, MATCH($D21,'Rooms Walls and Glass'!$A$23:$A$30,0), MATCH('Unit 1 b'!M$7,'Rooms Walls and Glass'!$D$1:$AB$1,0))=0,"",INDEX('Rooms Walls and Glass'!$D$23:$AB$30, MATCH($D21,'Rooms Walls and Glass'!$A$23:$A$30,0), MATCH('Unit 1 b'!M$7,'Rooms Walls and Glass'!$D$1:$AB$1,0))))</f>
        <v>94</v>
      </c>
      <c r="N21" s="65">
        <f t="shared" si="16"/>
        <v>137.52200000000002</v>
      </c>
      <c r="O21" s="66" t="str">
        <f>IF(O$7="","",IF(INDEX('Rooms Walls and Glass'!$D$23:$AB$30, MATCH($D21,'Rooms Walls and Glass'!$A$23:$A$30,0), MATCH('Unit 1 b'!O$7,'Rooms Walls and Glass'!$D$1:$AB$1,0))=0,"",INDEX('Rooms Walls and Glass'!$D$23:$AB$30, MATCH($D21,'Rooms Walls and Glass'!$A$23:$A$30,0), MATCH('Unit 1 b'!O$7,'Rooms Walls and Glass'!$D$1:$AB$1,0))))</f>
        <v/>
      </c>
      <c r="P21" s="65" t="str">
        <f t="shared" si="17"/>
        <v>-</v>
      </c>
      <c r="Q21" s="66" t="str">
        <f>IF(Q$7="","",IF(INDEX('Rooms Walls and Glass'!$D$23:$AB$30, MATCH($D21,'Rooms Walls and Glass'!$A$23:$A$30,0), MATCH('Unit 1 b'!Q$7,'Rooms Walls and Glass'!$D$1:$AB$1,0))=0,"",INDEX('Rooms Walls and Glass'!$D$23:$AB$30, MATCH($D21,'Rooms Walls and Glass'!$A$23:$A$30,0), MATCH('Unit 1 b'!Q$7,'Rooms Walls and Glass'!$D$1:$AB$1,0))))</f>
        <v/>
      </c>
      <c r="R21" s="65" t="str">
        <f t="shared" si="18"/>
        <v>-</v>
      </c>
      <c r="S21" s="66" t="str">
        <f>IF(S$7="","",IF(INDEX('Rooms Walls and Glass'!$D$23:$AB$30, MATCH($D21,'Rooms Walls and Glass'!$A$23:$A$30,0), MATCH('Unit 1 b'!S$7,'Rooms Walls and Glass'!$D$1:$AB$1,0))=0,"",INDEX('Rooms Walls and Glass'!$D$23:$AB$30, MATCH($D21,'Rooms Walls and Glass'!$A$23:$A$30,0), MATCH('Unit 1 b'!S$7,'Rooms Walls and Glass'!$D$1:$AB$1,0))))</f>
        <v/>
      </c>
      <c r="T21" s="65" t="str">
        <f t="shared" si="19"/>
        <v>-</v>
      </c>
      <c r="U21" s="66">
        <f>IF(U$7="","",IF(INDEX('Rooms Walls and Glass'!$D$23:$AB$30, MATCH($D21,'Rooms Walls and Glass'!$A$23:$A$30,0), MATCH('Unit 1 b'!U$7,'Rooms Walls and Glass'!$D$1:$AB$1,0))=0,"",INDEX('Rooms Walls and Glass'!$D$23:$AB$30, MATCH($D21,'Rooms Walls and Glass'!$A$23:$A$30,0), MATCH('Unit 1 b'!U$7,'Rooms Walls and Glass'!$D$1:$AB$1,0))))</f>
        <v>138</v>
      </c>
      <c r="V21" s="65">
        <f t="shared" si="20"/>
        <v>201.89400000000001</v>
      </c>
      <c r="W21" s="66">
        <f>IF(W$7="","",IF(INDEX('Rooms Walls and Glass'!$D$23:$AB$30, MATCH($D21,'Rooms Walls and Glass'!$A$23:$A$30,0), MATCH('Unit 1 b'!W$7,'Rooms Walls and Glass'!$D$1:$AB$1,0))=0,"",INDEX('Rooms Walls and Glass'!$D$23:$AB$30, MATCH($D21,'Rooms Walls and Glass'!$A$23:$A$30,0), MATCH('Unit 1 b'!W$7,'Rooms Walls and Glass'!$D$1:$AB$1,0))))</f>
        <v>48</v>
      </c>
      <c r="X21" s="65">
        <f t="shared" si="21"/>
        <v>70.224000000000004</v>
      </c>
      <c r="Y21" s="66" t="str">
        <f>IF(Y$7="","",IF(INDEX('Rooms Walls and Glass'!$D$23:$AB$30, MATCH($D21,'Rooms Walls and Glass'!$A$23:$A$30,0), MATCH('Unit 1 b'!Y$7,'Rooms Walls and Glass'!$D$1:$AB$1,0))=0,"",INDEX('Rooms Walls and Glass'!$D$23:$AB$30, MATCH($D21,'Rooms Walls and Glass'!$A$23:$A$30,0), MATCH('Unit 1 b'!Y$7,'Rooms Walls and Glass'!$D$1:$AB$1,0))))</f>
        <v/>
      </c>
      <c r="Z21" s="65" t="str">
        <f t="shared" si="22"/>
        <v>-</v>
      </c>
      <c r="AA21" s="66" t="str">
        <f>IF(AA$7="","",IF(INDEX('Rooms Walls and Glass'!$D$23:$AB$30, MATCH($D21,'Rooms Walls and Glass'!$A$23:$A$30,0), MATCH('Unit 1 b'!AA$7,'Rooms Walls and Glass'!$D$1:$AB$1,0))=0,"",INDEX('Rooms Walls and Glass'!$D$23:$AB$30, MATCH($D21,'Rooms Walls and Glass'!$A$23:$A$30,0), MATCH('Unit 1 b'!AA$7,'Rooms Walls and Glass'!$D$1:$AB$1,0))))</f>
        <v/>
      </c>
      <c r="AB21" s="65" t="str">
        <f t="shared" si="23"/>
        <v>-</v>
      </c>
      <c r="AC21" s="66" t="str">
        <f>IF(AC$7="","",IF(INDEX('Rooms Walls and Glass'!$D$23:$AB$30, MATCH($D21,'Rooms Walls and Glass'!$A$23:$A$30,0), MATCH('Unit 1 b'!AC$7,'Rooms Walls and Glass'!$D$1:$AB$1,0))=0,"",INDEX('Rooms Walls and Glass'!$D$23:$AB$30, MATCH($D21,'Rooms Walls and Glass'!$A$23:$A$30,0), MATCH('Unit 1 b'!AC$7,'Rooms Walls and Glass'!$D$1:$AB$1,0))))</f>
        <v/>
      </c>
      <c r="AD21" s="65" t="str">
        <f t="shared" si="24"/>
        <v>-</v>
      </c>
      <c r="AE21" s="66" t="str">
        <f>IF(AE$7="","",IF(INDEX('Rooms Walls and Glass'!$D$23:$AB$30, MATCH($D21,'Rooms Walls and Glass'!$A$23:$A$30,0), MATCH('Unit 1 b'!AE$7,'Rooms Walls and Glass'!$D$1:$AB$1,0))=0,"",INDEX('Rooms Walls and Glass'!$D$23:$AB$30, MATCH($D21,'Rooms Walls and Glass'!$A$23:$A$30,0), MATCH('Unit 1 b'!AE$7,'Rooms Walls and Glass'!$D$1:$AB$1,0))))</f>
        <v/>
      </c>
      <c r="AF21" s="65" t="str">
        <f t="shared" si="24"/>
        <v>-</v>
      </c>
      <c r="AG21" s="66" t="str">
        <f>IF(AG$7="","",IF(INDEX('Rooms Walls and Glass'!$D$23:$AB$30, MATCH($D21,'Rooms Walls and Glass'!$A$23:$A$30,0), MATCH('Unit 1 b'!AG$7,'Rooms Walls and Glass'!$D$1:$AB$1,0))=0,"",INDEX('Rooms Walls and Glass'!$D$23:$AB$30, MATCH($D21,'Rooms Walls and Glass'!$A$23:$A$30,0), MATCH('Unit 1 b'!AG$7,'Rooms Walls and Glass'!$D$1:$AB$1,0))))</f>
        <v/>
      </c>
      <c r="AH21" s="65" t="str">
        <f t="shared" si="25"/>
        <v>-</v>
      </c>
      <c r="AI21" s="66" t="str">
        <f>IF(AI$7="","",IF(INDEX('Rooms Walls and Glass'!$D$23:$AB$30, MATCH($D21,'Rooms Walls and Glass'!$A$23:$A$30,0), MATCH('Unit 1 b'!AI$7,'Rooms Walls and Glass'!$D$1:$AB$1,0))=0,"",INDEX('Rooms Walls and Glass'!$D$23:$AB$30, MATCH($D21,'Rooms Walls and Glass'!$A$23:$A$30,0), MATCH('Unit 1 b'!AI$7,'Rooms Walls and Glass'!$D$1:$AB$1,0))))</f>
        <v/>
      </c>
      <c r="AJ21" s="67" t="str">
        <f t="shared" si="26"/>
        <v>-</v>
      </c>
      <c r="AK21" s="66" t="str">
        <f>IF(AK$7="","",IF(INDEX('Rooms Walls and Glass'!$D$23:$AB$30, MATCH($D21,'Rooms Walls and Glass'!$A$23:$A$30,0), MATCH('Unit 1 b'!AK$7,'Rooms Walls and Glass'!$D$1:$AB$1,0))=0,"",INDEX('Rooms Walls and Glass'!$D$23:$AB$30, MATCH($D21,'Rooms Walls and Glass'!$A$23:$A$30,0), MATCH('Unit 1 b'!AK$7,'Rooms Walls and Glass'!$D$1:$AB$1,0))))</f>
        <v/>
      </c>
      <c r="AL21" s="65" t="str">
        <f t="shared" si="27"/>
        <v>-</v>
      </c>
      <c r="AM21" s="66" t="str">
        <f>IF(AM$7="","",IF(INDEX('Rooms Walls and Glass'!$D$23:$AB$30, MATCH($D21,'Rooms Walls and Glass'!$A$23:$A$30,0), MATCH('Unit 1 b'!AM$7,'Rooms Walls and Glass'!$D$1:$AB$1,0))=0,"",INDEX('Rooms Walls and Glass'!$D$23:$AB$30, MATCH($D21,'Rooms Walls and Glass'!$A$23:$A$30,0), MATCH('Unit 1 b'!AM$7,'Rooms Walls and Glass'!$D$1:$AB$1,0))))</f>
        <v/>
      </c>
      <c r="AN21" s="67" t="str">
        <f t="shared" si="28"/>
        <v>-</v>
      </c>
    </row>
    <row r="22" spans="2:40" ht="11.25" customHeight="1" thickBot="1" x14ac:dyDescent="0.2">
      <c r="B22" s="214"/>
      <c r="C22" s="15" t="s">
        <v>38</v>
      </c>
      <c r="D22" s="13" t="str">
        <f>'Rooms Walls and Glass'!A24</f>
        <v>North</v>
      </c>
      <c r="E22" s="13">
        <f>INDEX('Glass CLF Calculation'!$A$20:$G$27,MATCH('Unit 1 b'!D22,'Glass CLF Calculation'!$A$20:$A$27,0),7)</f>
        <v>13</v>
      </c>
      <c r="F22" s="14">
        <f>INDEX(Summary!$F$19:$F$30,MATCH('Unit 1 b'!C22,Summary!$D$19:$D$30,0))</f>
        <v>7.6999999999999999E-2</v>
      </c>
      <c r="G22" s="14">
        <f t="shared" si="29"/>
        <v>1.0009999999999999</v>
      </c>
      <c r="H22" s="16" t="s">
        <v>6</v>
      </c>
      <c r="I22" s="65">
        <f t="shared" si="13"/>
        <v>0</v>
      </c>
      <c r="J22" s="68">
        <f t="shared" si="14"/>
        <v>0</v>
      </c>
      <c r="K22" s="66" t="str">
        <f>IF(K$7="","",IF(INDEX('Rooms Walls and Glass'!$D$23:$AB$30, MATCH($D22,'Rooms Walls and Glass'!$A$23:$A$30,0), MATCH('Unit 1 b'!K$7,'Rooms Walls and Glass'!$D$1:$AB$1,0))=0,"",INDEX('Rooms Walls and Glass'!$D$23:$AB$30, MATCH($D22,'Rooms Walls and Glass'!$A$23:$A$30,0), MATCH('Unit 1 b'!K$7,'Rooms Walls and Glass'!$D$1:$AB$1,0))))</f>
        <v/>
      </c>
      <c r="L22" s="68" t="str">
        <f t="shared" si="15"/>
        <v>-</v>
      </c>
      <c r="M22" s="66" t="str">
        <f>IF(M$7="","",IF(INDEX('Rooms Walls and Glass'!$D$23:$AB$30, MATCH($D22,'Rooms Walls and Glass'!$A$23:$A$30,0), MATCH('Unit 1 b'!M$7,'Rooms Walls and Glass'!$D$1:$AB$1,0))=0,"",INDEX('Rooms Walls and Glass'!$D$23:$AB$30, MATCH($D22,'Rooms Walls and Glass'!$A$23:$A$30,0), MATCH('Unit 1 b'!M$7,'Rooms Walls and Glass'!$D$1:$AB$1,0))))</f>
        <v/>
      </c>
      <c r="N22" s="68" t="str">
        <f t="shared" si="16"/>
        <v>-</v>
      </c>
      <c r="O22" s="66" t="str">
        <f>IF(O$7="","",IF(INDEX('Rooms Walls and Glass'!$D$23:$AB$30, MATCH($D22,'Rooms Walls and Glass'!$A$23:$A$30,0), MATCH('Unit 1 b'!O$7,'Rooms Walls and Glass'!$D$1:$AB$1,0))=0,"",INDEX('Rooms Walls and Glass'!$D$23:$AB$30, MATCH($D22,'Rooms Walls and Glass'!$A$23:$A$30,0), MATCH('Unit 1 b'!O$7,'Rooms Walls and Glass'!$D$1:$AB$1,0))))</f>
        <v/>
      </c>
      <c r="P22" s="68" t="str">
        <f t="shared" si="17"/>
        <v>-</v>
      </c>
      <c r="Q22" s="66" t="str">
        <f>IF(Q$7="","",IF(INDEX('Rooms Walls and Glass'!$D$23:$AB$30, MATCH($D22,'Rooms Walls and Glass'!$A$23:$A$30,0), MATCH('Unit 1 b'!Q$7,'Rooms Walls and Glass'!$D$1:$AB$1,0))=0,"",INDEX('Rooms Walls and Glass'!$D$23:$AB$30, MATCH($D22,'Rooms Walls and Glass'!$A$23:$A$30,0), MATCH('Unit 1 b'!Q$7,'Rooms Walls and Glass'!$D$1:$AB$1,0))))</f>
        <v/>
      </c>
      <c r="R22" s="68" t="str">
        <f t="shared" si="18"/>
        <v>-</v>
      </c>
      <c r="S22" s="66" t="str">
        <f>IF(S$7="","",IF(INDEX('Rooms Walls and Glass'!$D$23:$AB$30, MATCH($D22,'Rooms Walls and Glass'!$A$23:$A$30,0), MATCH('Unit 1 b'!S$7,'Rooms Walls and Glass'!$D$1:$AB$1,0))=0,"",INDEX('Rooms Walls and Glass'!$D$23:$AB$30, MATCH($D22,'Rooms Walls and Glass'!$A$23:$A$30,0), MATCH('Unit 1 b'!S$7,'Rooms Walls and Glass'!$D$1:$AB$1,0))))</f>
        <v/>
      </c>
      <c r="T22" s="68" t="str">
        <f t="shared" si="19"/>
        <v>-</v>
      </c>
      <c r="U22" s="66" t="str">
        <f>IF(U$7="","",IF(INDEX('Rooms Walls and Glass'!$D$23:$AB$30, MATCH($D22,'Rooms Walls and Glass'!$A$23:$A$30,0), MATCH('Unit 1 b'!U$7,'Rooms Walls and Glass'!$D$1:$AB$1,0))=0,"",INDEX('Rooms Walls and Glass'!$D$23:$AB$30, MATCH($D22,'Rooms Walls and Glass'!$A$23:$A$30,0), MATCH('Unit 1 b'!U$7,'Rooms Walls and Glass'!$D$1:$AB$1,0))))</f>
        <v/>
      </c>
      <c r="V22" s="68" t="str">
        <f t="shared" si="20"/>
        <v>-</v>
      </c>
      <c r="W22" s="66" t="str">
        <f>IF(W$7="","",IF(INDEX('Rooms Walls and Glass'!$D$23:$AB$30, MATCH($D22,'Rooms Walls and Glass'!$A$23:$A$30,0), MATCH('Unit 1 b'!W$7,'Rooms Walls and Glass'!$D$1:$AB$1,0))=0,"",INDEX('Rooms Walls and Glass'!$D$23:$AB$30, MATCH($D22,'Rooms Walls and Glass'!$A$23:$A$30,0), MATCH('Unit 1 b'!W$7,'Rooms Walls and Glass'!$D$1:$AB$1,0))))</f>
        <v/>
      </c>
      <c r="X22" s="68" t="str">
        <f t="shared" si="21"/>
        <v>-</v>
      </c>
      <c r="Y22" s="66" t="str">
        <f>IF(Y$7="","",IF(INDEX('Rooms Walls and Glass'!$D$23:$AB$30, MATCH($D22,'Rooms Walls and Glass'!$A$23:$A$30,0), MATCH('Unit 1 b'!Y$7,'Rooms Walls and Glass'!$D$1:$AB$1,0))=0,"",INDEX('Rooms Walls and Glass'!$D$23:$AB$30, MATCH($D22,'Rooms Walls and Glass'!$A$23:$A$30,0), MATCH('Unit 1 b'!Y$7,'Rooms Walls and Glass'!$D$1:$AB$1,0))))</f>
        <v/>
      </c>
      <c r="Z22" s="68" t="str">
        <f t="shared" si="22"/>
        <v>-</v>
      </c>
      <c r="AA22" s="66" t="str">
        <f>IF(AA$7="","",IF(INDEX('Rooms Walls and Glass'!$D$23:$AB$30, MATCH($D22,'Rooms Walls and Glass'!$A$23:$A$30,0), MATCH('Unit 1 b'!AA$7,'Rooms Walls and Glass'!$D$1:$AB$1,0))=0,"",INDEX('Rooms Walls and Glass'!$D$23:$AB$30, MATCH($D22,'Rooms Walls and Glass'!$A$23:$A$30,0), MATCH('Unit 1 b'!AA$7,'Rooms Walls and Glass'!$D$1:$AB$1,0))))</f>
        <v/>
      </c>
      <c r="AB22" s="68" t="str">
        <f t="shared" si="23"/>
        <v>-</v>
      </c>
      <c r="AC22" s="66" t="str">
        <f>IF(AC$7="","",IF(INDEX('Rooms Walls and Glass'!$D$23:$AB$30, MATCH($D22,'Rooms Walls and Glass'!$A$23:$A$30,0), MATCH('Unit 1 b'!AC$7,'Rooms Walls and Glass'!$D$1:$AB$1,0))=0,"",INDEX('Rooms Walls and Glass'!$D$23:$AB$30, MATCH($D22,'Rooms Walls and Glass'!$A$23:$A$30,0), MATCH('Unit 1 b'!AC$7,'Rooms Walls and Glass'!$D$1:$AB$1,0))))</f>
        <v/>
      </c>
      <c r="AD22" s="68" t="str">
        <f t="shared" si="24"/>
        <v>-</v>
      </c>
      <c r="AE22" s="66" t="str">
        <f>IF(AE$7="","",IF(INDEX('Rooms Walls and Glass'!$D$23:$AB$30, MATCH($D22,'Rooms Walls and Glass'!$A$23:$A$30,0), MATCH('Unit 1 b'!AE$7,'Rooms Walls and Glass'!$D$1:$AB$1,0))=0,"",INDEX('Rooms Walls and Glass'!$D$23:$AB$30, MATCH($D22,'Rooms Walls and Glass'!$A$23:$A$30,0), MATCH('Unit 1 b'!AE$7,'Rooms Walls and Glass'!$D$1:$AB$1,0))))</f>
        <v/>
      </c>
      <c r="AF22" s="68" t="str">
        <f t="shared" si="24"/>
        <v>-</v>
      </c>
      <c r="AG22" s="66" t="str">
        <f>IF(AG$7="","",IF(INDEX('Rooms Walls and Glass'!$D$23:$AB$30, MATCH($D22,'Rooms Walls and Glass'!$A$23:$A$30,0), MATCH('Unit 1 b'!AG$7,'Rooms Walls and Glass'!$D$1:$AB$1,0))=0,"",INDEX('Rooms Walls and Glass'!$D$23:$AB$30, MATCH($D22,'Rooms Walls and Glass'!$A$23:$A$30,0), MATCH('Unit 1 b'!AG$7,'Rooms Walls and Glass'!$D$1:$AB$1,0))))</f>
        <v/>
      </c>
      <c r="AH22" s="68" t="str">
        <f t="shared" si="25"/>
        <v>-</v>
      </c>
      <c r="AI22" s="66" t="str">
        <f>IF(AI$7="","",IF(INDEX('Rooms Walls and Glass'!$D$23:$AB$30, MATCH($D22,'Rooms Walls and Glass'!$A$23:$A$30,0), MATCH('Unit 1 b'!AI$7,'Rooms Walls and Glass'!$D$1:$AB$1,0))=0,"",INDEX('Rooms Walls and Glass'!$D$23:$AB$30, MATCH($D22,'Rooms Walls and Glass'!$A$23:$A$30,0), MATCH('Unit 1 b'!AI$7,'Rooms Walls and Glass'!$D$1:$AB$1,0))))</f>
        <v/>
      </c>
      <c r="AJ22" s="69" t="str">
        <f t="shared" si="26"/>
        <v>-</v>
      </c>
      <c r="AK22" s="66" t="str">
        <f>IF(AK$7="","",IF(INDEX('Rooms Walls and Glass'!$D$23:$AB$30, MATCH($D22,'Rooms Walls and Glass'!$A$23:$A$30,0), MATCH('Unit 1 b'!AK$7,'Rooms Walls and Glass'!$D$1:$AB$1,0))=0,"",INDEX('Rooms Walls and Glass'!$D$23:$AB$30, MATCH($D22,'Rooms Walls and Glass'!$A$23:$A$30,0), MATCH('Unit 1 b'!AK$7,'Rooms Walls and Glass'!$D$1:$AB$1,0))))</f>
        <v/>
      </c>
      <c r="AL22" s="68" t="str">
        <f t="shared" si="27"/>
        <v>-</v>
      </c>
      <c r="AM22" s="66" t="str">
        <f>IF(AM$7="","",IF(INDEX('Rooms Walls and Glass'!$D$23:$AB$30, MATCH($D22,'Rooms Walls and Glass'!$A$23:$A$30,0), MATCH('Unit 1 b'!AM$7,'Rooms Walls and Glass'!$D$1:$AB$1,0))=0,"",INDEX('Rooms Walls and Glass'!$D$23:$AB$30, MATCH($D22,'Rooms Walls and Glass'!$A$23:$A$30,0), MATCH('Unit 1 b'!AM$7,'Rooms Walls and Glass'!$D$1:$AB$1,0))))</f>
        <v/>
      </c>
      <c r="AN22" s="69" t="str">
        <f t="shared" si="28"/>
        <v>-</v>
      </c>
    </row>
    <row r="23" spans="2:40" ht="11.25" customHeight="1" thickBot="1" x14ac:dyDescent="0.2">
      <c r="B23" s="214"/>
      <c r="C23" s="15" t="s">
        <v>38</v>
      </c>
      <c r="D23" s="13" t="str">
        <f>'Rooms Walls and Glass'!A25</f>
        <v>NorthEast</v>
      </c>
      <c r="E23" s="13">
        <f>INDEX('Glass CLF Calculation'!$A$20:$G$27,MATCH('Unit 1 b'!D23,'Glass CLF Calculation'!$A$20:$A$27,0),7)</f>
        <v>19</v>
      </c>
      <c r="F23" s="14">
        <f>INDEX(Summary!$F$19:$F$30,MATCH('Unit 1 b'!C23,Summary!$D$19:$D$30,0))</f>
        <v>7.6999999999999999E-2</v>
      </c>
      <c r="G23" s="14">
        <f t="shared" si="29"/>
        <v>1.4630000000000001</v>
      </c>
      <c r="H23" s="16" t="s">
        <v>6</v>
      </c>
      <c r="I23" s="65">
        <f t="shared" si="13"/>
        <v>84</v>
      </c>
      <c r="J23" s="68">
        <f t="shared" si="14"/>
        <v>122.89200000000001</v>
      </c>
      <c r="K23" s="66">
        <f>IF(K$7="","",IF(INDEX('Rooms Walls and Glass'!$D$23:$AB$30, MATCH($D23,'Rooms Walls and Glass'!$A$23:$A$30,0), MATCH('Unit 1 b'!K$7,'Rooms Walls and Glass'!$D$1:$AB$1,0))=0,"",INDEX('Rooms Walls and Glass'!$D$23:$AB$30, MATCH($D23,'Rooms Walls and Glass'!$A$23:$A$30,0), MATCH('Unit 1 b'!K$7,'Rooms Walls and Glass'!$D$1:$AB$1,0))))</f>
        <v>84</v>
      </c>
      <c r="L23" s="68">
        <f t="shared" si="15"/>
        <v>122.89200000000001</v>
      </c>
      <c r="M23" s="66" t="str">
        <f>IF(M$7="","",IF(INDEX('Rooms Walls and Glass'!$D$23:$AB$30, MATCH($D23,'Rooms Walls and Glass'!$A$23:$A$30,0), MATCH('Unit 1 b'!M$7,'Rooms Walls and Glass'!$D$1:$AB$1,0))=0,"",INDEX('Rooms Walls and Glass'!$D$23:$AB$30, MATCH($D23,'Rooms Walls and Glass'!$A$23:$A$30,0), MATCH('Unit 1 b'!M$7,'Rooms Walls and Glass'!$D$1:$AB$1,0))))</f>
        <v/>
      </c>
      <c r="N23" s="68" t="str">
        <f t="shared" si="16"/>
        <v>-</v>
      </c>
      <c r="O23" s="66" t="str">
        <f>IF(O$7="","",IF(INDEX('Rooms Walls and Glass'!$D$23:$AB$30, MATCH($D23,'Rooms Walls and Glass'!$A$23:$A$30,0), MATCH('Unit 1 b'!O$7,'Rooms Walls and Glass'!$D$1:$AB$1,0))=0,"",INDEX('Rooms Walls and Glass'!$D$23:$AB$30, MATCH($D23,'Rooms Walls and Glass'!$A$23:$A$30,0), MATCH('Unit 1 b'!O$7,'Rooms Walls and Glass'!$D$1:$AB$1,0))))</f>
        <v/>
      </c>
      <c r="P23" s="68" t="str">
        <f t="shared" si="17"/>
        <v>-</v>
      </c>
      <c r="Q23" s="66" t="str">
        <f>IF(Q$7="","",IF(INDEX('Rooms Walls and Glass'!$D$23:$AB$30, MATCH($D23,'Rooms Walls and Glass'!$A$23:$A$30,0), MATCH('Unit 1 b'!Q$7,'Rooms Walls and Glass'!$D$1:$AB$1,0))=0,"",INDEX('Rooms Walls and Glass'!$D$23:$AB$30, MATCH($D23,'Rooms Walls and Glass'!$A$23:$A$30,0), MATCH('Unit 1 b'!Q$7,'Rooms Walls and Glass'!$D$1:$AB$1,0))))</f>
        <v/>
      </c>
      <c r="R23" s="68" t="str">
        <f t="shared" si="18"/>
        <v>-</v>
      </c>
      <c r="S23" s="66" t="str">
        <f>IF(S$7="","",IF(INDEX('Rooms Walls and Glass'!$D$23:$AB$30, MATCH($D23,'Rooms Walls and Glass'!$A$23:$A$30,0), MATCH('Unit 1 b'!S$7,'Rooms Walls and Glass'!$D$1:$AB$1,0))=0,"",INDEX('Rooms Walls and Glass'!$D$23:$AB$30, MATCH($D23,'Rooms Walls and Glass'!$A$23:$A$30,0), MATCH('Unit 1 b'!S$7,'Rooms Walls and Glass'!$D$1:$AB$1,0))))</f>
        <v/>
      </c>
      <c r="T23" s="68" t="str">
        <f t="shared" si="19"/>
        <v>-</v>
      </c>
      <c r="U23" s="66" t="str">
        <f>IF(U$7="","",IF(INDEX('Rooms Walls and Glass'!$D$23:$AB$30, MATCH($D23,'Rooms Walls and Glass'!$A$23:$A$30,0), MATCH('Unit 1 b'!U$7,'Rooms Walls and Glass'!$D$1:$AB$1,0))=0,"",INDEX('Rooms Walls and Glass'!$D$23:$AB$30, MATCH($D23,'Rooms Walls and Glass'!$A$23:$A$30,0), MATCH('Unit 1 b'!U$7,'Rooms Walls and Glass'!$D$1:$AB$1,0))))</f>
        <v/>
      </c>
      <c r="V23" s="68" t="str">
        <f t="shared" si="20"/>
        <v>-</v>
      </c>
      <c r="W23" s="66" t="str">
        <f>IF(W$7="","",IF(INDEX('Rooms Walls and Glass'!$D$23:$AB$30, MATCH($D23,'Rooms Walls and Glass'!$A$23:$A$30,0), MATCH('Unit 1 b'!W$7,'Rooms Walls and Glass'!$D$1:$AB$1,0))=0,"",INDEX('Rooms Walls and Glass'!$D$23:$AB$30, MATCH($D23,'Rooms Walls and Glass'!$A$23:$A$30,0), MATCH('Unit 1 b'!W$7,'Rooms Walls and Glass'!$D$1:$AB$1,0))))</f>
        <v/>
      </c>
      <c r="X23" s="68" t="str">
        <f t="shared" si="21"/>
        <v>-</v>
      </c>
      <c r="Y23" s="66" t="str">
        <f>IF(Y$7="","",IF(INDEX('Rooms Walls and Glass'!$D$23:$AB$30, MATCH($D23,'Rooms Walls and Glass'!$A$23:$A$30,0), MATCH('Unit 1 b'!Y$7,'Rooms Walls and Glass'!$D$1:$AB$1,0))=0,"",INDEX('Rooms Walls and Glass'!$D$23:$AB$30, MATCH($D23,'Rooms Walls and Glass'!$A$23:$A$30,0), MATCH('Unit 1 b'!Y$7,'Rooms Walls and Glass'!$D$1:$AB$1,0))))</f>
        <v/>
      </c>
      <c r="Z23" s="68" t="str">
        <f t="shared" si="22"/>
        <v>-</v>
      </c>
      <c r="AA23" s="66" t="str">
        <f>IF(AA$7="","",IF(INDEX('Rooms Walls and Glass'!$D$23:$AB$30, MATCH($D23,'Rooms Walls and Glass'!$A$23:$A$30,0), MATCH('Unit 1 b'!AA$7,'Rooms Walls and Glass'!$D$1:$AB$1,0))=0,"",INDEX('Rooms Walls and Glass'!$D$23:$AB$30, MATCH($D23,'Rooms Walls and Glass'!$A$23:$A$30,0), MATCH('Unit 1 b'!AA$7,'Rooms Walls and Glass'!$D$1:$AB$1,0))))</f>
        <v/>
      </c>
      <c r="AB23" s="68" t="str">
        <f t="shared" si="23"/>
        <v>-</v>
      </c>
      <c r="AC23" s="66" t="str">
        <f>IF(AC$7="","",IF(INDEX('Rooms Walls and Glass'!$D$23:$AB$30, MATCH($D23,'Rooms Walls and Glass'!$A$23:$A$30,0), MATCH('Unit 1 b'!AC$7,'Rooms Walls and Glass'!$D$1:$AB$1,0))=0,"",INDEX('Rooms Walls and Glass'!$D$23:$AB$30, MATCH($D23,'Rooms Walls and Glass'!$A$23:$A$30,0), MATCH('Unit 1 b'!AC$7,'Rooms Walls and Glass'!$D$1:$AB$1,0))))</f>
        <v/>
      </c>
      <c r="AD23" s="68" t="str">
        <f t="shared" si="24"/>
        <v>-</v>
      </c>
      <c r="AE23" s="66" t="str">
        <f>IF(AE$7="","",IF(INDEX('Rooms Walls and Glass'!$D$23:$AB$30, MATCH($D23,'Rooms Walls and Glass'!$A$23:$A$30,0), MATCH('Unit 1 b'!AE$7,'Rooms Walls and Glass'!$D$1:$AB$1,0))=0,"",INDEX('Rooms Walls and Glass'!$D$23:$AB$30, MATCH($D23,'Rooms Walls and Glass'!$A$23:$A$30,0), MATCH('Unit 1 b'!AE$7,'Rooms Walls and Glass'!$D$1:$AB$1,0))))</f>
        <v/>
      </c>
      <c r="AF23" s="68" t="str">
        <f t="shared" si="24"/>
        <v>-</v>
      </c>
      <c r="AG23" s="66" t="str">
        <f>IF(AG$7="","",IF(INDEX('Rooms Walls and Glass'!$D$23:$AB$30, MATCH($D23,'Rooms Walls and Glass'!$A$23:$A$30,0), MATCH('Unit 1 b'!AG$7,'Rooms Walls and Glass'!$D$1:$AB$1,0))=0,"",INDEX('Rooms Walls and Glass'!$D$23:$AB$30, MATCH($D23,'Rooms Walls and Glass'!$A$23:$A$30,0), MATCH('Unit 1 b'!AG$7,'Rooms Walls and Glass'!$D$1:$AB$1,0))))</f>
        <v/>
      </c>
      <c r="AH23" s="68" t="str">
        <f t="shared" si="25"/>
        <v>-</v>
      </c>
      <c r="AI23" s="66" t="str">
        <f>IF(AI$7="","",IF(INDEX('Rooms Walls and Glass'!$D$23:$AB$30, MATCH($D23,'Rooms Walls and Glass'!$A$23:$A$30,0), MATCH('Unit 1 b'!AI$7,'Rooms Walls and Glass'!$D$1:$AB$1,0))=0,"",INDEX('Rooms Walls and Glass'!$D$23:$AB$30, MATCH($D23,'Rooms Walls and Glass'!$A$23:$A$30,0), MATCH('Unit 1 b'!AI$7,'Rooms Walls and Glass'!$D$1:$AB$1,0))))</f>
        <v/>
      </c>
      <c r="AJ23" s="69" t="str">
        <f t="shared" si="26"/>
        <v>-</v>
      </c>
      <c r="AK23" s="66" t="str">
        <f>IF(AK$7="","",IF(INDEX('Rooms Walls and Glass'!$D$23:$AB$30, MATCH($D23,'Rooms Walls and Glass'!$A$23:$A$30,0), MATCH('Unit 1 b'!AK$7,'Rooms Walls and Glass'!$D$1:$AB$1,0))=0,"",INDEX('Rooms Walls and Glass'!$D$23:$AB$30, MATCH($D23,'Rooms Walls and Glass'!$A$23:$A$30,0), MATCH('Unit 1 b'!AK$7,'Rooms Walls and Glass'!$D$1:$AB$1,0))))</f>
        <v/>
      </c>
      <c r="AL23" s="68" t="str">
        <f t="shared" si="27"/>
        <v>-</v>
      </c>
      <c r="AM23" s="66" t="str">
        <f>IF(AM$7="","",IF(INDEX('Rooms Walls and Glass'!$D$23:$AB$30, MATCH($D23,'Rooms Walls and Glass'!$A$23:$A$30,0), MATCH('Unit 1 b'!AM$7,'Rooms Walls and Glass'!$D$1:$AB$1,0))=0,"",INDEX('Rooms Walls and Glass'!$D$23:$AB$30, MATCH($D23,'Rooms Walls and Glass'!$A$23:$A$30,0), MATCH('Unit 1 b'!AM$7,'Rooms Walls and Glass'!$D$1:$AB$1,0))))</f>
        <v/>
      </c>
      <c r="AN23" s="69" t="str">
        <f t="shared" si="28"/>
        <v>-</v>
      </c>
    </row>
    <row r="24" spans="2:40" ht="11.25" customHeight="1" thickBot="1" x14ac:dyDescent="0.2">
      <c r="B24" s="214"/>
      <c r="C24" s="15" t="s">
        <v>38</v>
      </c>
      <c r="D24" s="13" t="str">
        <f>'Rooms Walls and Glass'!A26</f>
        <v>East</v>
      </c>
      <c r="E24" s="13">
        <f>INDEX('Glass CLF Calculation'!$A$20:$G$27,MATCH('Unit 1 b'!D24,'Glass CLF Calculation'!$A$20:$A$27,0),7)</f>
        <v>23</v>
      </c>
      <c r="F24" s="14">
        <f>INDEX(Summary!$F$19:$F$30,MATCH('Unit 1 b'!C24,Summary!$D$19:$D$30,0))</f>
        <v>7.6999999999999999E-2</v>
      </c>
      <c r="G24" s="14">
        <f t="shared" si="29"/>
        <v>1.7709999999999999</v>
      </c>
      <c r="H24" s="16" t="s">
        <v>6</v>
      </c>
      <c r="I24" s="65">
        <f t="shared" si="13"/>
        <v>0</v>
      </c>
      <c r="J24" s="68">
        <f t="shared" si="14"/>
        <v>0</v>
      </c>
      <c r="K24" s="66" t="str">
        <f>IF(K$7="","",IF(INDEX('Rooms Walls and Glass'!$D$23:$AB$30, MATCH($D24,'Rooms Walls and Glass'!$A$23:$A$30,0), MATCH('Unit 1 b'!K$7,'Rooms Walls and Glass'!$D$1:$AB$1,0))=0,"",INDEX('Rooms Walls and Glass'!$D$23:$AB$30, MATCH($D24,'Rooms Walls and Glass'!$A$23:$A$30,0), MATCH('Unit 1 b'!K$7,'Rooms Walls and Glass'!$D$1:$AB$1,0))))</f>
        <v/>
      </c>
      <c r="L24" s="68" t="str">
        <f t="shared" si="15"/>
        <v>-</v>
      </c>
      <c r="M24" s="66" t="str">
        <f>IF(M$7="","",IF(INDEX('Rooms Walls and Glass'!$D$23:$AB$30, MATCH($D24,'Rooms Walls and Glass'!$A$23:$A$30,0), MATCH('Unit 1 b'!M$7,'Rooms Walls and Glass'!$D$1:$AB$1,0))=0,"",INDEX('Rooms Walls and Glass'!$D$23:$AB$30, MATCH($D24,'Rooms Walls and Glass'!$A$23:$A$30,0), MATCH('Unit 1 b'!M$7,'Rooms Walls and Glass'!$D$1:$AB$1,0))))</f>
        <v/>
      </c>
      <c r="N24" s="68" t="str">
        <f t="shared" si="16"/>
        <v>-</v>
      </c>
      <c r="O24" s="66" t="str">
        <f>IF(O$7="","",IF(INDEX('Rooms Walls and Glass'!$D$23:$AB$30, MATCH($D24,'Rooms Walls and Glass'!$A$23:$A$30,0), MATCH('Unit 1 b'!O$7,'Rooms Walls and Glass'!$D$1:$AB$1,0))=0,"",INDEX('Rooms Walls and Glass'!$D$23:$AB$30, MATCH($D24,'Rooms Walls and Glass'!$A$23:$A$30,0), MATCH('Unit 1 b'!O$7,'Rooms Walls and Glass'!$D$1:$AB$1,0))))</f>
        <v/>
      </c>
      <c r="P24" s="68" t="str">
        <f t="shared" si="17"/>
        <v>-</v>
      </c>
      <c r="Q24" s="66" t="str">
        <f>IF(Q$7="","",IF(INDEX('Rooms Walls and Glass'!$D$23:$AB$30, MATCH($D24,'Rooms Walls and Glass'!$A$23:$A$30,0), MATCH('Unit 1 b'!Q$7,'Rooms Walls and Glass'!$D$1:$AB$1,0))=0,"",INDEX('Rooms Walls and Glass'!$D$23:$AB$30, MATCH($D24,'Rooms Walls and Glass'!$A$23:$A$30,0), MATCH('Unit 1 b'!Q$7,'Rooms Walls and Glass'!$D$1:$AB$1,0))))</f>
        <v/>
      </c>
      <c r="R24" s="68" t="str">
        <f t="shared" si="18"/>
        <v>-</v>
      </c>
      <c r="S24" s="66" t="str">
        <f>IF(S$7="","",IF(INDEX('Rooms Walls and Glass'!$D$23:$AB$30, MATCH($D24,'Rooms Walls and Glass'!$A$23:$A$30,0), MATCH('Unit 1 b'!S$7,'Rooms Walls and Glass'!$D$1:$AB$1,0))=0,"",INDEX('Rooms Walls and Glass'!$D$23:$AB$30, MATCH($D24,'Rooms Walls and Glass'!$A$23:$A$30,0), MATCH('Unit 1 b'!S$7,'Rooms Walls and Glass'!$D$1:$AB$1,0))))</f>
        <v/>
      </c>
      <c r="T24" s="68" t="str">
        <f t="shared" si="19"/>
        <v>-</v>
      </c>
      <c r="U24" s="66" t="str">
        <f>IF(U$7="","",IF(INDEX('Rooms Walls and Glass'!$D$23:$AB$30, MATCH($D24,'Rooms Walls and Glass'!$A$23:$A$30,0), MATCH('Unit 1 b'!U$7,'Rooms Walls and Glass'!$D$1:$AB$1,0))=0,"",INDEX('Rooms Walls and Glass'!$D$23:$AB$30, MATCH($D24,'Rooms Walls and Glass'!$A$23:$A$30,0), MATCH('Unit 1 b'!U$7,'Rooms Walls and Glass'!$D$1:$AB$1,0))))</f>
        <v/>
      </c>
      <c r="V24" s="68" t="str">
        <f t="shared" si="20"/>
        <v>-</v>
      </c>
      <c r="W24" s="66" t="str">
        <f>IF(W$7="","",IF(INDEX('Rooms Walls and Glass'!$D$23:$AB$30, MATCH($D24,'Rooms Walls and Glass'!$A$23:$A$30,0), MATCH('Unit 1 b'!W$7,'Rooms Walls and Glass'!$D$1:$AB$1,0))=0,"",INDEX('Rooms Walls and Glass'!$D$23:$AB$30, MATCH($D24,'Rooms Walls and Glass'!$A$23:$A$30,0), MATCH('Unit 1 b'!W$7,'Rooms Walls and Glass'!$D$1:$AB$1,0))))</f>
        <v/>
      </c>
      <c r="X24" s="68" t="str">
        <f t="shared" si="21"/>
        <v>-</v>
      </c>
      <c r="Y24" s="66" t="str">
        <f>IF(Y$7="","",IF(INDEX('Rooms Walls and Glass'!$D$23:$AB$30, MATCH($D24,'Rooms Walls and Glass'!$A$23:$A$30,0), MATCH('Unit 1 b'!Y$7,'Rooms Walls and Glass'!$D$1:$AB$1,0))=0,"",INDEX('Rooms Walls and Glass'!$D$23:$AB$30, MATCH($D24,'Rooms Walls and Glass'!$A$23:$A$30,0), MATCH('Unit 1 b'!Y$7,'Rooms Walls and Glass'!$D$1:$AB$1,0))))</f>
        <v/>
      </c>
      <c r="Z24" s="68" t="str">
        <f t="shared" si="22"/>
        <v>-</v>
      </c>
      <c r="AA24" s="66" t="str">
        <f>IF(AA$7="","",IF(INDEX('Rooms Walls and Glass'!$D$23:$AB$30, MATCH($D24,'Rooms Walls and Glass'!$A$23:$A$30,0), MATCH('Unit 1 b'!AA$7,'Rooms Walls and Glass'!$D$1:$AB$1,0))=0,"",INDEX('Rooms Walls and Glass'!$D$23:$AB$30, MATCH($D24,'Rooms Walls and Glass'!$A$23:$A$30,0), MATCH('Unit 1 b'!AA$7,'Rooms Walls and Glass'!$D$1:$AB$1,0))))</f>
        <v/>
      </c>
      <c r="AB24" s="68" t="str">
        <f t="shared" si="23"/>
        <v>-</v>
      </c>
      <c r="AC24" s="66" t="str">
        <f>IF(AC$7="","",IF(INDEX('Rooms Walls and Glass'!$D$23:$AB$30, MATCH($D24,'Rooms Walls and Glass'!$A$23:$A$30,0), MATCH('Unit 1 b'!AC$7,'Rooms Walls and Glass'!$D$1:$AB$1,0))=0,"",INDEX('Rooms Walls and Glass'!$D$23:$AB$30, MATCH($D24,'Rooms Walls and Glass'!$A$23:$A$30,0), MATCH('Unit 1 b'!AC$7,'Rooms Walls and Glass'!$D$1:$AB$1,0))))</f>
        <v/>
      </c>
      <c r="AD24" s="68" t="str">
        <f t="shared" si="24"/>
        <v>-</v>
      </c>
      <c r="AE24" s="66" t="str">
        <f>IF(AE$7="","",IF(INDEX('Rooms Walls and Glass'!$D$23:$AB$30, MATCH($D24,'Rooms Walls and Glass'!$A$23:$A$30,0), MATCH('Unit 1 b'!AE$7,'Rooms Walls and Glass'!$D$1:$AB$1,0))=0,"",INDEX('Rooms Walls and Glass'!$D$23:$AB$30, MATCH($D24,'Rooms Walls and Glass'!$A$23:$A$30,0), MATCH('Unit 1 b'!AE$7,'Rooms Walls and Glass'!$D$1:$AB$1,0))))</f>
        <v/>
      </c>
      <c r="AF24" s="68" t="str">
        <f t="shared" si="24"/>
        <v>-</v>
      </c>
      <c r="AG24" s="66" t="str">
        <f>IF(AG$7="","",IF(INDEX('Rooms Walls and Glass'!$D$23:$AB$30, MATCH($D24,'Rooms Walls and Glass'!$A$23:$A$30,0), MATCH('Unit 1 b'!AG$7,'Rooms Walls and Glass'!$D$1:$AB$1,0))=0,"",INDEX('Rooms Walls and Glass'!$D$23:$AB$30, MATCH($D24,'Rooms Walls and Glass'!$A$23:$A$30,0), MATCH('Unit 1 b'!AG$7,'Rooms Walls and Glass'!$D$1:$AB$1,0))))</f>
        <v/>
      </c>
      <c r="AH24" s="68" t="str">
        <f t="shared" si="25"/>
        <v>-</v>
      </c>
      <c r="AI24" s="66" t="str">
        <f>IF(AI$7="","",IF(INDEX('Rooms Walls and Glass'!$D$23:$AB$30, MATCH($D24,'Rooms Walls and Glass'!$A$23:$A$30,0), MATCH('Unit 1 b'!AI$7,'Rooms Walls and Glass'!$D$1:$AB$1,0))=0,"",INDEX('Rooms Walls and Glass'!$D$23:$AB$30, MATCH($D24,'Rooms Walls and Glass'!$A$23:$A$30,0), MATCH('Unit 1 b'!AI$7,'Rooms Walls and Glass'!$D$1:$AB$1,0))))</f>
        <v/>
      </c>
      <c r="AJ24" s="69" t="str">
        <f t="shared" si="26"/>
        <v>-</v>
      </c>
      <c r="AK24" s="66" t="str">
        <f>IF(AK$7="","",IF(INDEX('Rooms Walls and Glass'!$D$23:$AB$30, MATCH($D24,'Rooms Walls and Glass'!$A$23:$A$30,0), MATCH('Unit 1 b'!AK$7,'Rooms Walls and Glass'!$D$1:$AB$1,0))=0,"",INDEX('Rooms Walls and Glass'!$D$23:$AB$30, MATCH($D24,'Rooms Walls and Glass'!$A$23:$A$30,0), MATCH('Unit 1 b'!AK$7,'Rooms Walls and Glass'!$D$1:$AB$1,0))))</f>
        <v/>
      </c>
      <c r="AL24" s="68" t="str">
        <f t="shared" si="27"/>
        <v>-</v>
      </c>
      <c r="AM24" s="66" t="str">
        <f>IF(AM$7="","",IF(INDEX('Rooms Walls and Glass'!$D$23:$AB$30, MATCH($D24,'Rooms Walls and Glass'!$A$23:$A$30,0), MATCH('Unit 1 b'!AM$7,'Rooms Walls and Glass'!$D$1:$AB$1,0))=0,"",INDEX('Rooms Walls and Glass'!$D$23:$AB$30, MATCH($D24,'Rooms Walls and Glass'!$A$23:$A$30,0), MATCH('Unit 1 b'!AM$7,'Rooms Walls and Glass'!$D$1:$AB$1,0))))</f>
        <v/>
      </c>
      <c r="AN24" s="69" t="str">
        <f t="shared" si="28"/>
        <v>-</v>
      </c>
    </row>
    <row r="25" spans="2:40" ht="11.25" customHeight="1" thickBot="1" x14ac:dyDescent="0.2">
      <c r="B25" s="214"/>
      <c r="C25" s="15" t="s">
        <v>38</v>
      </c>
      <c r="D25" s="13" t="str">
        <f>'Rooms Walls and Glass'!A27</f>
        <v>SouthEast</v>
      </c>
      <c r="E25" s="13">
        <f>INDEX('Glass CLF Calculation'!$A$20:$G$27,MATCH('Unit 1 b'!D25,'Glass CLF Calculation'!$A$20:$A$27,0),7)</f>
        <v>21</v>
      </c>
      <c r="F25" s="14">
        <f>INDEX(Summary!$F$19:$F$30,MATCH('Unit 1 b'!C25,Summary!$D$19:$D$30,0))</f>
        <v>7.6999999999999999E-2</v>
      </c>
      <c r="G25" s="14">
        <f t="shared" si="29"/>
        <v>1.617</v>
      </c>
      <c r="H25" s="16" t="s">
        <v>6</v>
      </c>
      <c r="I25" s="65">
        <f t="shared" si="13"/>
        <v>266</v>
      </c>
      <c r="J25" s="68">
        <f t="shared" si="14"/>
        <v>430.12200000000001</v>
      </c>
      <c r="K25" s="66" t="str">
        <f>IF(K$7="","",IF(INDEX('Rooms Walls and Glass'!$D$23:$AB$30, MATCH($D25,'Rooms Walls and Glass'!$A$23:$A$30,0), MATCH('Unit 1 b'!K$7,'Rooms Walls and Glass'!$D$1:$AB$1,0))=0,"",INDEX('Rooms Walls and Glass'!$D$23:$AB$30, MATCH($D25,'Rooms Walls and Glass'!$A$23:$A$30,0), MATCH('Unit 1 b'!K$7,'Rooms Walls and Glass'!$D$1:$AB$1,0))))</f>
        <v/>
      </c>
      <c r="L25" s="68" t="str">
        <f t="shared" si="15"/>
        <v>-</v>
      </c>
      <c r="M25" s="66" t="str">
        <f>IF(M$7="","",IF(INDEX('Rooms Walls and Glass'!$D$23:$AB$30, MATCH($D25,'Rooms Walls and Glass'!$A$23:$A$30,0), MATCH('Unit 1 b'!M$7,'Rooms Walls and Glass'!$D$1:$AB$1,0))=0,"",INDEX('Rooms Walls and Glass'!$D$23:$AB$30, MATCH($D25,'Rooms Walls and Glass'!$A$23:$A$30,0), MATCH('Unit 1 b'!M$7,'Rooms Walls and Glass'!$D$1:$AB$1,0))))</f>
        <v/>
      </c>
      <c r="N25" s="68" t="str">
        <f t="shared" si="16"/>
        <v>-</v>
      </c>
      <c r="O25" s="66">
        <f>IF(O$7="","",IF(INDEX('Rooms Walls and Glass'!$D$23:$AB$30, MATCH($D25,'Rooms Walls and Glass'!$A$23:$A$30,0), MATCH('Unit 1 b'!O$7,'Rooms Walls and Glass'!$D$1:$AB$1,0))=0,"",INDEX('Rooms Walls and Glass'!$D$23:$AB$30, MATCH($D25,'Rooms Walls and Glass'!$A$23:$A$30,0), MATCH('Unit 1 b'!O$7,'Rooms Walls and Glass'!$D$1:$AB$1,0))))</f>
        <v>50</v>
      </c>
      <c r="P25" s="68">
        <f t="shared" si="17"/>
        <v>80.849999999999994</v>
      </c>
      <c r="Q25" s="66">
        <f>IF(Q$7="","",IF(INDEX('Rooms Walls and Glass'!$D$23:$AB$30, MATCH($D25,'Rooms Walls and Glass'!$A$23:$A$30,0), MATCH('Unit 1 b'!Q$7,'Rooms Walls and Glass'!$D$1:$AB$1,0))=0,"",INDEX('Rooms Walls and Glass'!$D$23:$AB$30, MATCH($D25,'Rooms Walls and Glass'!$A$23:$A$30,0), MATCH('Unit 1 b'!Q$7,'Rooms Walls and Glass'!$D$1:$AB$1,0))))</f>
        <v>78</v>
      </c>
      <c r="R25" s="68">
        <f t="shared" si="18"/>
        <v>126.126</v>
      </c>
      <c r="S25" s="66">
        <f>IF(S$7="","",IF(INDEX('Rooms Walls and Glass'!$D$23:$AB$30, MATCH($D25,'Rooms Walls and Glass'!$A$23:$A$30,0), MATCH('Unit 1 b'!S$7,'Rooms Walls and Glass'!$D$1:$AB$1,0))=0,"",INDEX('Rooms Walls and Glass'!$D$23:$AB$30, MATCH($D25,'Rooms Walls and Glass'!$A$23:$A$30,0), MATCH('Unit 1 b'!S$7,'Rooms Walls and Glass'!$D$1:$AB$1,0))))</f>
        <v>138</v>
      </c>
      <c r="T25" s="68">
        <f t="shared" si="19"/>
        <v>223.14599999999999</v>
      </c>
      <c r="U25" s="66" t="str">
        <f>IF(U$7="","",IF(INDEX('Rooms Walls and Glass'!$D$23:$AB$30, MATCH($D25,'Rooms Walls and Glass'!$A$23:$A$30,0), MATCH('Unit 1 b'!U$7,'Rooms Walls and Glass'!$D$1:$AB$1,0))=0,"",INDEX('Rooms Walls and Glass'!$D$23:$AB$30, MATCH($D25,'Rooms Walls and Glass'!$A$23:$A$30,0), MATCH('Unit 1 b'!U$7,'Rooms Walls and Glass'!$D$1:$AB$1,0))))</f>
        <v/>
      </c>
      <c r="V25" s="68" t="str">
        <f t="shared" si="20"/>
        <v>-</v>
      </c>
      <c r="W25" s="66" t="str">
        <f>IF(W$7="","",IF(INDEX('Rooms Walls and Glass'!$D$23:$AB$30, MATCH($D25,'Rooms Walls and Glass'!$A$23:$A$30,0), MATCH('Unit 1 b'!W$7,'Rooms Walls and Glass'!$D$1:$AB$1,0))=0,"",INDEX('Rooms Walls and Glass'!$D$23:$AB$30, MATCH($D25,'Rooms Walls and Glass'!$A$23:$A$30,0), MATCH('Unit 1 b'!W$7,'Rooms Walls and Glass'!$D$1:$AB$1,0))))</f>
        <v/>
      </c>
      <c r="X25" s="68" t="str">
        <f t="shared" si="21"/>
        <v>-</v>
      </c>
      <c r="Y25" s="66" t="str">
        <f>IF(Y$7="","",IF(INDEX('Rooms Walls and Glass'!$D$23:$AB$30, MATCH($D25,'Rooms Walls and Glass'!$A$23:$A$30,0), MATCH('Unit 1 b'!Y$7,'Rooms Walls and Glass'!$D$1:$AB$1,0))=0,"",INDEX('Rooms Walls and Glass'!$D$23:$AB$30, MATCH($D25,'Rooms Walls and Glass'!$A$23:$A$30,0), MATCH('Unit 1 b'!Y$7,'Rooms Walls and Glass'!$D$1:$AB$1,0))))</f>
        <v/>
      </c>
      <c r="Z25" s="68" t="str">
        <f t="shared" si="22"/>
        <v>-</v>
      </c>
      <c r="AA25" s="66" t="str">
        <f>IF(AA$7="","",IF(INDEX('Rooms Walls and Glass'!$D$23:$AB$30, MATCH($D25,'Rooms Walls and Glass'!$A$23:$A$30,0), MATCH('Unit 1 b'!AA$7,'Rooms Walls and Glass'!$D$1:$AB$1,0))=0,"",INDEX('Rooms Walls and Glass'!$D$23:$AB$30, MATCH($D25,'Rooms Walls and Glass'!$A$23:$A$30,0), MATCH('Unit 1 b'!AA$7,'Rooms Walls and Glass'!$D$1:$AB$1,0))))</f>
        <v/>
      </c>
      <c r="AB25" s="68" t="str">
        <f t="shared" si="23"/>
        <v>-</v>
      </c>
      <c r="AC25" s="66" t="str">
        <f>IF(AC$7="","",IF(INDEX('Rooms Walls and Glass'!$D$23:$AB$30, MATCH($D25,'Rooms Walls and Glass'!$A$23:$A$30,0), MATCH('Unit 1 b'!AC$7,'Rooms Walls and Glass'!$D$1:$AB$1,0))=0,"",INDEX('Rooms Walls and Glass'!$D$23:$AB$30, MATCH($D25,'Rooms Walls and Glass'!$A$23:$A$30,0), MATCH('Unit 1 b'!AC$7,'Rooms Walls and Glass'!$D$1:$AB$1,0))))</f>
        <v/>
      </c>
      <c r="AD25" s="68" t="str">
        <f t="shared" si="24"/>
        <v>-</v>
      </c>
      <c r="AE25" s="66" t="str">
        <f>IF(AE$7="","",IF(INDEX('Rooms Walls and Glass'!$D$23:$AB$30, MATCH($D25,'Rooms Walls and Glass'!$A$23:$A$30,0), MATCH('Unit 1 b'!AE$7,'Rooms Walls and Glass'!$D$1:$AB$1,0))=0,"",INDEX('Rooms Walls and Glass'!$D$23:$AB$30, MATCH($D25,'Rooms Walls and Glass'!$A$23:$A$30,0), MATCH('Unit 1 b'!AE$7,'Rooms Walls and Glass'!$D$1:$AB$1,0))))</f>
        <v/>
      </c>
      <c r="AF25" s="68" t="str">
        <f t="shared" si="24"/>
        <v>-</v>
      </c>
      <c r="AG25" s="66" t="str">
        <f>IF(AG$7="","",IF(INDEX('Rooms Walls and Glass'!$D$23:$AB$30, MATCH($D25,'Rooms Walls and Glass'!$A$23:$A$30,0), MATCH('Unit 1 b'!AG$7,'Rooms Walls and Glass'!$D$1:$AB$1,0))=0,"",INDEX('Rooms Walls and Glass'!$D$23:$AB$30, MATCH($D25,'Rooms Walls and Glass'!$A$23:$A$30,0), MATCH('Unit 1 b'!AG$7,'Rooms Walls and Glass'!$D$1:$AB$1,0))))</f>
        <v/>
      </c>
      <c r="AH25" s="68" t="str">
        <f t="shared" si="25"/>
        <v>-</v>
      </c>
      <c r="AI25" s="66" t="str">
        <f>IF(AI$7="","",IF(INDEX('Rooms Walls and Glass'!$D$23:$AB$30, MATCH($D25,'Rooms Walls and Glass'!$A$23:$A$30,0), MATCH('Unit 1 b'!AI$7,'Rooms Walls and Glass'!$D$1:$AB$1,0))=0,"",INDEX('Rooms Walls and Glass'!$D$23:$AB$30, MATCH($D25,'Rooms Walls and Glass'!$A$23:$A$30,0), MATCH('Unit 1 b'!AI$7,'Rooms Walls and Glass'!$D$1:$AB$1,0))))</f>
        <v/>
      </c>
      <c r="AJ25" s="69" t="str">
        <f t="shared" si="26"/>
        <v>-</v>
      </c>
      <c r="AK25" s="66" t="str">
        <f>IF(AK$7="","",IF(INDEX('Rooms Walls and Glass'!$D$23:$AB$30, MATCH($D25,'Rooms Walls and Glass'!$A$23:$A$30,0), MATCH('Unit 1 b'!AK$7,'Rooms Walls and Glass'!$D$1:$AB$1,0))=0,"",INDEX('Rooms Walls and Glass'!$D$23:$AB$30, MATCH($D25,'Rooms Walls and Glass'!$A$23:$A$30,0), MATCH('Unit 1 b'!AK$7,'Rooms Walls and Glass'!$D$1:$AB$1,0))))</f>
        <v/>
      </c>
      <c r="AL25" s="68" t="str">
        <f t="shared" si="27"/>
        <v>-</v>
      </c>
      <c r="AM25" s="66" t="str">
        <f>IF(AM$7="","",IF(INDEX('Rooms Walls and Glass'!$D$23:$AB$30, MATCH($D25,'Rooms Walls and Glass'!$A$23:$A$30,0), MATCH('Unit 1 b'!AM$7,'Rooms Walls and Glass'!$D$1:$AB$1,0))=0,"",INDEX('Rooms Walls and Glass'!$D$23:$AB$30, MATCH($D25,'Rooms Walls and Glass'!$A$23:$A$30,0), MATCH('Unit 1 b'!AM$7,'Rooms Walls and Glass'!$D$1:$AB$1,0))))</f>
        <v/>
      </c>
      <c r="AN25" s="69" t="str">
        <f t="shared" si="28"/>
        <v>-</v>
      </c>
    </row>
    <row r="26" spans="2:40" ht="11.25" customHeight="1" thickBot="1" x14ac:dyDescent="0.2">
      <c r="B26" s="214"/>
      <c r="C26" s="15" t="s">
        <v>38</v>
      </c>
      <c r="D26" s="13" t="str">
        <f>'Rooms Walls and Glass'!A28</f>
        <v>South</v>
      </c>
      <c r="E26" s="13">
        <f>INDEX('Glass CLF Calculation'!$A$20:$G$27,MATCH('Unit 1 b'!D26,'Glass CLF Calculation'!$A$20:$A$27,0),7)</f>
        <v>16</v>
      </c>
      <c r="F26" s="14">
        <f>INDEX(Summary!$F$19:$F$30,MATCH('Unit 1 b'!C26,Summary!$D$19:$D$30,0))</f>
        <v>7.6999999999999999E-2</v>
      </c>
      <c r="G26" s="14">
        <f t="shared" si="29"/>
        <v>1.232</v>
      </c>
      <c r="H26" s="16" t="s">
        <v>6</v>
      </c>
      <c r="I26" s="65">
        <f t="shared" si="13"/>
        <v>0</v>
      </c>
      <c r="J26" s="68">
        <f t="shared" si="14"/>
        <v>0</v>
      </c>
      <c r="K26" s="66" t="str">
        <f>IF(K$7="","",IF(INDEX('Rooms Walls and Glass'!$D$23:$AB$30, MATCH($D26,'Rooms Walls and Glass'!$A$23:$A$30,0), MATCH('Unit 1 b'!K$7,'Rooms Walls and Glass'!$D$1:$AB$1,0))=0,"",INDEX('Rooms Walls and Glass'!$D$23:$AB$30, MATCH($D26,'Rooms Walls and Glass'!$A$23:$A$30,0), MATCH('Unit 1 b'!K$7,'Rooms Walls and Glass'!$D$1:$AB$1,0))))</f>
        <v/>
      </c>
      <c r="L26" s="68" t="str">
        <f t="shared" si="15"/>
        <v>-</v>
      </c>
      <c r="M26" s="66" t="str">
        <f>IF(M$7="","",IF(INDEX('Rooms Walls and Glass'!$D$23:$AB$30, MATCH($D26,'Rooms Walls and Glass'!$A$23:$A$30,0), MATCH('Unit 1 b'!M$7,'Rooms Walls and Glass'!$D$1:$AB$1,0))=0,"",INDEX('Rooms Walls and Glass'!$D$23:$AB$30, MATCH($D26,'Rooms Walls and Glass'!$A$23:$A$30,0), MATCH('Unit 1 b'!M$7,'Rooms Walls and Glass'!$D$1:$AB$1,0))))</f>
        <v/>
      </c>
      <c r="N26" s="68" t="str">
        <f t="shared" si="16"/>
        <v>-</v>
      </c>
      <c r="O26" s="66" t="str">
        <f>IF(O$7="","",IF(INDEX('Rooms Walls and Glass'!$D$23:$AB$30, MATCH($D26,'Rooms Walls and Glass'!$A$23:$A$30,0), MATCH('Unit 1 b'!O$7,'Rooms Walls and Glass'!$D$1:$AB$1,0))=0,"",INDEX('Rooms Walls and Glass'!$D$23:$AB$30, MATCH($D26,'Rooms Walls and Glass'!$A$23:$A$30,0), MATCH('Unit 1 b'!O$7,'Rooms Walls and Glass'!$D$1:$AB$1,0))))</f>
        <v/>
      </c>
      <c r="P26" s="68" t="str">
        <f t="shared" si="17"/>
        <v>-</v>
      </c>
      <c r="Q26" s="66" t="str">
        <f>IF(Q$7="","",IF(INDEX('Rooms Walls and Glass'!$D$23:$AB$30, MATCH($D26,'Rooms Walls and Glass'!$A$23:$A$30,0), MATCH('Unit 1 b'!Q$7,'Rooms Walls and Glass'!$D$1:$AB$1,0))=0,"",INDEX('Rooms Walls and Glass'!$D$23:$AB$30, MATCH($D26,'Rooms Walls and Glass'!$A$23:$A$30,0), MATCH('Unit 1 b'!Q$7,'Rooms Walls and Glass'!$D$1:$AB$1,0))))</f>
        <v/>
      </c>
      <c r="R26" s="68" t="str">
        <f t="shared" si="18"/>
        <v>-</v>
      </c>
      <c r="S26" s="66" t="str">
        <f>IF(S$7="","",IF(INDEX('Rooms Walls and Glass'!$D$23:$AB$30, MATCH($D26,'Rooms Walls and Glass'!$A$23:$A$30,0), MATCH('Unit 1 b'!S$7,'Rooms Walls and Glass'!$D$1:$AB$1,0))=0,"",INDEX('Rooms Walls and Glass'!$D$23:$AB$30, MATCH($D26,'Rooms Walls and Glass'!$A$23:$A$30,0), MATCH('Unit 1 b'!S$7,'Rooms Walls and Glass'!$D$1:$AB$1,0))))</f>
        <v/>
      </c>
      <c r="T26" s="68" t="str">
        <f t="shared" si="19"/>
        <v>-</v>
      </c>
      <c r="U26" s="66" t="str">
        <f>IF(U$7="","",IF(INDEX('Rooms Walls and Glass'!$D$23:$AB$30, MATCH($D26,'Rooms Walls and Glass'!$A$23:$A$30,0), MATCH('Unit 1 b'!U$7,'Rooms Walls and Glass'!$D$1:$AB$1,0))=0,"",INDEX('Rooms Walls and Glass'!$D$23:$AB$30, MATCH($D26,'Rooms Walls and Glass'!$A$23:$A$30,0), MATCH('Unit 1 b'!U$7,'Rooms Walls and Glass'!$D$1:$AB$1,0))))</f>
        <v/>
      </c>
      <c r="V26" s="68" t="str">
        <f t="shared" si="20"/>
        <v>-</v>
      </c>
      <c r="W26" s="66" t="str">
        <f>IF(W$7="","",IF(INDEX('Rooms Walls and Glass'!$D$23:$AB$30, MATCH($D26,'Rooms Walls and Glass'!$A$23:$A$30,0), MATCH('Unit 1 b'!W$7,'Rooms Walls and Glass'!$D$1:$AB$1,0))=0,"",INDEX('Rooms Walls and Glass'!$D$23:$AB$30, MATCH($D26,'Rooms Walls and Glass'!$A$23:$A$30,0), MATCH('Unit 1 b'!W$7,'Rooms Walls and Glass'!$D$1:$AB$1,0))))</f>
        <v/>
      </c>
      <c r="X26" s="68" t="str">
        <f t="shared" si="21"/>
        <v>-</v>
      </c>
      <c r="Y26" s="66" t="str">
        <f>IF(Y$7="","",IF(INDEX('Rooms Walls and Glass'!$D$23:$AB$30, MATCH($D26,'Rooms Walls and Glass'!$A$23:$A$30,0), MATCH('Unit 1 b'!Y$7,'Rooms Walls and Glass'!$D$1:$AB$1,0))=0,"",INDEX('Rooms Walls and Glass'!$D$23:$AB$30, MATCH($D26,'Rooms Walls and Glass'!$A$23:$A$30,0), MATCH('Unit 1 b'!Y$7,'Rooms Walls and Glass'!$D$1:$AB$1,0))))</f>
        <v/>
      </c>
      <c r="Z26" s="68" t="str">
        <f t="shared" si="22"/>
        <v>-</v>
      </c>
      <c r="AA26" s="66" t="str">
        <f>IF(AA$7="","",IF(INDEX('Rooms Walls and Glass'!$D$23:$AB$30, MATCH($D26,'Rooms Walls and Glass'!$A$23:$A$30,0), MATCH('Unit 1 b'!AA$7,'Rooms Walls and Glass'!$D$1:$AB$1,0))=0,"",INDEX('Rooms Walls and Glass'!$D$23:$AB$30, MATCH($D26,'Rooms Walls and Glass'!$A$23:$A$30,0), MATCH('Unit 1 b'!AA$7,'Rooms Walls and Glass'!$D$1:$AB$1,0))))</f>
        <v/>
      </c>
      <c r="AB26" s="68" t="str">
        <f t="shared" si="23"/>
        <v>-</v>
      </c>
      <c r="AC26" s="66" t="str">
        <f>IF(AC$7="","",IF(INDEX('Rooms Walls and Glass'!$D$23:$AB$30, MATCH($D26,'Rooms Walls and Glass'!$A$23:$A$30,0), MATCH('Unit 1 b'!AC$7,'Rooms Walls and Glass'!$D$1:$AB$1,0))=0,"",INDEX('Rooms Walls and Glass'!$D$23:$AB$30, MATCH($D26,'Rooms Walls and Glass'!$A$23:$A$30,0), MATCH('Unit 1 b'!AC$7,'Rooms Walls and Glass'!$D$1:$AB$1,0))))</f>
        <v/>
      </c>
      <c r="AD26" s="68" t="str">
        <f t="shared" ref="AD26:AD47" si="30">IF(AC26="","-",AC26*$G26)</f>
        <v>-</v>
      </c>
      <c r="AE26" s="66" t="str">
        <f>IF(AE$7="","",IF(INDEX('Rooms Walls and Glass'!$D$23:$AB$30, MATCH($D26,'Rooms Walls and Glass'!$A$23:$A$30,0), MATCH('Unit 1 b'!AE$7,'Rooms Walls and Glass'!$D$1:$AB$1,0))=0,"",INDEX('Rooms Walls and Glass'!$D$23:$AB$30, MATCH($D26,'Rooms Walls and Glass'!$A$23:$A$30,0), MATCH('Unit 1 b'!AE$7,'Rooms Walls and Glass'!$D$1:$AB$1,0))))</f>
        <v/>
      </c>
      <c r="AF26" s="68" t="str">
        <f t="shared" ref="AF26:AF47" si="31">IF(AE26="","-",AE26*$G26)</f>
        <v>-</v>
      </c>
      <c r="AG26" s="66" t="str">
        <f>IF(AG$7="","",IF(INDEX('Rooms Walls and Glass'!$D$23:$AB$30, MATCH($D26,'Rooms Walls and Glass'!$A$23:$A$30,0), MATCH('Unit 1 b'!AG$7,'Rooms Walls and Glass'!$D$1:$AB$1,0))=0,"",INDEX('Rooms Walls and Glass'!$D$23:$AB$30, MATCH($D26,'Rooms Walls and Glass'!$A$23:$A$30,0), MATCH('Unit 1 b'!AG$7,'Rooms Walls and Glass'!$D$1:$AB$1,0))))</f>
        <v/>
      </c>
      <c r="AH26" s="68" t="str">
        <f t="shared" si="25"/>
        <v>-</v>
      </c>
      <c r="AI26" s="66" t="str">
        <f>IF(AI$7="","",IF(INDEX('Rooms Walls and Glass'!$D$23:$AB$30, MATCH($D26,'Rooms Walls and Glass'!$A$23:$A$30,0), MATCH('Unit 1 b'!AI$7,'Rooms Walls and Glass'!$D$1:$AB$1,0))=0,"",INDEX('Rooms Walls and Glass'!$D$23:$AB$30, MATCH($D26,'Rooms Walls and Glass'!$A$23:$A$30,0), MATCH('Unit 1 b'!AI$7,'Rooms Walls and Glass'!$D$1:$AB$1,0))))</f>
        <v/>
      </c>
      <c r="AJ26" s="69" t="str">
        <f t="shared" si="26"/>
        <v>-</v>
      </c>
      <c r="AK26" s="66" t="str">
        <f>IF(AK$7="","",IF(INDEX('Rooms Walls and Glass'!$D$23:$AB$30, MATCH($D26,'Rooms Walls and Glass'!$A$23:$A$30,0), MATCH('Unit 1 b'!AK$7,'Rooms Walls and Glass'!$D$1:$AB$1,0))=0,"",INDEX('Rooms Walls and Glass'!$D$23:$AB$30, MATCH($D26,'Rooms Walls and Glass'!$A$23:$A$30,0), MATCH('Unit 1 b'!AK$7,'Rooms Walls and Glass'!$D$1:$AB$1,0))))</f>
        <v/>
      </c>
      <c r="AL26" s="68" t="str">
        <f t="shared" si="27"/>
        <v>-</v>
      </c>
      <c r="AM26" s="66" t="str">
        <f>IF(AM$7="","",IF(INDEX('Rooms Walls and Glass'!$D$23:$AB$30, MATCH($D26,'Rooms Walls and Glass'!$A$23:$A$30,0), MATCH('Unit 1 b'!AM$7,'Rooms Walls and Glass'!$D$1:$AB$1,0))=0,"",INDEX('Rooms Walls and Glass'!$D$23:$AB$30, MATCH($D26,'Rooms Walls and Glass'!$A$23:$A$30,0), MATCH('Unit 1 b'!AM$7,'Rooms Walls and Glass'!$D$1:$AB$1,0))))</f>
        <v/>
      </c>
      <c r="AN26" s="69" t="str">
        <f t="shared" si="28"/>
        <v>-</v>
      </c>
    </row>
    <row r="27" spans="2:40" ht="11.25" customHeight="1" thickBot="1" x14ac:dyDescent="0.2">
      <c r="B27" s="214"/>
      <c r="C27" s="15" t="s">
        <v>38</v>
      </c>
      <c r="D27" s="13" t="str">
        <f>'Rooms Walls and Glass'!A29</f>
        <v>SouthWest</v>
      </c>
      <c r="E27" s="13">
        <f>INDEX('Glass CLF Calculation'!$A$20:$G$27,MATCH('Unit 1 b'!D27,'Glass CLF Calculation'!$A$20:$A$27,0),7)</f>
        <v>21</v>
      </c>
      <c r="F27" s="14">
        <f>INDEX(Summary!$F$19:$F$30,MATCH('Unit 1 b'!C27,Summary!$D$19:$D$30,0))</f>
        <v>7.6999999999999999E-2</v>
      </c>
      <c r="G27" s="14">
        <f t="shared" si="29"/>
        <v>1.617</v>
      </c>
      <c r="H27" s="16" t="s">
        <v>6</v>
      </c>
      <c r="I27" s="65">
        <f t="shared" si="13"/>
        <v>189</v>
      </c>
      <c r="J27" s="68">
        <f t="shared" si="14"/>
        <v>305.613</v>
      </c>
      <c r="K27" s="66" t="str">
        <f>IF(K$7="","",IF(INDEX('Rooms Walls and Glass'!$D$23:$AB$30, MATCH($D27,'Rooms Walls and Glass'!$A$23:$A$30,0), MATCH('Unit 1 b'!K$7,'Rooms Walls and Glass'!$D$1:$AB$1,0))=0,"",INDEX('Rooms Walls and Glass'!$D$23:$AB$30, MATCH($D27,'Rooms Walls and Glass'!$A$23:$A$30,0), MATCH('Unit 1 b'!K$7,'Rooms Walls and Glass'!$D$1:$AB$1,0))))</f>
        <v/>
      </c>
      <c r="L27" s="68" t="str">
        <f t="shared" si="15"/>
        <v>-</v>
      </c>
      <c r="M27" s="66" t="str">
        <f>IF(M$7="","",IF(INDEX('Rooms Walls and Glass'!$D$23:$AB$30, MATCH($D27,'Rooms Walls and Glass'!$A$23:$A$30,0), MATCH('Unit 1 b'!M$7,'Rooms Walls and Glass'!$D$1:$AB$1,0))=0,"",INDEX('Rooms Walls and Glass'!$D$23:$AB$30, MATCH($D27,'Rooms Walls and Glass'!$A$23:$A$30,0), MATCH('Unit 1 b'!M$7,'Rooms Walls and Glass'!$D$1:$AB$1,0))))</f>
        <v/>
      </c>
      <c r="N27" s="68" t="str">
        <f t="shared" si="16"/>
        <v>-</v>
      </c>
      <c r="O27" s="66" t="str">
        <f>IF(O$7="","",IF(INDEX('Rooms Walls and Glass'!$D$23:$AB$30, MATCH($D27,'Rooms Walls and Glass'!$A$23:$A$30,0), MATCH('Unit 1 b'!O$7,'Rooms Walls and Glass'!$D$1:$AB$1,0))=0,"",INDEX('Rooms Walls and Glass'!$D$23:$AB$30, MATCH($D27,'Rooms Walls and Glass'!$A$23:$A$30,0), MATCH('Unit 1 b'!O$7,'Rooms Walls and Glass'!$D$1:$AB$1,0))))</f>
        <v/>
      </c>
      <c r="P27" s="68" t="str">
        <f t="shared" si="17"/>
        <v>-</v>
      </c>
      <c r="Q27" s="66" t="str">
        <f>IF(Q$7="","",IF(INDEX('Rooms Walls and Glass'!$D$23:$AB$30, MATCH($D27,'Rooms Walls and Glass'!$A$23:$A$30,0), MATCH('Unit 1 b'!Q$7,'Rooms Walls and Glass'!$D$1:$AB$1,0))=0,"",INDEX('Rooms Walls and Glass'!$D$23:$AB$30, MATCH($D27,'Rooms Walls and Glass'!$A$23:$A$30,0), MATCH('Unit 1 b'!Q$7,'Rooms Walls and Glass'!$D$1:$AB$1,0))))</f>
        <v/>
      </c>
      <c r="R27" s="68" t="str">
        <f t="shared" si="18"/>
        <v>-</v>
      </c>
      <c r="S27" s="66">
        <f>IF(S$7="","",IF(INDEX('Rooms Walls and Glass'!$D$23:$AB$30, MATCH($D27,'Rooms Walls and Glass'!$A$23:$A$30,0), MATCH('Unit 1 b'!S$7,'Rooms Walls and Glass'!$D$1:$AB$1,0))=0,"",INDEX('Rooms Walls and Glass'!$D$23:$AB$30, MATCH($D27,'Rooms Walls and Glass'!$A$23:$A$30,0), MATCH('Unit 1 b'!S$7,'Rooms Walls and Glass'!$D$1:$AB$1,0))))</f>
        <v>99</v>
      </c>
      <c r="T27" s="68">
        <f t="shared" si="19"/>
        <v>160.083</v>
      </c>
      <c r="U27" s="66">
        <f>IF(U$7="","",IF(INDEX('Rooms Walls and Glass'!$D$23:$AB$30, MATCH($D27,'Rooms Walls and Glass'!$A$23:$A$30,0), MATCH('Unit 1 b'!U$7,'Rooms Walls and Glass'!$D$1:$AB$1,0))=0,"",INDEX('Rooms Walls and Glass'!$D$23:$AB$30, MATCH($D27,'Rooms Walls and Glass'!$A$23:$A$30,0), MATCH('Unit 1 b'!U$7,'Rooms Walls and Glass'!$D$1:$AB$1,0))))</f>
        <v>90</v>
      </c>
      <c r="V27" s="68">
        <f t="shared" si="20"/>
        <v>145.53</v>
      </c>
      <c r="W27" s="66" t="str">
        <f>IF(W$7="","",IF(INDEX('Rooms Walls and Glass'!$D$23:$AB$30, MATCH($D27,'Rooms Walls and Glass'!$A$23:$A$30,0), MATCH('Unit 1 b'!W$7,'Rooms Walls and Glass'!$D$1:$AB$1,0))=0,"",INDEX('Rooms Walls and Glass'!$D$23:$AB$30, MATCH($D27,'Rooms Walls and Glass'!$A$23:$A$30,0), MATCH('Unit 1 b'!W$7,'Rooms Walls and Glass'!$D$1:$AB$1,0))))</f>
        <v/>
      </c>
      <c r="X27" s="68" t="str">
        <f t="shared" si="21"/>
        <v>-</v>
      </c>
      <c r="Y27" s="66" t="str">
        <f>IF(Y$7="","",IF(INDEX('Rooms Walls and Glass'!$D$23:$AB$30, MATCH($D27,'Rooms Walls and Glass'!$A$23:$A$30,0), MATCH('Unit 1 b'!Y$7,'Rooms Walls and Glass'!$D$1:$AB$1,0))=0,"",INDEX('Rooms Walls and Glass'!$D$23:$AB$30, MATCH($D27,'Rooms Walls and Glass'!$A$23:$A$30,0), MATCH('Unit 1 b'!Y$7,'Rooms Walls and Glass'!$D$1:$AB$1,0))))</f>
        <v/>
      </c>
      <c r="Z27" s="68" t="str">
        <f t="shared" si="22"/>
        <v>-</v>
      </c>
      <c r="AA27" s="66" t="str">
        <f>IF(AA$7="","",IF(INDEX('Rooms Walls and Glass'!$D$23:$AB$30, MATCH($D27,'Rooms Walls and Glass'!$A$23:$A$30,0), MATCH('Unit 1 b'!AA$7,'Rooms Walls and Glass'!$D$1:$AB$1,0))=0,"",INDEX('Rooms Walls and Glass'!$D$23:$AB$30, MATCH($D27,'Rooms Walls and Glass'!$A$23:$A$30,0), MATCH('Unit 1 b'!AA$7,'Rooms Walls and Glass'!$D$1:$AB$1,0))))</f>
        <v/>
      </c>
      <c r="AB27" s="68" t="str">
        <f t="shared" si="23"/>
        <v>-</v>
      </c>
      <c r="AC27" s="66" t="str">
        <f>IF(AC$7="","",IF(INDEX('Rooms Walls and Glass'!$D$23:$AB$30, MATCH($D27,'Rooms Walls and Glass'!$A$23:$A$30,0), MATCH('Unit 1 b'!AC$7,'Rooms Walls and Glass'!$D$1:$AB$1,0))=0,"",INDEX('Rooms Walls and Glass'!$D$23:$AB$30, MATCH($D27,'Rooms Walls and Glass'!$A$23:$A$30,0), MATCH('Unit 1 b'!AC$7,'Rooms Walls and Glass'!$D$1:$AB$1,0))))</f>
        <v/>
      </c>
      <c r="AD27" s="68" t="str">
        <f t="shared" si="30"/>
        <v>-</v>
      </c>
      <c r="AE27" s="66" t="str">
        <f>IF(AE$7="","",IF(INDEX('Rooms Walls and Glass'!$D$23:$AB$30, MATCH($D27,'Rooms Walls and Glass'!$A$23:$A$30,0), MATCH('Unit 1 b'!AE$7,'Rooms Walls and Glass'!$D$1:$AB$1,0))=0,"",INDEX('Rooms Walls and Glass'!$D$23:$AB$30, MATCH($D27,'Rooms Walls and Glass'!$A$23:$A$30,0), MATCH('Unit 1 b'!AE$7,'Rooms Walls and Glass'!$D$1:$AB$1,0))))</f>
        <v/>
      </c>
      <c r="AF27" s="68" t="str">
        <f t="shared" si="31"/>
        <v>-</v>
      </c>
      <c r="AG27" s="66" t="str">
        <f>IF(AG$7="","",IF(INDEX('Rooms Walls and Glass'!$D$23:$AB$30, MATCH($D27,'Rooms Walls and Glass'!$A$23:$A$30,0), MATCH('Unit 1 b'!AG$7,'Rooms Walls and Glass'!$D$1:$AB$1,0))=0,"",INDEX('Rooms Walls and Glass'!$D$23:$AB$30, MATCH($D27,'Rooms Walls and Glass'!$A$23:$A$30,0), MATCH('Unit 1 b'!AG$7,'Rooms Walls and Glass'!$D$1:$AB$1,0))))</f>
        <v/>
      </c>
      <c r="AH27" s="68" t="str">
        <f t="shared" si="25"/>
        <v>-</v>
      </c>
      <c r="AI27" s="66" t="str">
        <f>IF(AI$7="","",IF(INDEX('Rooms Walls and Glass'!$D$23:$AB$30, MATCH($D27,'Rooms Walls and Glass'!$A$23:$A$30,0), MATCH('Unit 1 b'!AI$7,'Rooms Walls and Glass'!$D$1:$AB$1,0))=0,"",INDEX('Rooms Walls and Glass'!$D$23:$AB$30, MATCH($D27,'Rooms Walls and Glass'!$A$23:$A$30,0), MATCH('Unit 1 b'!AI$7,'Rooms Walls and Glass'!$D$1:$AB$1,0))))</f>
        <v/>
      </c>
      <c r="AJ27" s="69" t="str">
        <f t="shared" si="26"/>
        <v>-</v>
      </c>
      <c r="AK27" s="66" t="str">
        <f>IF(AK$7="","",IF(INDEX('Rooms Walls and Glass'!$D$23:$AB$30, MATCH($D27,'Rooms Walls and Glass'!$A$23:$A$30,0), MATCH('Unit 1 b'!AK$7,'Rooms Walls and Glass'!$D$1:$AB$1,0))=0,"",INDEX('Rooms Walls and Glass'!$D$23:$AB$30, MATCH($D27,'Rooms Walls and Glass'!$A$23:$A$30,0), MATCH('Unit 1 b'!AK$7,'Rooms Walls and Glass'!$D$1:$AB$1,0))))</f>
        <v/>
      </c>
      <c r="AL27" s="68" t="str">
        <f t="shared" si="27"/>
        <v>-</v>
      </c>
      <c r="AM27" s="66" t="str">
        <f>IF(AM$7="","",IF(INDEX('Rooms Walls and Glass'!$D$23:$AB$30, MATCH($D27,'Rooms Walls and Glass'!$A$23:$A$30,0), MATCH('Unit 1 b'!AM$7,'Rooms Walls and Glass'!$D$1:$AB$1,0))=0,"",INDEX('Rooms Walls and Glass'!$D$23:$AB$30, MATCH($D27,'Rooms Walls and Glass'!$A$23:$A$30,0), MATCH('Unit 1 b'!AM$7,'Rooms Walls and Glass'!$D$1:$AB$1,0))))</f>
        <v/>
      </c>
      <c r="AN27" s="69" t="str">
        <f t="shared" si="28"/>
        <v>-</v>
      </c>
    </row>
    <row r="28" spans="2:40" ht="11.25" customHeight="1" thickBot="1" x14ac:dyDescent="0.2">
      <c r="B28" s="213"/>
      <c r="C28" s="17" t="s">
        <v>38</v>
      </c>
      <c r="D28" s="13" t="str">
        <f>'Rooms Walls and Glass'!A30</f>
        <v>West</v>
      </c>
      <c r="E28" s="13">
        <f>INDEX('Glass CLF Calculation'!$A$20:$G$27,MATCH('Unit 1 b'!D28,'Glass CLF Calculation'!$A$20:$A$27,0),7)</f>
        <v>23</v>
      </c>
      <c r="F28" s="14">
        <f>INDEX(Summary!$F$19:$F$30,MATCH('Unit 1 b'!C28,Summary!$D$19:$D$30,0))</f>
        <v>7.6999999999999999E-2</v>
      </c>
      <c r="G28" s="14">
        <f t="shared" si="29"/>
        <v>1.7709999999999999</v>
      </c>
      <c r="H28" s="18" t="s">
        <v>6</v>
      </c>
      <c r="I28" s="65">
        <f t="shared" si="13"/>
        <v>0</v>
      </c>
      <c r="J28" s="70">
        <f t="shared" si="14"/>
        <v>0</v>
      </c>
      <c r="K28" s="66" t="str">
        <f>IF(K$7="","",IF(INDEX('Rooms Walls and Glass'!$D$23:$AB$30, MATCH($D28,'Rooms Walls and Glass'!$A$23:$A$30,0), MATCH('Unit 1 b'!K$7,'Rooms Walls and Glass'!$D$1:$AB$1,0))=0,"",INDEX('Rooms Walls and Glass'!$D$23:$AB$30, MATCH($D28,'Rooms Walls and Glass'!$A$23:$A$30,0), MATCH('Unit 1 b'!K$7,'Rooms Walls and Glass'!$D$1:$AB$1,0))))</f>
        <v/>
      </c>
      <c r="L28" s="70" t="str">
        <f t="shared" si="15"/>
        <v>-</v>
      </c>
      <c r="M28" s="66" t="str">
        <f>IF(M$7="","",IF(INDEX('Rooms Walls and Glass'!$D$23:$AB$30, MATCH($D28,'Rooms Walls and Glass'!$A$23:$A$30,0), MATCH('Unit 1 b'!M$7,'Rooms Walls and Glass'!$D$1:$AB$1,0))=0,"",INDEX('Rooms Walls and Glass'!$D$23:$AB$30, MATCH($D28,'Rooms Walls and Glass'!$A$23:$A$30,0), MATCH('Unit 1 b'!M$7,'Rooms Walls and Glass'!$D$1:$AB$1,0))))</f>
        <v/>
      </c>
      <c r="N28" s="70" t="str">
        <f t="shared" si="16"/>
        <v>-</v>
      </c>
      <c r="O28" s="66" t="str">
        <f>IF(O$7="","",IF(INDEX('Rooms Walls and Glass'!$D$23:$AB$30, MATCH($D28,'Rooms Walls and Glass'!$A$23:$A$30,0), MATCH('Unit 1 b'!O$7,'Rooms Walls and Glass'!$D$1:$AB$1,0))=0,"",INDEX('Rooms Walls and Glass'!$D$23:$AB$30, MATCH($D28,'Rooms Walls and Glass'!$A$23:$A$30,0), MATCH('Unit 1 b'!O$7,'Rooms Walls and Glass'!$D$1:$AB$1,0))))</f>
        <v/>
      </c>
      <c r="P28" s="70" t="str">
        <f t="shared" si="17"/>
        <v>-</v>
      </c>
      <c r="Q28" s="66" t="str">
        <f>IF(Q$7="","",IF(INDEX('Rooms Walls and Glass'!$D$23:$AB$30, MATCH($D28,'Rooms Walls and Glass'!$A$23:$A$30,0), MATCH('Unit 1 b'!Q$7,'Rooms Walls and Glass'!$D$1:$AB$1,0))=0,"",INDEX('Rooms Walls and Glass'!$D$23:$AB$30, MATCH($D28,'Rooms Walls and Glass'!$A$23:$A$30,0), MATCH('Unit 1 b'!Q$7,'Rooms Walls and Glass'!$D$1:$AB$1,0))))</f>
        <v/>
      </c>
      <c r="R28" s="70" t="str">
        <f t="shared" si="18"/>
        <v>-</v>
      </c>
      <c r="S28" s="66" t="str">
        <f>IF(S$7="","",IF(INDEX('Rooms Walls and Glass'!$D$23:$AB$30, MATCH($D28,'Rooms Walls and Glass'!$A$23:$A$30,0), MATCH('Unit 1 b'!S$7,'Rooms Walls and Glass'!$D$1:$AB$1,0))=0,"",INDEX('Rooms Walls and Glass'!$D$23:$AB$30, MATCH($D28,'Rooms Walls and Glass'!$A$23:$A$30,0), MATCH('Unit 1 b'!S$7,'Rooms Walls and Glass'!$D$1:$AB$1,0))))</f>
        <v/>
      </c>
      <c r="T28" s="70" t="str">
        <f t="shared" si="19"/>
        <v>-</v>
      </c>
      <c r="U28" s="66" t="str">
        <f>IF(U$7="","",IF(INDEX('Rooms Walls and Glass'!$D$23:$AB$30, MATCH($D28,'Rooms Walls and Glass'!$A$23:$A$30,0), MATCH('Unit 1 b'!U$7,'Rooms Walls and Glass'!$D$1:$AB$1,0))=0,"",INDEX('Rooms Walls and Glass'!$D$23:$AB$30, MATCH($D28,'Rooms Walls and Glass'!$A$23:$A$30,0), MATCH('Unit 1 b'!U$7,'Rooms Walls and Glass'!$D$1:$AB$1,0))))</f>
        <v/>
      </c>
      <c r="V28" s="70" t="str">
        <f t="shared" si="20"/>
        <v>-</v>
      </c>
      <c r="W28" s="66" t="str">
        <f>IF(W$7="","",IF(INDEX('Rooms Walls and Glass'!$D$23:$AB$30, MATCH($D28,'Rooms Walls and Glass'!$A$23:$A$30,0), MATCH('Unit 1 b'!W$7,'Rooms Walls and Glass'!$D$1:$AB$1,0))=0,"",INDEX('Rooms Walls and Glass'!$D$23:$AB$30, MATCH($D28,'Rooms Walls and Glass'!$A$23:$A$30,0), MATCH('Unit 1 b'!W$7,'Rooms Walls and Glass'!$D$1:$AB$1,0))))</f>
        <v/>
      </c>
      <c r="X28" s="70" t="str">
        <f t="shared" si="21"/>
        <v>-</v>
      </c>
      <c r="Y28" s="66" t="str">
        <f>IF(Y$7="","",IF(INDEX('Rooms Walls and Glass'!$D$23:$AB$30, MATCH($D28,'Rooms Walls and Glass'!$A$23:$A$30,0), MATCH('Unit 1 b'!Y$7,'Rooms Walls and Glass'!$D$1:$AB$1,0))=0,"",INDEX('Rooms Walls and Glass'!$D$23:$AB$30, MATCH($D28,'Rooms Walls and Glass'!$A$23:$A$30,0), MATCH('Unit 1 b'!Y$7,'Rooms Walls and Glass'!$D$1:$AB$1,0))))</f>
        <v/>
      </c>
      <c r="Z28" s="70" t="str">
        <f t="shared" si="22"/>
        <v>-</v>
      </c>
      <c r="AA28" s="66" t="str">
        <f>IF(AA$7="","",IF(INDEX('Rooms Walls and Glass'!$D$23:$AB$30, MATCH($D28,'Rooms Walls and Glass'!$A$23:$A$30,0), MATCH('Unit 1 b'!AA$7,'Rooms Walls and Glass'!$D$1:$AB$1,0))=0,"",INDEX('Rooms Walls and Glass'!$D$23:$AB$30, MATCH($D28,'Rooms Walls and Glass'!$A$23:$A$30,0), MATCH('Unit 1 b'!AA$7,'Rooms Walls and Glass'!$D$1:$AB$1,0))))</f>
        <v/>
      </c>
      <c r="AB28" s="70" t="str">
        <f t="shared" si="23"/>
        <v>-</v>
      </c>
      <c r="AC28" s="66" t="str">
        <f>IF(AC$7="","",IF(INDEX('Rooms Walls and Glass'!$D$23:$AB$30, MATCH($D28,'Rooms Walls and Glass'!$A$23:$A$30,0), MATCH('Unit 1 b'!AC$7,'Rooms Walls and Glass'!$D$1:$AB$1,0))=0,"",INDEX('Rooms Walls and Glass'!$D$23:$AB$30, MATCH($D28,'Rooms Walls and Glass'!$A$23:$A$30,0), MATCH('Unit 1 b'!AC$7,'Rooms Walls and Glass'!$D$1:$AB$1,0))))</f>
        <v/>
      </c>
      <c r="AD28" s="70" t="str">
        <f t="shared" si="30"/>
        <v>-</v>
      </c>
      <c r="AE28" s="66" t="str">
        <f>IF(AE$7="","",IF(INDEX('Rooms Walls and Glass'!$D$23:$AB$30, MATCH($D28,'Rooms Walls and Glass'!$A$23:$A$30,0), MATCH('Unit 1 b'!AE$7,'Rooms Walls and Glass'!$D$1:$AB$1,0))=0,"",INDEX('Rooms Walls and Glass'!$D$23:$AB$30, MATCH($D28,'Rooms Walls and Glass'!$A$23:$A$30,0), MATCH('Unit 1 b'!AE$7,'Rooms Walls and Glass'!$D$1:$AB$1,0))))</f>
        <v/>
      </c>
      <c r="AF28" s="70" t="str">
        <f t="shared" si="31"/>
        <v>-</v>
      </c>
      <c r="AG28" s="66" t="str">
        <f>IF(AG$7="","",IF(INDEX('Rooms Walls and Glass'!$D$23:$AB$30, MATCH($D28,'Rooms Walls and Glass'!$A$23:$A$30,0), MATCH('Unit 1 b'!AG$7,'Rooms Walls and Glass'!$D$1:$AB$1,0))=0,"",INDEX('Rooms Walls and Glass'!$D$23:$AB$30, MATCH($D28,'Rooms Walls and Glass'!$A$23:$A$30,0), MATCH('Unit 1 b'!AG$7,'Rooms Walls and Glass'!$D$1:$AB$1,0))))</f>
        <v/>
      </c>
      <c r="AH28" s="70" t="str">
        <f t="shared" si="25"/>
        <v>-</v>
      </c>
      <c r="AI28" s="66" t="str">
        <f>IF(AI$7="","",IF(INDEX('Rooms Walls and Glass'!$D$23:$AB$30, MATCH($D28,'Rooms Walls and Glass'!$A$23:$A$30,0), MATCH('Unit 1 b'!AI$7,'Rooms Walls and Glass'!$D$1:$AB$1,0))=0,"",INDEX('Rooms Walls and Glass'!$D$23:$AB$30, MATCH($D28,'Rooms Walls and Glass'!$A$23:$A$30,0), MATCH('Unit 1 b'!AI$7,'Rooms Walls and Glass'!$D$1:$AB$1,0))))</f>
        <v/>
      </c>
      <c r="AJ28" s="71" t="str">
        <f t="shared" si="26"/>
        <v>-</v>
      </c>
      <c r="AK28" s="66" t="str">
        <f>IF(AK$7="","",IF(INDEX('Rooms Walls and Glass'!$D$23:$AB$30, MATCH($D28,'Rooms Walls and Glass'!$A$23:$A$30,0), MATCH('Unit 1 b'!AK$7,'Rooms Walls and Glass'!$D$1:$AB$1,0))=0,"",INDEX('Rooms Walls and Glass'!$D$23:$AB$30, MATCH($D28,'Rooms Walls and Glass'!$A$23:$A$30,0), MATCH('Unit 1 b'!AK$7,'Rooms Walls and Glass'!$D$1:$AB$1,0))))</f>
        <v/>
      </c>
      <c r="AL28" s="70" t="str">
        <f t="shared" si="27"/>
        <v>-</v>
      </c>
      <c r="AM28" s="66" t="str">
        <f>IF(AM$7="","",IF(INDEX('Rooms Walls and Glass'!$D$23:$AB$30, MATCH($D28,'Rooms Walls and Glass'!$A$23:$A$30,0), MATCH('Unit 1 b'!AM$7,'Rooms Walls and Glass'!$D$1:$AB$1,0))=0,"",INDEX('Rooms Walls and Glass'!$D$23:$AB$30, MATCH($D28,'Rooms Walls and Glass'!$A$23:$A$30,0), MATCH('Unit 1 b'!AM$7,'Rooms Walls and Glass'!$D$1:$AB$1,0))))</f>
        <v/>
      </c>
      <c r="AN28" s="71" t="str">
        <f t="shared" si="28"/>
        <v>-</v>
      </c>
    </row>
    <row r="29" spans="2:40" ht="11.25" customHeight="1" thickBot="1" x14ac:dyDescent="0.2">
      <c r="B29" s="212" t="s">
        <v>78</v>
      </c>
      <c r="C29" s="12" t="s">
        <v>38</v>
      </c>
      <c r="D29" s="13" t="str">
        <f>'Rooms Walls and Glass'!A35</f>
        <v>NorthWest</v>
      </c>
      <c r="E29" s="13">
        <f>INDEX('Glass CLF Calculation'!$A$20:$G$27,MATCH('Unit 1 b'!D29,'Glass CLF Calculation'!$A$20:$A$27,0),7)</f>
        <v>19</v>
      </c>
      <c r="F29" s="14">
        <f>INDEX(Summary!$F$19:$F$30,MATCH('Unit 1 b'!C29,Summary!$D$19:$D$30,0))</f>
        <v>7.6999999999999999E-2</v>
      </c>
      <c r="G29" s="14">
        <f t="shared" si="29"/>
        <v>1.4630000000000001</v>
      </c>
      <c r="H29" s="13" t="s">
        <v>6</v>
      </c>
      <c r="I29" s="65">
        <f t="shared" si="13"/>
        <v>0</v>
      </c>
      <c r="J29" s="65">
        <f t="shared" si="14"/>
        <v>0</v>
      </c>
      <c r="K29" s="66" t="str">
        <f>IF(K$7="","",IF(INDEX('Rooms Walls and Glass'!$D$35:$AB$42, MATCH($D29,'Rooms Walls and Glass'!$A$35:$A$42,0), MATCH('Unit 1 b'!K$7,'Rooms Walls and Glass'!$D$1:$AB$1,0))=0,"",INDEX('Rooms Walls and Glass'!$D$35:$AB$42, MATCH($D29,'Rooms Walls and Glass'!$A$35:$A$42,0), MATCH('Unit 1 b'!K$7,'Rooms Walls and Glass'!$D$1:$AB$1,0))))</f>
        <v/>
      </c>
      <c r="L29" s="65" t="str">
        <f t="shared" si="15"/>
        <v>-</v>
      </c>
      <c r="M29" s="66" t="str">
        <f>IF(M$7="","",IF(INDEX('Rooms Walls and Glass'!$D$35:$AB$42, MATCH($D29,'Rooms Walls and Glass'!$A$35:$A$42,0), MATCH('Unit 1 b'!M$7,'Rooms Walls and Glass'!$D$1:$AB$1,0))=0,"",INDEX('Rooms Walls and Glass'!$D$35:$AB$42, MATCH($D29,'Rooms Walls and Glass'!$A$35:$A$42,0), MATCH('Unit 1 b'!M$7,'Rooms Walls and Glass'!$D$1:$AB$1,0))))</f>
        <v/>
      </c>
      <c r="N29" s="65" t="str">
        <f t="shared" si="16"/>
        <v>-</v>
      </c>
      <c r="O29" s="66" t="str">
        <f>IF(O$7="","",IF(INDEX('Rooms Walls and Glass'!$D$35:$AB$42, MATCH($D29,'Rooms Walls and Glass'!$A$35:$A$42,0), MATCH('Unit 1 b'!O$7,'Rooms Walls and Glass'!$D$1:$AB$1,0))=0,"",INDEX('Rooms Walls and Glass'!$D$35:$AB$42, MATCH($D29,'Rooms Walls and Glass'!$A$35:$A$42,0), MATCH('Unit 1 b'!O$7,'Rooms Walls and Glass'!$D$1:$AB$1,0))))</f>
        <v/>
      </c>
      <c r="P29" s="65" t="str">
        <f t="shared" si="17"/>
        <v>-</v>
      </c>
      <c r="Q29" s="66" t="str">
        <f>IF(Q$7="","",IF(INDEX('Rooms Walls and Glass'!$D$35:$AB$42, MATCH($D29,'Rooms Walls and Glass'!$A$35:$A$42,0), MATCH('Unit 1 b'!Q$7,'Rooms Walls and Glass'!$D$1:$AB$1,0))=0,"",INDEX('Rooms Walls and Glass'!$D$35:$AB$42, MATCH($D29,'Rooms Walls and Glass'!$A$35:$A$42,0), MATCH('Unit 1 b'!Q$7,'Rooms Walls and Glass'!$D$1:$AB$1,0))))</f>
        <v/>
      </c>
      <c r="R29" s="65" t="str">
        <f t="shared" si="18"/>
        <v>-</v>
      </c>
      <c r="S29" s="66" t="str">
        <f>IF(S$7="","",IF(INDEX('Rooms Walls and Glass'!$D$35:$AB$42, MATCH($D29,'Rooms Walls and Glass'!$A$35:$A$42,0), MATCH('Unit 1 b'!S$7,'Rooms Walls and Glass'!$D$1:$AB$1,0))=0,"",INDEX('Rooms Walls and Glass'!$D$35:$AB$42, MATCH($D29,'Rooms Walls and Glass'!$A$35:$A$42,0), MATCH('Unit 1 b'!S$7,'Rooms Walls and Glass'!$D$1:$AB$1,0))))</f>
        <v/>
      </c>
      <c r="T29" s="65" t="str">
        <f t="shared" si="19"/>
        <v>-</v>
      </c>
      <c r="U29" s="66" t="str">
        <f>IF(U$7="","",IF(INDEX('Rooms Walls and Glass'!$D$35:$AB$42, MATCH($D29,'Rooms Walls and Glass'!$A$35:$A$42,0), MATCH('Unit 1 b'!U$7,'Rooms Walls and Glass'!$D$1:$AB$1,0))=0,"",INDEX('Rooms Walls and Glass'!$D$35:$AB$42, MATCH($D29,'Rooms Walls and Glass'!$A$35:$A$42,0), MATCH('Unit 1 b'!U$7,'Rooms Walls and Glass'!$D$1:$AB$1,0))))</f>
        <v/>
      </c>
      <c r="V29" s="65" t="str">
        <f t="shared" si="20"/>
        <v>-</v>
      </c>
      <c r="W29" s="66" t="str">
        <f>IF(W$7="","",IF(INDEX('Rooms Walls and Glass'!$D$35:$AB$42, MATCH($D29,'Rooms Walls and Glass'!$A$35:$A$42,0), MATCH('Unit 1 b'!W$7,'Rooms Walls and Glass'!$D$1:$AB$1,0))=0,"",INDEX('Rooms Walls and Glass'!$D$35:$AB$42, MATCH($D29,'Rooms Walls and Glass'!$A$35:$A$42,0), MATCH('Unit 1 b'!W$7,'Rooms Walls and Glass'!$D$1:$AB$1,0))))</f>
        <v/>
      </c>
      <c r="X29" s="65" t="str">
        <f t="shared" si="21"/>
        <v>-</v>
      </c>
      <c r="Y29" s="66" t="str">
        <f>IF(Y$7="","",IF(INDEX('Rooms Walls and Glass'!$D$35:$AB$42, MATCH($D29,'Rooms Walls and Glass'!$A$35:$A$42,0), MATCH('Unit 1 b'!Y$7,'Rooms Walls and Glass'!$D$1:$AB$1,0))=0,"",INDEX('Rooms Walls and Glass'!$D$35:$AB$42, MATCH($D29,'Rooms Walls and Glass'!$A$35:$A$42,0), MATCH('Unit 1 b'!Y$7,'Rooms Walls and Glass'!$D$1:$AB$1,0))))</f>
        <v/>
      </c>
      <c r="Z29" s="65" t="str">
        <f t="shared" si="22"/>
        <v>-</v>
      </c>
      <c r="AA29" s="66" t="str">
        <f>IF(AA$7="","",IF(INDEX('Rooms Walls and Glass'!$D$35:$AB$42, MATCH($D29,'Rooms Walls and Glass'!$A$35:$A$42,0), MATCH('Unit 1 b'!AA$7,'Rooms Walls and Glass'!$D$1:$AB$1,0))=0,"",INDEX('Rooms Walls and Glass'!$D$35:$AB$42, MATCH($D29,'Rooms Walls and Glass'!$A$35:$A$42,0), MATCH('Unit 1 b'!AA$7,'Rooms Walls and Glass'!$D$1:$AB$1,0))))</f>
        <v/>
      </c>
      <c r="AB29" s="65" t="str">
        <f t="shared" si="23"/>
        <v>-</v>
      </c>
      <c r="AC29" s="66" t="str">
        <f>IF(AC$7="","",IF(INDEX('Rooms Walls and Glass'!$D$35:$AB$42, MATCH($D29,'Rooms Walls and Glass'!$A$35:$A$42,0), MATCH('Unit 1 b'!AC$7,'Rooms Walls and Glass'!$D$1:$AB$1,0))=0,"",INDEX('Rooms Walls and Glass'!$D$35:$AB$42, MATCH($D29,'Rooms Walls and Glass'!$A$35:$A$42,0), MATCH('Unit 1 b'!AC$7,'Rooms Walls and Glass'!$D$1:$AB$1,0))))</f>
        <v/>
      </c>
      <c r="AD29" s="65" t="str">
        <f t="shared" si="30"/>
        <v>-</v>
      </c>
      <c r="AE29" s="66" t="str">
        <f>IF(AE$7="","",IF(INDEX('Rooms Walls and Glass'!$D$35:$AB$42, MATCH($D29,'Rooms Walls and Glass'!$A$35:$A$42,0), MATCH('Unit 1 b'!AE$7,'Rooms Walls and Glass'!$D$1:$AB$1,0))=0,"",INDEX('Rooms Walls and Glass'!$D$35:$AB$42, MATCH($D29,'Rooms Walls and Glass'!$A$35:$A$42,0), MATCH('Unit 1 b'!AE$7,'Rooms Walls and Glass'!$D$1:$AB$1,0))))</f>
        <v/>
      </c>
      <c r="AF29" s="65" t="str">
        <f t="shared" si="31"/>
        <v>-</v>
      </c>
      <c r="AG29" s="66" t="str">
        <f>IF(AG$7="","",IF(INDEX('Rooms Walls and Glass'!$D$35:$AB$42, MATCH($D29,'Rooms Walls and Glass'!$A$35:$A$42,0), MATCH('Unit 1 b'!AG$7,'Rooms Walls and Glass'!$D$1:$AB$1,0))=0,"",INDEX('Rooms Walls and Glass'!$D$35:$AB$42, MATCH($D29,'Rooms Walls and Glass'!$A$35:$A$42,0), MATCH('Unit 1 b'!AG$7,'Rooms Walls and Glass'!$D$1:$AB$1,0))))</f>
        <v/>
      </c>
      <c r="AH29" s="65" t="str">
        <f t="shared" si="25"/>
        <v>-</v>
      </c>
      <c r="AI29" s="66" t="str">
        <f>IF(AI$7="","",IF(INDEX('Rooms Walls and Glass'!$D$35:$AB$42, MATCH($D29,'Rooms Walls and Glass'!$A$35:$A$42,0), MATCH('Unit 1 b'!AI$7,'Rooms Walls and Glass'!$D$1:$AB$1,0))=0,"",INDEX('Rooms Walls and Glass'!$D$35:$AB$42, MATCH($D29,'Rooms Walls and Glass'!$A$35:$A$42,0), MATCH('Unit 1 b'!AI$7,'Rooms Walls and Glass'!$D$1:$AB$1,0))))</f>
        <v/>
      </c>
      <c r="AJ29" s="67" t="str">
        <f t="shared" si="26"/>
        <v>-</v>
      </c>
      <c r="AK29" s="66" t="str">
        <f>IF(AK$7="","",IF(INDEX('Rooms Walls and Glass'!$D$35:$AB$42, MATCH($D29,'Rooms Walls and Glass'!$A$35:$A$42,0), MATCH('Unit 1 b'!AK$7,'Rooms Walls and Glass'!$D$1:$AB$1,0))=0,"",INDEX('Rooms Walls and Glass'!$D$35:$AB$42, MATCH($D29,'Rooms Walls and Glass'!$A$35:$A$42,0), MATCH('Unit 1 b'!AK$7,'Rooms Walls and Glass'!$D$1:$AB$1,0))))</f>
        <v/>
      </c>
      <c r="AL29" s="65" t="str">
        <f t="shared" si="27"/>
        <v>-</v>
      </c>
      <c r="AM29" s="66" t="str">
        <f>IF(AM$7="","",IF(INDEX('Rooms Walls and Glass'!$D$35:$AB$42, MATCH($D29,'Rooms Walls and Glass'!$A$35:$A$42,0), MATCH('Unit 1 b'!AM$7,'Rooms Walls and Glass'!$D$1:$AB$1,0))=0,"",INDEX('Rooms Walls and Glass'!$D$35:$AB$42, MATCH($D29,'Rooms Walls and Glass'!$A$35:$A$42,0), MATCH('Unit 1 b'!AM$7,'Rooms Walls and Glass'!$D$1:$AB$1,0))))</f>
        <v/>
      </c>
      <c r="AN29" s="67" t="str">
        <f t="shared" si="28"/>
        <v>-</v>
      </c>
    </row>
    <row r="30" spans="2:40" ht="11.25" customHeight="1" thickBot="1" x14ac:dyDescent="0.2">
      <c r="B30" s="214"/>
      <c r="C30" s="15" t="s">
        <v>38</v>
      </c>
      <c r="D30" s="13" t="str">
        <f>'Rooms Walls and Glass'!A36</f>
        <v>North</v>
      </c>
      <c r="E30" s="13">
        <f>INDEX('Glass CLF Calculation'!$A$20:$G$27,MATCH('Unit 1 b'!D30,'Glass CLF Calculation'!$A$20:$A$27,0),7)</f>
        <v>13</v>
      </c>
      <c r="F30" s="14">
        <f>INDEX(Summary!$F$19:$F$30,MATCH('Unit 1 b'!C30,Summary!$D$19:$D$30,0))</f>
        <v>7.6999999999999999E-2</v>
      </c>
      <c r="G30" s="14">
        <f t="shared" si="29"/>
        <v>1.0009999999999999</v>
      </c>
      <c r="H30" s="16" t="s">
        <v>6</v>
      </c>
      <c r="I30" s="65">
        <f t="shared" si="13"/>
        <v>0</v>
      </c>
      <c r="J30" s="68">
        <f t="shared" si="14"/>
        <v>0</v>
      </c>
      <c r="K30" s="66" t="str">
        <f>IF(K$7="","",IF(INDEX('Rooms Walls and Glass'!$D$35:$AB$42, MATCH($D30,'Rooms Walls and Glass'!$A$35:$A$42,0), MATCH('Unit 1 b'!K$7,'Rooms Walls and Glass'!$D$1:$AB$1,0))=0,"",INDEX('Rooms Walls and Glass'!$D$35:$AB$42, MATCH($D30,'Rooms Walls and Glass'!$A$35:$A$42,0), MATCH('Unit 1 b'!K$7,'Rooms Walls and Glass'!$D$1:$AB$1,0))))</f>
        <v/>
      </c>
      <c r="L30" s="68" t="str">
        <f t="shared" si="15"/>
        <v>-</v>
      </c>
      <c r="M30" s="66" t="str">
        <f>IF(M$7="","",IF(INDEX('Rooms Walls and Glass'!$D$35:$AB$42, MATCH($D30,'Rooms Walls and Glass'!$A$35:$A$42,0), MATCH('Unit 1 b'!M$7,'Rooms Walls and Glass'!$D$1:$AB$1,0))=0,"",INDEX('Rooms Walls and Glass'!$D$35:$AB$42, MATCH($D30,'Rooms Walls and Glass'!$A$35:$A$42,0), MATCH('Unit 1 b'!M$7,'Rooms Walls and Glass'!$D$1:$AB$1,0))))</f>
        <v/>
      </c>
      <c r="N30" s="68" t="str">
        <f t="shared" si="16"/>
        <v>-</v>
      </c>
      <c r="O30" s="66" t="str">
        <f>IF(O$7="","",IF(INDEX('Rooms Walls and Glass'!$D$35:$AB$42, MATCH($D30,'Rooms Walls and Glass'!$A$35:$A$42,0), MATCH('Unit 1 b'!O$7,'Rooms Walls and Glass'!$D$1:$AB$1,0))=0,"",INDEX('Rooms Walls and Glass'!$D$35:$AB$42, MATCH($D30,'Rooms Walls and Glass'!$A$35:$A$42,0), MATCH('Unit 1 b'!O$7,'Rooms Walls and Glass'!$D$1:$AB$1,0))))</f>
        <v/>
      </c>
      <c r="P30" s="68" t="str">
        <f t="shared" si="17"/>
        <v>-</v>
      </c>
      <c r="Q30" s="66" t="str">
        <f>IF(Q$7="","",IF(INDEX('Rooms Walls and Glass'!$D$35:$AB$42, MATCH($D30,'Rooms Walls and Glass'!$A$35:$A$42,0), MATCH('Unit 1 b'!Q$7,'Rooms Walls and Glass'!$D$1:$AB$1,0))=0,"",INDEX('Rooms Walls and Glass'!$D$35:$AB$42, MATCH($D30,'Rooms Walls and Glass'!$A$35:$A$42,0), MATCH('Unit 1 b'!Q$7,'Rooms Walls and Glass'!$D$1:$AB$1,0))))</f>
        <v/>
      </c>
      <c r="R30" s="68" t="str">
        <f t="shared" si="18"/>
        <v>-</v>
      </c>
      <c r="S30" s="66" t="str">
        <f>IF(S$7="","",IF(INDEX('Rooms Walls and Glass'!$D$35:$AB$42, MATCH($D30,'Rooms Walls and Glass'!$A$35:$A$42,0), MATCH('Unit 1 b'!S$7,'Rooms Walls and Glass'!$D$1:$AB$1,0))=0,"",INDEX('Rooms Walls and Glass'!$D$35:$AB$42, MATCH($D30,'Rooms Walls and Glass'!$A$35:$A$42,0), MATCH('Unit 1 b'!S$7,'Rooms Walls and Glass'!$D$1:$AB$1,0))))</f>
        <v/>
      </c>
      <c r="T30" s="68" t="str">
        <f t="shared" si="19"/>
        <v>-</v>
      </c>
      <c r="U30" s="66" t="str">
        <f>IF(U$7="","",IF(INDEX('Rooms Walls and Glass'!$D$35:$AB$42, MATCH($D30,'Rooms Walls and Glass'!$A$35:$A$42,0), MATCH('Unit 1 b'!U$7,'Rooms Walls and Glass'!$D$1:$AB$1,0))=0,"",INDEX('Rooms Walls and Glass'!$D$35:$AB$42, MATCH($D30,'Rooms Walls and Glass'!$A$35:$A$42,0), MATCH('Unit 1 b'!U$7,'Rooms Walls and Glass'!$D$1:$AB$1,0))))</f>
        <v/>
      </c>
      <c r="V30" s="68" t="str">
        <f t="shared" si="20"/>
        <v>-</v>
      </c>
      <c r="W30" s="66" t="str">
        <f>IF(W$7="","",IF(INDEX('Rooms Walls and Glass'!$D$35:$AB$42, MATCH($D30,'Rooms Walls and Glass'!$A$35:$A$42,0), MATCH('Unit 1 b'!W$7,'Rooms Walls and Glass'!$D$1:$AB$1,0))=0,"",INDEX('Rooms Walls and Glass'!$D$35:$AB$42, MATCH($D30,'Rooms Walls and Glass'!$A$35:$A$42,0), MATCH('Unit 1 b'!W$7,'Rooms Walls and Glass'!$D$1:$AB$1,0))))</f>
        <v/>
      </c>
      <c r="X30" s="68" t="str">
        <f t="shared" si="21"/>
        <v>-</v>
      </c>
      <c r="Y30" s="66" t="str">
        <f>IF(Y$7="","",IF(INDEX('Rooms Walls and Glass'!$D$35:$AB$42, MATCH($D30,'Rooms Walls and Glass'!$A$35:$A$42,0), MATCH('Unit 1 b'!Y$7,'Rooms Walls and Glass'!$D$1:$AB$1,0))=0,"",INDEX('Rooms Walls and Glass'!$D$35:$AB$42, MATCH($D30,'Rooms Walls and Glass'!$A$35:$A$42,0), MATCH('Unit 1 b'!Y$7,'Rooms Walls and Glass'!$D$1:$AB$1,0))))</f>
        <v/>
      </c>
      <c r="Z30" s="68" t="str">
        <f t="shared" si="22"/>
        <v>-</v>
      </c>
      <c r="AA30" s="66" t="str">
        <f>IF(AA$7="","",IF(INDEX('Rooms Walls and Glass'!$D$35:$AB$42, MATCH($D30,'Rooms Walls and Glass'!$A$35:$A$42,0), MATCH('Unit 1 b'!AA$7,'Rooms Walls and Glass'!$D$1:$AB$1,0))=0,"",INDEX('Rooms Walls and Glass'!$D$35:$AB$42, MATCH($D30,'Rooms Walls and Glass'!$A$35:$A$42,0), MATCH('Unit 1 b'!AA$7,'Rooms Walls and Glass'!$D$1:$AB$1,0))))</f>
        <v/>
      </c>
      <c r="AB30" s="68" t="str">
        <f t="shared" si="23"/>
        <v>-</v>
      </c>
      <c r="AC30" s="66" t="str">
        <f>IF(AC$7="","",IF(INDEX('Rooms Walls and Glass'!$D$35:$AB$42, MATCH($D30,'Rooms Walls and Glass'!$A$35:$A$42,0), MATCH('Unit 1 b'!AC$7,'Rooms Walls and Glass'!$D$1:$AB$1,0))=0,"",INDEX('Rooms Walls and Glass'!$D$35:$AB$42, MATCH($D30,'Rooms Walls and Glass'!$A$35:$A$42,0), MATCH('Unit 1 b'!AC$7,'Rooms Walls and Glass'!$D$1:$AB$1,0))))</f>
        <v/>
      </c>
      <c r="AD30" s="68" t="str">
        <f t="shared" si="30"/>
        <v>-</v>
      </c>
      <c r="AE30" s="66" t="str">
        <f>IF(AE$7="","",IF(INDEX('Rooms Walls and Glass'!$D$35:$AB$42, MATCH($D30,'Rooms Walls and Glass'!$A$35:$A$42,0), MATCH('Unit 1 b'!AE$7,'Rooms Walls and Glass'!$D$1:$AB$1,0))=0,"",INDEX('Rooms Walls and Glass'!$D$35:$AB$42, MATCH($D30,'Rooms Walls and Glass'!$A$35:$A$42,0), MATCH('Unit 1 b'!AE$7,'Rooms Walls and Glass'!$D$1:$AB$1,0))))</f>
        <v/>
      </c>
      <c r="AF30" s="68" t="str">
        <f t="shared" si="31"/>
        <v>-</v>
      </c>
      <c r="AG30" s="66" t="str">
        <f>IF(AG$7="","",IF(INDEX('Rooms Walls and Glass'!$D$35:$AB$42, MATCH($D30,'Rooms Walls and Glass'!$A$35:$A$42,0), MATCH('Unit 1 b'!AG$7,'Rooms Walls and Glass'!$D$1:$AB$1,0))=0,"",INDEX('Rooms Walls and Glass'!$D$35:$AB$42, MATCH($D30,'Rooms Walls and Glass'!$A$35:$A$42,0), MATCH('Unit 1 b'!AG$7,'Rooms Walls and Glass'!$D$1:$AB$1,0))))</f>
        <v/>
      </c>
      <c r="AH30" s="68" t="str">
        <f t="shared" si="25"/>
        <v>-</v>
      </c>
      <c r="AI30" s="66" t="str">
        <f>IF(AI$7="","",IF(INDEX('Rooms Walls and Glass'!$D$35:$AB$42, MATCH($D30,'Rooms Walls and Glass'!$A$35:$A$42,0), MATCH('Unit 1 b'!AI$7,'Rooms Walls and Glass'!$D$1:$AB$1,0))=0,"",INDEX('Rooms Walls and Glass'!$D$35:$AB$42, MATCH($D30,'Rooms Walls and Glass'!$A$35:$A$42,0), MATCH('Unit 1 b'!AI$7,'Rooms Walls and Glass'!$D$1:$AB$1,0))))</f>
        <v/>
      </c>
      <c r="AJ30" s="69" t="str">
        <f t="shared" si="26"/>
        <v>-</v>
      </c>
      <c r="AK30" s="66" t="str">
        <f>IF(AK$7="","",IF(INDEX('Rooms Walls and Glass'!$D$35:$AB$42, MATCH($D30,'Rooms Walls and Glass'!$A$35:$A$42,0), MATCH('Unit 1 b'!AK$7,'Rooms Walls and Glass'!$D$1:$AB$1,0))=0,"",INDEX('Rooms Walls and Glass'!$D$35:$AB$42, MATCH($D30,'Rooms Walls and Glass'!$A$35:$A$42,0), MATCH('Unit 1 b'!AK$7,'Rooms Walls and Glass'!$D$1:$AB$1,0))))</f>
        <v/>
      </c>
      <c r="AL30" s="68" t="str">
        <f t="shared" si="27"/>
        <v>-</v>
      </c>
      <c r="AM30" s="66" t="str">
        <f>IF(AM$7="","",IF(INDEX('Rooms Walls and Glass'!$D$35:$AB$42, MATCH($D30,'Rooms Walls and Glass'!$A$35:$A$42,0), MATCH('Unit 1 b'!AM$7,'Rooms Walls and Glass'!$D$1:$AB$1,0))=0,"",INDEX('Rooms Walls and Glass'!$D$35:$AB$42, MATCH($D30,'Rooms Walls and Glass'!$A$35:$A$42,0), MATCH('Unit 1 b'!AM$7,'Rooms Walls and Glass'!$D$1:$AB$1,0))))</f>
        <v/>
      </c>
      <c r="AN30" s="69" t="str">
        <f t="shared" si="28"/>
        <v>-</v>
      </c>
    </row>
    <row r="31" spans="2:40" ht="11.25" customHeight="1" thickBot="1" x14ac:dyDescent="0.2">
      <c r="B31" s="214"/>
      <c r="C31" s="15" t="s">
        <v>38</v>
      </c>
      <c r="D31" s="13" t="str">
        <f>'Rooms Walls and Glass'!A37</f>
        <v>NorthEast</v>
      </c>
      <c r="E31" s="13">
        <f>INDEX('Glass CLF Calculation'!$A$20:$G$27,MATCH('Unit 1 b'!D31,'Glass CLF Calculation'!$A$20:$A$27,0),7)</f>
        <v>19</v>
      </c>
      <c r="F31" s="14">
        <f>INDEX(Summary!$F$19:$F$30,MATCH('Unit 1 b'!C31,Summary!$D$19:$D$30,0))</f>
        <v>7.6999999999999999E-2</v>
      </c>
      <c r="G31" s="14">
        <f t="shared" si="29"/>
        <v>1.4630000000000001</v>
      </c>
      <c r="H31" s="16" t="s">
        <v>6</v>
      </c>
      <c r="I31" s="65">
        <f t="shared" si="13"/>
        <v>0</v>
      </c>
      <c r="J31" s="68">
        <f t="shared" si="14"/>
        <v>0</v>
      </c>
      <c r="K31" s="66" t="str">
        <f>IF(K$7="","",IF(INDEX('Rooms Walls and Glass'!$D$35:$AB$42, MATCH($D31,'Rooms Walls and Glass'!$A$35:$A$42,0), MATCH('Unit 1 b'!K$7,'Rooms Walls and Glass'!$D$1:$AB$1,0))=0,"",INDEX('Rooms Walls and Glass'!$D$35:$AB$42, MATCH($D31,'Rooms Walls and Glass'!$A$35:$A$42,0), MATCH('Unit 1 b'!K$7,'Rooms Walls and Glass'!$D$1:$AB$1,0))))</f>
        <v/>
      </c>
      <c r="L31" s="68" t="str">
        <f t="shared" si="15"/>
        <v>-</v>
      </c>
      <c r="M31" s="66" t="str">
        <f>IF(M$7="","",IF(INDEX('Rooms Walls and Glass'!$D$35:$AB$42, MATCH($D31,'Rooms Walls and Glass'!$A$35:$A$42,0), MATCH('Unit 1 b'!M$7,'Rooms Walls and Glass'!$D$1:$AB$1,0))=0,"",INDEX('Rooms Walls and Glass'!$D$35:$AB$42, MATCH($D31,'Rooms Walls and Glass'!$A$35:$A$42,0), MATCH('Unit 1 b'!M$7,'Rooms Walls and Glass'!$D$1:$AB$1,0))))</f>
        <v/>
      </c>
      <c r="N31" s="68" t="str">
        <f t="shared" si="16"/>
        <v>-</v>
      </c>
      <c r="O31" s="66" t="str">
        <f>IF(O$7="","",IF(INDEX('Rooms Walls and Glass'!$D$35:$AB$42, MATCH($D31,'Rooms Walls and Glass'!$A$35:$A$42,0), MATCH('Unit 1 b'!O$7,'Rooms Walls and Glass'!$D$1:$AB$1,0))=0,"",INDEX('Rooms Walls and Glass'!$D$35:$AB$42, MATCH($D31,'Rooms Walls and Glass'!$A$35:$A$42,0), MATCH('Unit 1 b'!O$7,'Rooms Walls and Glass'!$D$1:$AB$1,0))))</f>
        <v/>
      </c>
      <c r="P31" s="68" t="str">
        <f t="shared" si="17"/>
        <v>-</v>
      </c>
      <c r="Q31" s="66" t="str">
        <f>IF(Q$7="","",IF(INDEX('Rooms Walls and Glass'!$D$35:$AB$42, MATCH($D31,'Rooms Walls and Glass'!$A$35:$A$42,0), MATCH('Unit 1 b'!Q$7,'Rooms Walls and Glass'!$D$1:$AB$1,0))=0,"",INDEX('Rooms Walls and Glass'!$D$35:$AB$42, MATCH($D31,'Rooms Walls and Glass'!$A$35:$A$42,0), MATCH('Unit 1 b'!Q$7,'Rooms Walls and Glass'!$D$1:$AB$1,0))))</f>
        <v/>
      </c>
      <c r="R31" s="68" t="str">
        <f t="shared" si="18"/>
        <v>-</v>
      </c>
      <c r="S31" s="66" t="str">
        <f>IF(S$7="","",IF(INDEX('Rooms Walls and Glass'!$D$35:$AB$42, MATCH($D31,'Rooms Walls and Glass'!$A$35:$A$42,0), MATCH('Unit 1 b'!S$7,'Rooms Walls and Glass'!$D$1:$AB$1,0))=0,"",INDEX('Rooms Walls and Glass'!$D$35:$AB$42, MATCH($D31,'Rooms Walls and Glass'!$A$35:$A$42,0), MATCH('Unit 1 b'!S$7,'Rooms Walls and Glass'!$D$1:$AB$1,0))))</f>
        <v/>
      </c>
      <c r="T31" s="68" t="str">
        <f t="shared" si="19"/>
        <v>-</v>
      </c>
      <c r="U31" s="66" t="str">
        <f>IF(U$7="","",IF(INDEX('Rooms Walls and Glass'!$D$35:$AB$42, MATCH($D31,'Rooms Walls and Glass'!$A$35:$A$42,0), MATCH('Unit 1 b'!U$7,'Rooms Walls and Glass'!$D$1:$AB$1,0))=0,"",INDEX('Rooms Walls and Glass'!$D$35:$AB$42, MATCH($D31,'Rooms Walls and Glass'!$A$35:$A$42,0), MATCH('Unit 1 b'!U$7,'Rooms Walls and Glass'!$D$1:$AB$1,0))))</f>
        <v/>
      </c>
      <c r="V31" s="68" t="str">
        <f t="shared" si="20"/>
        <v>-</v>
      </c>
      <c r="W31" s="66" t="str">
        <f>IF(W$7="","",IF(INDEX('Rooms Walls and Glass'!$D$35:$AB$42, MATCH($D31,'Rooms Walls and Glass'!$A$35:$A$42,0), MATCH('Unit 1 b'!W$7,'Rooms Walls and Glass'!$D$1:$AB$1,0))=0,"",INDEX('Rooms Walls and Glass'!$D$35:$AB$42, MATCH($D31,'Rooms Walls and Glass'!$A$35:$A$42,0), MATCH('Unit 1 b'!W$7,'Rooms Walls and Glass'!$D$1:$AB$1,0))))</f>
        <v/>
      </c>
      <c r="X31" s="68" t="str">
        <f t="shared" si="21"/>
        <v>-</v>
      </c>
      <c r="Y31" s="66" t="str">
        <f>IF(Y$7="","",IF(INDEX('Rooms Walls and Glass'!$D$35:$AB$42, MATCH($D31,'Rooms Walls and Glass'!$A$35:$A$42,0), MATCH('Unit 1 b'!Y$7,'Rooms Walls and Glass'!$D$1:$AB$1,0))=0,"",INDEX('Rooms Walls and Glass'!$D$35:$AB$42, MATCH($D31,'Rooms Walls and Glass'!$A$35:$A$42,0), MATCH('Unit 1 b'!Y$7,'Rooms Walls and Glass'!$D$1:$AB$1,0))))</f>
        <v/>
      </c>
      <c r="Z31" s="68" t="str">
        <f t="shared" si="22"/>
        <v>-</v>
      </c>
      <c r="AA31" s="66" t="str">
        <f>IF(AA$7="","",IF(INDEX('Rooms Walls and Glass'!$D$35:$AB$42, MATCH($D31,'Rooms Walls and Glass'!$A$35:$A$42,0), MATCH('Unit 1 b'!AA$7,'Rooms Walls and Glass'!$D$1:$AB$1,0))=0,"",INDEX('Rooms Walls and Glass'!$D$35:$AB$42, MATCH($D31,'Rooms Walls and Glass'!$A$35:$A$42,0), MATCH('Unit 1 b'!AA$7,'Rooms Walls and Glass'!$D$1:$AB$1,0))))</f>
        <v/>
      </c>
      <c r="AB31" s="68" t="str">
        <f t="shared" si="23"/>
        <v>-</v>
      </c>
      <c r="AC31" s="66" t="str">
        <f>IF(AC$7="","",IF(INDEX('Rooms Walls and Glass'!$D$35:$AB$42, MATCH($D31,'Rooms Walls and Glass'!$A$35:$A$42,0), MATCH('Unit 1 b'!AC$7,'Rooms Walls and Glass'!$D$1:$AB$1,0))=0,"",INDEX('Rooms Walls and Glass'!$D$35:$AB$42, MATCH($D31,'Rooms Walls and Glass'!$A$35:$A$42,0), MATCH('Unit 1 b'!AC$7,'Rooms Walls and Glass'!$D$1:$AB$1,0))))</f>
        <v/>
      </c>
      <c r="AD31" s="68" t="str">
        <f t="shared" si="30"/>
        <v>-</v>
      </c>
      <c r="AE31" s="66" t="str">
        <f>IF(AE$7="","",IF(INDEX('Rooms Walls and Glass'!$D$35:$AB$42, MATCH($D31,'Rooms Walls and Glass'!$A$35:$A$42,0), MATCH('Unit 1 b'!AE$7,'Rooms Walls and Glass'!$D$1:$AB$1,0))=0,"",INDEX('Rooms Walls and Glass'!$D$35:$AB$42, MATCH($D31,'Rooms Walls and Glass'!$A$35:$A$42,0), MATCH('Unit 1 b'!AE$7,'Rooms Walls and Glass'!$D$1:$AB$1,0))))</f>
        <v/>
      </c>
      <c r="AF31" s="68" t="str">
        <f t="shared" si="31"/>
        <v>-</v>
      </c>
      <c r="AG31" s="66" t="str">
        <f>IF(AG$7="","",IF(INDEX('Rooms Walls and Glass'!$D$35:$AB$42, MATCH($D31,'Rooms Walls and Glass'!$A$35:$A$42,0), MATCH('Unit 1 b'!AG$7,'Rooms Walls and Glass'!$D$1:$AB$1,0))=0,"",INDEX('Rooms Walls and Glass'!$D$35:$AB$42, MATCH($D31,'Rooms Walls and Glass'!$A$35:$A$42,0), MATCH('Unit 1 b'!AG$7,'Rooms Walls and Glass'!$D$1:$AB$1,0))))</f>
        <v/>
      </c>
      <c r="AH31" s="68" t="str">
        <f t="shared" si="25"/>
        <v>-</v>
      </c>
      <c r="AI31" s="66" t="str">
        <f>IF(AI$7="","",IF(INDEX('Rooms Walls and Glass'!$D$35:$AB$42, MATCH($D31,'Rooms Walls and Glass'!$A$35:$A$42,0), MATCH('Unit 1 b'!AI$7,'Rooms Walls and Glass'!$D$1:$AB$1,0))=0,"",INDEX('Rooms Walls and Glass'!$D$35:$AB$42, MATCH($D31,'Rooms Walls and Glass'!$A$35:$A$42,0), MATCH('Unit 1 b'!AI$7,'Rooms Walls and Glass'!$D$1:$AB$1,0))))</f>
        <v/>
      </c>
      <c r="AJ31" s="69" t="str">
        <f t="shared" si="26"/>
        <v>-</v>
      </c>
      <c r="AK31" s="66" t="str">
        <f>IF(AK$7="","",IF(INDEX('Rooms Walls and Glass'!$D$35:$AB$42, MATCH($D31,'Rooms Walls and Glass'!$A$35:$A$42,0), MATCH('Unit 1 b'!AK$7,'Rooms Walls and Glass'!$D$1:$AB$1,0))=0,"",INDEX('Rooms Walls and Glass'!$D$35:$AB$42, MATCH($D31,'Rooms Walls and Glass'!$A$35:$A$42,0), MATCH('Unit 1 b'!AK$7,'Rooms Walls and Glass'!$D$1:$AB$1,0))))</f>
        <v/>
      </c>
      <c r="AL31" s="68" t="str">
        <f t="shared" si="27"/>
        <v>-</v>
      </c>
      <c r="AM31" s="66" t="str">
        <f>IF(AM$7="","",IF(INDEX('Rooms Walls and Glass'!$D$35:$AB$42, MATCH($D31,'Rooms Walls and Glass'!$A$35:$A$42,0), MATCH('Unit 1 b'!AM$7,'Rooms Walls and Glass'!$D$1:$AB$1,0))=0,"",INDEX('Rooms Walls and Glass'!$D$35:$AB$42, MATCH($D31,'Rooms Walls and Glass'!$A$35:$A$42,0), MATCH('Unit 1 b'!AM$7,'Rooms Walls and Glass'!$D$1:$AB$1,0))))</f>
        <v/>
      </c>
      <c r="AN31" s="69" t="str">
        <f t="shared" si="28"/>
        <v>-</v>
      </c>
    </row>
    <row r="32" spans="2:40" ht="11.25" customHeight="1" thickBot="1" x14ac:dyDescent="0.2">
      <c r="B32" s="214"/>
      <c r="C32" s="15" t="s">
        <v>38</v>
      </c>
      <c r="D32" s="13" t="str">
        <f>'Rooms Walls and Glass'!A38</f>
        <v>East</v>
      </c>
      <c r="E32" s="13">
        <f>INDEX('Glass CLF Calculation'!$A$20:$G$27,MATCH('Unit 1 b'!D32,'Glass CLF Calculation'!$A$20:$A$27,0),7)</f>
        <v>23</v>
      </c>
      <c r="F32" s="14">
        <f>INDEX(Summary!$F$19:$F$30,MATCH('Unit 1 b'!C32,Summary!$D$19:$D$30,0))</f>
        <v>7.6999999999999999E-2</v>
      </c>
      <c r="G32" s="14">
        <f t="shared" si="29"/>
        <v>1.7709999999999999</v>
      </c>
      <c r="H32" s="16" t="s">
        <v>6</v>
      </c>
      <c r="I32" s="65">
        <f t="shared" si="13"/>
        <v>0</v>
      </c>
      <c r="J32" s="68">
        <f t="shared" si="14"/>
        <v>0</v>
      </c>
      <c r="K32" s="66" t="str">
        <f>IF(K$7="","",IF(INDEX('Rooms Walls and Glass'!$D$35:$AB$42, MATCH($D32,'Rooms Walls and Glass'!$A$35:$A$42,0), MATCH('Unit 1 b'!K$7,'Rooms Walls and Glass'!$D$1:$AB$1,0))=0,"",INDEX('Rooms Walls and Glass'!$D$35:$AB$42, MATCH($D32,'Rooms Walls and Glass'!$A$35:$A$42,0), MATCH('Unit 1 b'!K$7,'Rooms Walls and Glass'!$D$1:$AB$1,0))))</f>
        <v/>
      </c>
      <c r="L32" s="68" t="str">
        <f t="shared" si="15"/>
        <v>-</v>
      </c>
      <c r="M32" s="66" t="str">
        <f>IF(M$7="","",IF(INDEX('Rooms Walls and Glass'!$D$35:$AB$42, MATCH($D32,'Rooms Walls and Glass'!$A$35:$A$42,0), MATCH('Unit 1 b'!M$7,'Rooms Walls and Glass'!$D$1:$AB$1,0))=0,"",INDEX('Rooms Walls and Glass'!$D$35:$AB$42, MATCH($D32,'Rooms Walls and Glass'!$A$35:$A$42,0), MATCH('Unit 1 b'!M$7,'Rooms Walls and Glass'!$D$1:$AB$1,0))))</f>
        <v/>
      </c>
      <c r="N32" s="68" t="str">
        <f t="shared" si="16"/>
        <v>-</v>
      </c>
      <c r="O32" s="66" t="str">
        <f>IF(O$7="","",IF(INDEX('Rooms Walls and Glass'!$D$35:$AB$42, MATCH($D32,'Rooms Walls and Glass'!$A$35:$A$42,0), MATCH('Unit 1 b'!O$7,'Rooms Walls and Glass'!$D$1:$AB$1,0))=0,"",INDEX('Rooms Walls and Glass'!$D$35:$AB$42, MATCH($D32,'Rooms Walls and Glass'!$A$35:$A$42,0), MATCH('Unit 1 b'!O$7,'Rooms Walls and Glass'!$D$1:$AB$1,0))))</f>
        <v/>
      </c>
      <c r="P32" s="68" t="str">
        <f t="shared" si="17"/>
        <v>-</v>
      </c>
      <c r="Q32" s="66" t="str">
        <f>IF(Q$7="","",IF(INDEX('Rooms Walls and Glass'!$D$35:$AB$42, MATCH($D32,'Rooms Walls and Glass'!$A$35:$A$42,0), MATCH('Unit 1 b'!Q$7,'Rooms Walls and Glass'!$D$1:$AB$1,0))=0,"",INDEX('Rooms Walls and Glass'!$D$35:$AB$42, MATCH($D32,'Rooms Walls and Glass'!$A$35:$A$42,0), MATCH('Unit 1 b'!Q$7,'Rooms Walls and Glass'!$D$1:$AB$1,0))))</f>
        <v/>
      </c>
      <c r="R32" s="68" t="str">
        <f t="shared" si="18"/>
        <v>-</v>
      </c>
      <c r="S32" s="66" t="str">
        <f>IF(S$7="","",IF(INDEX('Rooms Walls and Glass'!$D$35:$AB$42, MATCH($D32,'Rooms Walls and Glass'!$A$35:$A$42,0), MATCH('Unit 1 b'!S$7,'Rooms Walls and Glass'!$D$1:$AB$1,0))=0,"",INDEX('Rooms Walls and Glass'!$D$35:$AB$42, MATCH($D32,'Rooms Walls and Glass'!$A$35:$A$42,0), MATCH('Unit 1 b'!S$7,'Rooms Walls and Glass'!$D$1:$AB$1,0))))</f>
        <v/>
      </c>
      <c r="T32" s="68" t="str">
        <f t="shared" si="19"/>
        <v>-</v>
      </c>
      <c r="U32" s="66" t="str">
        <f>IF(U$7="","",IF(INDEX('Rooms Walls and Glass'!$D$35:$AB$42, MATCH($D32,'Rooms Walls and Glass'!$A$35:$A$42,0), MATCH('Unit 1 b'!U$7,'Rooms Walls and Glass'!$D$1:$AB$1,0))=0,"",INDEX('Rooms Walls and Glass'!$D$35:$AB$42, MATCH($D32,'Rooms Walls and Glass'!$A$35:$A$42,0), MATCH('Unit 1 b'!U$7,'Rooms Walls and Glass'!$D$1:$AB$1,0))))</f>
        <v/>
      </c>
      <c r="V32" s="68" t="str">
        <f t="shared" si="20"/>
        <v>-</v>
      </c>
      <c r="W32" s="66" t="str">
        <f>IF(W$7="","",IF(INDEX('Rooms Walls and Glass'!$D$35:$AB$42, MATCH($D32,'Rooms Walls and Glass'!$A$35:$A$42,0), MATCH('Unit 1 b'!W$7,'Rooms Walls and Glass'!$D$1:$AB$1,0))=0,"",INDEX('Rooms Walls and Glass'!$D$35:$AB$42, MATCH($D32,'Rooms Walls and Glass'!$A$35:$A$42,0), MATCH('Unit 1 b'!W$7,'Rooms Walls and Glass'!$D$1:$AB$1,0))))</f>
        <v/>
      </c>
      <c r="X32" s="68" t="str">
        <f t="shared" si="21"/>
        <v>-</v>
      </c>
      <c r="Y32" s="66" t="str">
        <f>IF(Y$7="","",IF(INDEX('Rooms Walls and Glass'!$D$35:$AB$42, MATCH($D32,'Rooms Walls and Glass'!$A$35:$A$42,0), MATCH('Unit 1 b'!Y$7,'Rooms Walls and Glass'!$D$1:$AB$1,0))=0,"",INDEX('Rooms Walls and Glass'!$D$35:$AB$42, MATCH($D32,'Rooms Walls and Glass'!$A$35:$A$42,0), MATCH('Unit 1 b'!Y$7,'Rooms Walls and Glass'!$D$1:$AB$1,0))))</f>
        <v/>
      </c>
      <c r="Z32" s="68" t="str">
        <f t="shared" si="22"/>
        <v>-</v>
      </c>
      <c r="AA32" s="66" t="str">
        <f>IF(AA$7="","",IF(INDEX('Rooms Walls and Glass'!$D$35:$AB$42, MATCH($D32,'Rooms Walls and Glass'!$A$35:$A$42,0), MATCH('Unit 1 b'!AA$7,'Rooms Walls and Glass'!$D$1:$AB$1,0))=0,"",INDEX('Rooms Walls and Glass'!$D$35:$AB$42, MATCH($D32,'Rooms Walls and Glass'!$A$35:$A$42,0), MATCH('Unit 1 b'!AA$7,'Rooms Walls and Glass'!$D$1:$AB$1,0))))</f>
        <v/>
      </c>
      <c r="AB32" s="68" t="str">
        <f t="shared" si="23"/>
        <v>-</v>
      </c>
      <c r="AC32" s="66" t="str">
        <f>IF(AC$7="","",IF(INDEX('Rooms Walls and Glass'!$D$35:$AB$42, MATCH($D32,'Rooms Walls and Glass'!$A$35:$A$42,0), MATCH('Unit 1 b'!AC$7,'Rooms Walls and Glass'!$D$1:$AB$1,0))=0,"",INDEX('Rooms Walls and Glass'!$D$35:$AB$42, MATCH($D32,'Rooms Walls and Glass'!$A$35:$A$42,0), MATCH('Unit 1 b'!AC$7,'Rooms Walls and Glass'!$D$1:$AB$1,0))))</f>
        <v/>
      </c>
      <c r="AD32" s="68" t="str">
        <f t="shared" si="30"/>
        <v>-</v>
      </c>
      <c r="AE32" s="66" t="str">
        <f>IF(AE$7="","",IF(INDEX('Rooms Walls and Glass'!$D$35:$AB$42, MATCH($D32,'Rooms Walls and Glass'!$A$35:$A$42,0), MATCH('Unit 1 b'!AE$7,'Rooms Walls and Glass'!$D$1:$AB$1,0))=0,"",INDEX('Rooms Walls and Glass'!$D$35:$AB$42, MATCH($D32,'Rooms Walls and Glass'!$A$35:$A$42,0), MATCH('Unit 1 b'!AE$7,'Rooms Walls and Glass'!$D$1:$AB$1,0))))</f>
        <v/>
      </c>
      <c r="AF32" s="68" t="str">
        <f t="shared" si="31"/>
        <v>-</v>
      </c>
      <c r="AG32" s="66" t="str">
        <f>IF(AG$7="","",IF(INDEX('Rooms Walls and Glass'!$D$35:$AB$42, MATCH($D32,'Rooms Walls and Glass'!$A$35:$A$42,0), MATCH('Unit 1 b'!AG$7,'Rooms Walls and Glass'!$D$1:$AB$1,0))=0,"",INDEX('Rooms Walls and Glass'!$D$35:$AB$42, MATCH($D32,'Rooms Walls and Glass'!$A$35:$A$42,0), MATCH('Unit 1 b'!AG$7,'Rooms Walls and Glass'!$D$1:$AB$1,0))))</f>
        <v/>
      </c>
      <c r="AH32" s="68" t="str">
        <f t="shared" si="25"/>
        <v>-</v>
      </c>
      <c r="AI32" s="66" t="str">
        <f>IF(AI$7="","",IF(INDEX('Rooms Walls and Glass'!$D$35:$AB$42, MATCH($D32,'Rooms Walls and Glass'!$A$35:$A$42,0), MATCH('Unit 1 b'!AI$7,'Rooms Walls and Glass'!$D$1:$AB$1,0))=0,"",INDEX('Rooms Walls and Glass'!$D$35:$AB$42, MATCH($D32,'Rooms Walls and Glass'!$A$35:$A$42,0), MATCH('Unit 1 b'!AI$7,'Rooms Walls and Glass'!$D$1:$AB$1,0))))</f>
        <v/>
      </c>
      <c r="AJ32" s="69" t="str">
        <f t="shared" si="26"/>
        <v>-</v>
      </c>
      <c r="AK32" s="66" t="str">
        <f>IF(AK$7="","",IF(INDEX('Rooms Walls and Glass'!$D$35:$AB$42, MATCH($D32,'Rooms Walls and Glass'!$A$35:$A$42,0), MATCH('Unit 1 b'!AK$7,'Rooms Walls and Glass'!$D$1:$AB$1,0))=0,"",INDEX('Rooms Walls and Glass'!$D$35:$AB$42, MATCH($D32,'Rooms Walls and Glass'!$A$35:$A$42,0), MATCH('Unit 1 b'!AK$7,'Rooms Walls and Glass'!$D$1:$AB$1,0))))</f>
        <v/>
      </c>
      <c r="AL32" s="68" t="str">
        <f t="shared" si="27"/>
        <v>-</v>
      </c>
      <c r="AM32" s="66" t="str">
        <f>IF(AM$7="","",IF(INDEX('Rooms Walls and Glass'!$D$35:$AB$42, MATCH($D32,'Rooms Walls and Glass'!$A$35:$A$42,0), MATCH('Unit 1 b'!AM$7,'Rooms Walls and Glass'!$D$1:$AB$1,0))=0,"",INDEX('Rooms Walls and Glass'!$D$35:$AB$42, MATCH($D32,'Rooms Walls and Glass'!$A$35:$A$42,0), MATCH('Unit 1 b'!AM$7,'Rooms Walls and Glass'!$D$1:$AB$1,0))))</f>
        <v/>
      </c>
      <c r="AN32" s="69" t="str">
        <f t="shared" si="28"/>
        <v>-</v>
      </c>
    </row>
    <row r="33" spans="2:40" ht="11.25" customHeight="1" thickBot="1" x14ac:dyDescent="0.2">
      <c r="B33" s="214"/>
      <c r="C33" s="15" t="s">
        <v>38</v>
      </c>
      <c r="D33" s="13" t="str">
        <f>'Rooms Walls and Glass'!A39</f>
        <v>SouthEast</v>
      </c>
      <c r="E33" s="13">
        <f>INDEX('Glass CLF Calculation'!$A$20:$G$27,MATCH('Unit 1 b'!D33,'Glass CLF Calculation'!$A$20:$A$27,0),7)</f>
        <v>21</v>
      </c>
      <c r="F33" s="14">
        <f>INDEX(Summary!$F$19:$F$30,MATCH('Unit 1 b'!C33,Summary!$D$19:$D$30,0))</f>
        <v>7.6999999999999999E-2</v>
      </c>
      <c r="G33" s="14">
        <f t="shared" si="29"/>
        <v>1.617</v>
      </c>
      <c r="H33" s="16" t="s">
        <v>6</v>
      </c>
      <c r="I33" s="65">
        <f t="shared" si="13"/>
        <v>0</v>
      </c>
      <c r="J33" s="68">
        <f t="shared" si="14"/>
        <v>0</v>
      </c>
      <c r="K33" s="66" t="str">
        <f>IF(K$7="","",IF(INDEX('Rooms Walls and Glass'!$D$35:$AB$42, MATCH($D33,'Rooms Walls and Glass'!$A$35:$A$42,0), MATCH('Unit 1 b'!K$7,'Rooms Walls and Glass'!$D$1:$AB$1,0))=0,"",INDEX('Rooms Walls and Glass'!$D$35:$AB$42, MATCH($D33,'Rooms Walls and Glass'!$A$35:$A$42,0), MATCH('Unit 1 b'!K$7,'Rooms Walls and Glass'!$D$1:$AB$1,0))))</f>
        <v/>
      </c>
      <c r="L33" s="68" t="str">
        <f t="shared" si="15"/>
        <v>-</v>
      </c>
      <c r="M33" s="66" t="str">
        <f>IF(M$7="","",IF(INDEX('Rooms Walls and Glass'!$D$35:$AB$42, MATCH($D33,'Rooms Walls and Glass'!$A$35:$A$42,0), MATCH('Unit 1 b'!M$7,'Rooms Walls and Glass'!$D$1:$AB$1,0))=0,"",INDEX('Rooms Walls and Glass'!$D$35:$AB$42, MATCH($D33,'Rooms Walls and Glass'!$A$35:$A$42,0), MATCH('Unit 1 b'!M$7,'Rooms Walls and Glass'!$D$1:$AB$1,0))))</f>
        <v/>
      </c>
      <c r="N33" s="68" t="str">
        <f t="shared" si="16"/>
        <v>-</v>
      </c>
      <c r="O33" s="66" t="str">
        <f>IF(O$7="","",IF(INDEX('Rooms Walls and Glass'!$D$35:$AB$42, MATCH($D33,'Rooms Walls and Glass'!$A$35:$A$42,0), MATCH('Unit 1 b'!O$7,'Rooms Walls and Glass'!$D$1:$AB$1,0))=0,"",INDEX('Rooms Walls and Glass'!$D$35:$AB$42, MATCH($D33,'Rooms Walls and Glass'!$A$35:$A$42,0), MATCH('Unit 1 b'!O$7,'Rooms Walls and Glass'!$D$1:$AB$1,0))))</f>
        <v/>
      </c>
      <c r="P33" s="68" t="str">
        <f t="shared" si="17"/>
        <v>-</v>
      </c>
      <c r="Q33" s="66" t="str">
        <f>IF(Q$7="","",IF(INDEX('Rooms Walls and Glass'!$D$35:$AB$42, MATCH($D33,'Rooms Walls and Glass'!$A$35:$A$42,0), MATCH('Unit 1 b'!Q$7,'Rooms Walls and Glass'!$D$1:$AB$1,0))=0,"",INDEX('Rooms Walls and Glass'!$D$35:$AB$42, MATCH($D33,'Rooms Walls and Glass'!$A$35:$A$42,0), MATCH('Unit 1 b'!Q$7,'Rooms Walls and Glass'!$D$1:$AB$1,0))))</f>
        <v/>
      </c>
      <c r="R33" s="68" t="str">
        <f t="shared" si="18"/>
        <v>-</v>
      </c>
      <c r="S33" s="66" t="str">
        <f>IF(S$7="","",IF(INDEX('Rooms Walls and Glass'!$D$35:$AB$42, MATCH($D33,'Rooms Walls and Glass'!$A$35:$A$42,0), MATCH('Unit 1 b'!S$7,'Rooms Walls and Glass'!$D$1:$AB$1,0))=0,"",INDEX('Rooms Walls and Glass'!$D$35:$AB$42, MATCH($D33,'Rooms Walls and Glass'!$A$35:$A$42,0), MATCH('Unit 1 b'!S$7,'Rooms Walls and Glass'!$D$1:$AB$1,0))))</f>
        <v/>
      </c>
      <c r="T33" s="68" t="str">
        <f t="shared" si="19"/>
        <v>-</v>
      </c>
      <c r="U33" s="66" t="str">
        <f>IF(U$7="","",IF(INDEX('Rooms Walls and Glass'!$D$35:$AB$42, MATCH($D33,'Rooms Walls and Glass'!$A$35:$A$42,0), MATCH('Unit 1 b'!U$7,'Rooms Walls and Glass'!$D$1:$AB$1,0))=0,"",INDEX('Rooms Walls and Glass'!$D$35:$AB$42, MATCH($D33,'Rooms Walls and Glass'!$A$35:$A$42,0), MATCH('Unit 1 b'!U$7,'Rooms Walls and Glass'!$D$1:$AB$1,0))))</f>
        <v/>
      </c>
      <c r="V33" s="68" t="str">
        <f t="shared" si="20"/>
        <v>-</v>
      </c>
      <c r="W33" s="66" t="str">
        <f>IF(W$7="","",IF(INDEX('Rooms Walls and Glass'!$D$35:$AB$42, MATCH($D33,'Rooms Walls and Glass'!$A$35:$A$42,0), MATCH('Unit 1 b'!W$7,'Rooms Walls and Glass'!$D$1:$AB$1,0))=0,"",INDEX('Rooms Walls and Glass'!$D$35:$AB$42, MATCH($D33,'Rooms Walls and Glass'!$A$35:$A$42,0), MATCH('Unit 1 b'!W$7,'Rooms Walls and Glass'!$D$1:$AB$1,0))))</f>
        <v/>
      </c>
      <c r="X33" s="68" t="str">
        <f t="shared" si="21"/>
        <v>-</v>
      </c>
      <c r="Y33" s="66" t="str">
        <f>IF(Y$7="","",IF(INDEX('Rooms Walls and Glass'!$D$35:$AB$42, MATCH($D33,'Rooms Walls and Glass'!$A$35:$A$42,0), MATCH('Unit 1 b'!Y$7,'Rooms Walls and Glass'!$D$1:$AB$1,0))=0,"",INDEX('Rooms Walls and Glass'!$D$35:$AB$42, MATCH($D33,'Rooms Walls and Glass'!$A$35:$A$42,0), MATCH('Unit 1 b'!Y$7,'Rooms Walls and Glass'!$D$1:$AB$1,0))))</f>
        <v/>
      </c>
      <c r="Z33" s="68" t="str">
        <f t="shared" si="22"/>
        <v>-</v>
      </c>
      <c r="AA33" s="66" t="str">
        <f>IF(AA$7="","",IF(INDEX('Rooms Walls and Glass'!$D$35:$AB$42, MATCH($D33,'Rooms Walls and Glass'!$A$35:$A$42,0), MATCH('Unit 1 b'!AA$7,'Rooms Walls and Glass'!$D$1:$AB$1,0))=0,"",INDEX('Rooms Walls and Glass'!$D$35:$AB$42, MATCH($D33,'Rooms Walls and Glass'!$A$35:$A$42,0), MATCH('Unit 1 b'!AA$7,'Rooms Walls and Glass'!$D$1:$AB$1,0))))</f>
        <v/>
      </c>
      <c r="AB33" s="68" t="str">
        <f t="shared" si="23"/>
        <v>-</v>
      </c>
      <c r="AC33" s="66" t="str">
        <f>IF(AC$7="","",IF(INDEX('Rooms Walls and Glass'!$D$35:$AB$42, MATCH($D33,'Rooms Walls and Glass'!$A$35:$A$42,0), MATCH('Unit 1 b'!AC$7,'Rooms Walls and Glass'!$D$1:$AB$1,0))=0,"",INDEX('Rooms Walls and Glass'!$D$35:$AB$42, MATCH($D33,'Rooms Walls and Glass'!$A$35:$A$42,0), MATCH('Unit 1 b'!AC$7,'Rooms Walls and Glass'!$D$1:$AB$1,0))))</f>
        <v/>
      </c>
      <c r="AD33" s="68" t="str">
        <f t="shared" si="30"/>
        <v>-</v>
      </c>
      <c r="AE33" s="66" t="str">
        <f>IF(AE$7="","",IF(INDEX('Rooms Walls and Glass'!$D$35:$AB$42, MATCH($D33,'Rooms Walls and Glass'!$A$35:$A$42,0), MATCH('Unit 1 b'!AE$7,'Rooms Walls and Glass'!$D$1:$AB$1,0))=0,"",INDEX('Rooms Walls and Glass'!$D$35:$AB$42, MATCH($D33,'Rooms Walls and Glass'!$A$35:$A$42,0), MATCH('Unit 1 b'!AE$7,'Rooms Walls and Glass'!$D$1:$AB$1,0))))</f>
        <v/>
      </c>
      <c r="AF33" s="68" t="str">
        <f t="shared" si="31"/>
        <v>-</v>
      </c>
      <c r="AG33" s="66" t="str">
        <f>IF(AG$7="","",IF(INDEX('Rooms Walls and Glass'!$D$35:$AB$42, MATCH($D33,'Rooms Walls and Glass'!$A$35:$A$42,0), MATCH('Unit 1 b'!AG$7,'Rooms Walls and Glass'!$D$1:$AB$1,0))=0,"",INDEX('Rooms Walls and Glass'!$D$35:$AB$42, MATCH($D33,'Rooms Walls and Glass'!$A$35:$A$42,0), MATCH('Unit 1 b'!AG$7,'Rooms Walls and Glass'!$D$1:$AB$1,0))))</f>
        <v/>
      </c>
      <c r="AH33" s="68" t="str">
        <f t="shared" si="25"/>
        <v>-</v>
      </c>
      <c r="AI33" s="66" t="str">
        <f>IF(AI$7="","",IF(INDEX('Rooms Walls and Glass'!$D$35:$AB$42, MATCH($D33,'Rooms Walls and Glass'!$A$35:$A$42,0), MATCH('Unit 1 b'!AI$7,'Rooms Walls and Glass'!$D$1:$AB$1,0))=0,"",INDEX('Rooms Walls and Glass'!$D$35:$AB$42, MATCH($D33,'Rooms Walls and Glass'!$A$35:$A$42,0), MATCH('Unit 1 b'!AI$7,'Rooms Walls and Glass'!$D$1:$AB$1,0))))</f>
        <v/>
      </c>
      <c r="AJ33" s="69" t="str">
        <f t="shared" si="26"/>
        <v>-</v>
      </c>
      <c r="AK33" s="66" t="str">
        <f>IF(AK$7="","",IF(INDEX('Rooms Walls and Glass'!$D$35:$AB$42, MATCH($D33,'Rooms Walls and Glass'!$A$35:$A$42,0), MATCH('Unit 1 b'!AK$7,'Rooms Walls and Glass'!$D$1:$AB$1,0))=0,"",INDEX('Rooms Walls and Glass'!$D$35:$AB$42, MATCH($D33,'Rooms Walls and Glass'!$A$35:$A$42,0), MATCH('Unit 1 b'!AK$7,'Rooms Walls and Glass'!$D$1:$AB$1,0))))</f>
        <v/>
      </c>
      <c r="AL33" s="68" t="str">
        <f t="shared" si="27"/>
        <v>-</v>
      </c>
      <c r="AM33" s="66" t="str">
        <f>IF(AM$7="","",IF(INDEX('Rooms Walls and Glass'!$D$35:$AB$42, MATCH($D33,'Rooms Walls and Glass'!$A$35:$A$42,0), MATCH('Unit 1 b'!AM$7,'Rooms Walls and Glass'!$D$1:$AB$1,0))=0,"",INDEX('Rooms Walls and Glass'!$D$35:$AB$42, MATCH($D33,'Rooms Walls and Glass'!$A$35:$A$42,0), MATCH('Unit 1 b'!AM$7,'Rooms Walls and Glass'!$D$1:$AB$1,0))))</f>
        <v/>
      </c>
      <c r="AN33" s="69" t="str">
        <f t="shared" si="28"/>
        <v>-</v>
      </c>
    </row>
    <row r="34" spans="2:40" ht="11.25" customHeight="1" thickBot="1" x14ac:dyDescent="0.2">
      <c r="B34" s="214"/>
      <c r="C34" s="15" t="s">
        <v>38</v>
      </c>
      <c r="D34" s="13" t="str">
        <f>'Rooms Walls and Glass'!A40</f>
        <v>South</v>
      </c>
      <c r="E34" s="13">
        <f>INDEX('Glass CLF Calculation'!$A$20:$G$27,MATCH('Unit 1 b'!D34,'Glass CLF Calculation'!$A$20:$A$27,0),7)</f>
        <v>16</v>
      </c>
      <c r="F34" s="14">
        <f>INDEX(Summary!$F$19:$F$30,MATCH('Unit 1 b'!C34,Summary!$D$19:$D$30,0))</f>
        <v>7.6999999999999999E-2</v>
      </c>
      <c r="G34" s="14">
        <f t="shared" si="29"/>
        <v>1.232</v>
      </c>
      <c r="H34" s="16" t="s">
        <v>6</v>
      </c>
      <c r="I34" s="65">
        <f t="shared" si="13"/>
        <v>0</v>
      </c>
      <c r="J34" s="68">
        <f t="shared" si="14"/>
        <v>0</v>
      </c>
      <c r="K34" s="66" t="str">
        <f>IF(K$7="","",IF(INDEX('Rooms Walls and Glass'!$D$35:$AB$42, MATCH($D34,'Rooms Walls and Glass'!$A$35:$A$42,0), MATCH('Unit 1 b'!K$7,'Rooms Walls and Glass'!$D$1:$AB$1,0))=0,"",INDEX('Rooms Walls and Glass'!$D$35:$AB$42, MATCH($D34,'Rooms Walls and Glass'!$A$35:$A$42,0), MATCH('Unit 1 b'!K$7,'Rooms Walls and Glass'!$D$1:$AB$1,0))))</f>
        <v/>
      </c>
      <c r="L34" s="68" t="str">
        <f t="shared" si="15"/>
        <v>-</v>
      </c>
      <c r="M34" s="66" t="str">
        <f>IF(M$7="","",IF(INDEX('Rooms Walls and Glass'!$D$35:$AB$42, MATCH($D34,'Rooms Walls and Glass'!$A$35:$A$42,0), MATCH('Unit 1 b'!M$7,'Rooms Walls and Glass'!$D$1:$AB$1,0))=0,"",INDEX('Rooms Walls and Glass'!$D$35:$AB$42, MATCH($D34,'Rooms Walls and Glass'!$A$35:$A$42,0), MATCH('Unit 1 b'!M$7,'Rooms Walls and Glass'!$D$1:$AB$1,0))))</f>
        <v/>
      </c>
      <c r="N34" s="68" t="str">
        <f t="shared" si="16"/>
        <v>-</v>
      </c>
      <c r="O34" s="66" t="str">
        <f>IF(O$7="","",IF(INDEX('Rooms Walls and Glass'!$D$35:$AB$42, MATCH($D34,'Rooms Walls and Glass'!$A$35:$A$42,0), MATCH('Unit 1 b'!O$7,'Rooms Walls and Glass'!$D$1:$AB$1,0))=0,"",INDEX('Rooms Walls and Glass'!$D$35:$AB$42, MATCH($D34,'Rooms Walls and Glass'!$A$35:$A$42,0), MATCH('Unit 1 b'!O$7,'Rooms Walls and Glass'!$D$1:$AB$1,0))))</f>
        <v/>
      </c>
      <c r="P34" s="68" t="str">
        <f t="shared" si="17"/>
        <v>-</v>
      </c>
      <c r="Q34" s="66" t="str">
        <f>IF(Q$7="","",IF(INDEX('Rooms Walls and Glass'!$D$35:$AB$42, MATCH($D34,'Rooms Walls and Glass'!$A$35:$A$42,0), MATCH('Unit 1 b'!Q$7,'Rooms Walls and Glass'!$D$1:$AB$1,0))=0,"",INDEX('Rooms Walls and Glass'!$D$35:$AB$42, MATCH($D34,'Rooms Walls and Glass'!$A$35:$A$42,0), MATCH('Unit 1 b'!Q$7,'Rooms Walls and Glass'!$D$1:$AB$1,0))))</f>
        <v/>
      </c>
      <c r="R34" s="68" t="str">
        <f t="shared" si="18"/>
        <v>-</v>
      </c>
      <c r="S34" s="66" t="str">
        <f>IF(S$7="","",IF(INDEX('Rooms Walls and Glass'!$D$35:$AB$42, MATCH($D34,'Rooms Walls and Glass'!$A$35:$A$42,0), MATCH('Unit 1 b'!S$7,'Rooms Walls and Glass'!$D$1:$AB$1,0))=0,"",INDEX('Rooms Walls and Glass'!$D$35:$AB$42, MATCH($D34,'Rooms Walls and Glass'!$A$35:$A$42,0), MATCH('Unit 1 b'!S$7,'Rooms Walls and Glass'!$D$1:$AB$1,0))))</f>
        <v/>
      </c>
      <c r="T34" s="68" t="str">
        <f t="shared" si="19"/>
        <v>-</v>
      </c>
      <c r="U34" s="66" t="str">
        <f>IF(U$7="","",IF(INDEX('Rooms Walls and Glass'!$D$35:$AB$42, MATCH($D34,'Rooms Walls and Glass'!$A$35:$A$42,0), MATCH('Unit 1 b'!U$7,'Rooms Walls and Glass'!$D$1:$AB$1,0))=0,"",INDEX('Rooms Walls and Glass'!$D$35:$AB$42, MATCH($D34,'Rooms Walls and Glass'!$A$35:$A$42,0), MATCH('Unit 1 b'!U$7,'Rooms Walls and Glass'!$D$1:$AB$1,0))))</f>
        <v/>
      </c>
      <c r="V34" s="68" t="str">
        <f t="shared" si="20"/>
        <v>-</v>
      </c>
      <c r="W34" s="66" t="str">
        <f>IF(W$7="","",IF(INDEX('Rooms Walls and Glass'!$D$35:$AB$42, MATCH($D34,'Rooms Walls and Glass'!$A$35:$A$42,0), MATCH('Unit 1 b'!W$7,'Rooms Walls and Glass'!$D$1:$AB$1,0))=0,"",INDEX('Rooms Walls and Glass'!$D$35:$AB$42, MATCH($D34,'Rooms Walls and Glass'!$A$35:$A$42,0), MATCH('Unit 1 b'!W$7,'Rooms Walls and Glass'!$D$1:$AB$1,0))))</f>
        <v/>
      </c>
      <c r="X34" s="68" t="str">
        <f t="shared" si="21"/>
        <v>-</v>
      </c>
      <c r="Y34" s="66" t="str">
        <f>IF(Y$7="","",IF(INDEX('Rooms Walls and Glass'!$D$35:$AB$42, MATCH($D34,'Rooms Walls and Glass'!$A$35:$A$42,0), MATCH('Unit 1 b'!Y$7,'Rooms Walls and Glass'!$D$1:$AB$1,0))=0,"",INDEX('Rooms Walls and Glass'!$D$35:$AB$42, MATCH($D34,'Rooms Walls and Glass'!$A$35:$A$42,0), MATCH('Unit 1 b'!Y$7,'Rooms Walls and Glass'!$D$1:$AB$1,0))))</f>
        <v/>
      </c>
      <c r="Z34" s="68" t="str">
        <f t="shared" si="22"/>
        <v>-</v>
      </c>
      <c r="AA34" s="66" t="str">
        <f>IF(AA$7="","",IF(INDEX('Rooms Walls and Glass'!$D$35:$AB$42, MATCH($D34,'Rooms Walls and Glass'!$A$35:$A$42,0), MATCH('Unit 1 b'!AA$7,'Rooms Walls and Glass'!$D$1:$AB$1,0))=0,"",INDEX('Rooms Walls and Glass'!$D$35:$AB$42, MATCH($D34,'Rooms Walls and Glass'!$A$35:$A$42,0), MATCH('Unit 1 b'!AA$7,'Rooms Walls and Glass'!$D$1:$AB$1,0))))</f>
        <v/>
      </c>
      <c r="AB34" s="68" t="str">
        <f t="shared" si="23"/>
        <v>-</v>
      </c>
      <c r="AC34" s="66" t="str">
        <f>IF(AC$7="","",IF(INDEX('Rooms Walls and Glass'!$D$35:$AB$42, MATCH($D34,'Rooms Walls and Glass'!$A$35:$A$42,0), MATCH('Unit 1 b'!AC$7,'Rooms Walls and Glass'!$D$1:$AB$1,0))=0,"",INDEX('Rooms Walls and Glass'!$D$35:$AB$42, MATCH($D34,'Rooms Walls and Glass'!$A$35:$A$42,0), MATCH('Unit 1 b'!AC$7,'Rooms Walls and Glass'!$D$1:$AB$1,0))))</f>
        <v/>
      </c>
      <c r="AD34" s="68" t="str">
        <f t="shared" si="30"/>
        <v>-</v>
      </c>
      <c r="AE34" s="66" t="str">
        <f>IF(AE$7="","",IF(INDEX('Rooms Walls and Glass'!$D$35:$AB$42, MATCH($D34,'Rooms Walls and Glass'!$A$35:$A$42,0), MATCH('Unit 1 b'!AE$7,'Rooms Walls and Glass'!$D$1:$AB$1,0))=0,"",INDEX('Rooms Walls and Glass'!$D$35:$AB$42, MATCH($D34,'Rooms Walls and Glass'!$A$35:$A$42,0), MATCH('Unit 1 b'!AE$7,'Rooms Walls and Glass'!$D$1:$AB$1,0))))</f>
        <v/>
      </c>
      <c r="AF34" s="68" t="str">
        <f t="shared" si="31"/>
        <v>-</v>
      </c>
      <c r="AG34" s="66" t="str">
        <f>IF(AG$7="","",IF(INDEX('Rooms Walls and Glass'!$D$35:$AB$42, MATCH($D34,'Rooms Walls and Glass'!$A$35:$A$42,0), MATCH('Unit 1 b'!AG$7,'Rooms Walls and Glass'!$D$1:$AB$1,0))=0,"",INDEX('Rooms Walls and Glass'!$D$35:$AB$42, MATCH($D34,'Rooms Walls and Glass'!$A$35:$A$42,0), MATCH('Unit 1 b'!AG$7,'Rooms Walls and Glass'!$D$1:$AB$1,0))))</f>
        <v/>
      </c>
      <c r="AH34" s="68" t="str">
        <f t="shared" si="25"/>
        <v>-</v>
      </c>
      <c r="AI34" s="66" t="str">
        <f>IF(AI$7="","",IF(INDEX('Rooms Walls and Glass'!$D$35:$AB$42, MATCH($D34,'Rooms Walls and Glass'!$A$35:$A$42,0), MATCH('Unit 1 b'!AI$7,'Rooms Walls and Glass'!$D$1:$AB$1,0))=0,"",INDEX('Rooms Walls and Glass'!$D$35:$AB$42, MATCH($D34,'Rooms Walls and Glass'!$A$35:$A$42,0), MATCH('Unit 1 b'!AI$7,'Rooms Walls and Glass'!$D$1:$AB$1,0))))</f>
        <v/>
      </c>
      <c r="AJ34" s="69" t="str">
        <f t="shared" si="26"/>
        <v>-</v>
      </c>
      <c r="AK34" s="66" t="str">
        <f>IF(AK$7="","",IF(INDEX('Rooms Walls and Glass'!$D$35:$AB$42, MATCH($D34,'Rooms Walls and Glass'!$A$35:$A$42,0), MATCH('Unit 1 b'!AK$7,'Rooms Walls and Glass'!$D$1:$AB$1,0))=0,"",INDEX('Rooms Walls and Glass'!$D$35:$AB$42, MATCH($D34,'Rooms Walls and Glass'!$A$35:$A$42,0), MATCH('Unit 1 b'!AK$7,'Rooms Walls and Glass'!$D$1:$AB$1,0))))</f>
        <v/>
      </c>
      <c r="AL34" s="68" t="str">
        <f t="shared" si="27"/>
        <v>-</v>
      </c>
      <c r="AM34" s="66" t="str">
        <f>IF(AM$7="","",IF(INDEX('Rooms Walls and Glass'!$D$35:$AB$42, MATCH($D34,'Rooms Walls and Glass'!$A$35:$A$42,0), MATCH('Unit 1 b'!AM$7,'Rooms Walls and Glass'!$D$1:$AB$1,0))=0,"",INDEX('Rooms Walls and Glass'!$D$35:$AB$42, MATCH($D34,'Rooms Walls and Glass'!$A$35:$A$42,0), MATCH('Unit 1 b'!AM$7,'Rooms Walls and Glass'!$D$1:$AB$1,0))))</f>
        <v/>
      </c>
      <c r="AN34" s="69" t="str">
        <f t="shared" si="28"/>
        <v>-</v>
      </c>
    </row>
    <row r="35" spans="2:40" ht="11.25" customHeight="1" thickBot="1" x14ac:dyDescent="0.2">
      <c r="B35" s="214"/>
      <c r="C35" s="15" t="s">
        <v>38</v>
      </c>
      <c r="D35" s="13" t="str">
        <f>'Rooms Walls and Glass'!A41</f>
        <v>SouthWest</v>
      </c>
      <c r="E35" s="13">
        <f>INDEX('Glass CLF Calculation'!$A$20:$G$27,MATCH('Unit 1 b'!D35,'Glass CLF Calculation'!$A$20:$A$27,0),7)</f>
        <v>21</v>
      </c>
      <c r="F35" s="14">
        <f>INDEX(Summary!$F$19:$F$30,MATCH('Unit 1 b'!C35,Summary!$D$19:$D$30,0))</f>
        <v>7.6999999999999999E-2</v>
      </c>
      <c r="G35" s="14">
        <f t="shared" si="29"/>
        <v>1.617</v>
      </c>
      <c r="H35" s="16" t="s">
        <v>6</v>
      </c>
      <c r="I35" s="65">
        <f t="shared" si="13"/>
        <v>0</v>
      </c>
      <c r="J35" s="68">
        <f t="shared" si="14"/>
        <v>0</v>
      </c>
      <c r="K35" s="66" t="str">
        <f>IF(K$7="","",IF(INDEX('Rooms Walls and Glass'!$D$35:$AB$42, MATCH($D35,'Rooms Walls and Glass'!$A$35:$A$42,0), MATCH('Unit 1 b'!K$7,'Rooms Walls and Glass'!$D$1:$AB$1,0))=0,"",INDEX('Rooms Walls and Glass'!$D$35:$AB$42, MATCH($D35,'Rooms Walls and Glass'!$A$35:$A$42,0), MATCH('Unit 1 b'!K$7,'Rooms Walls and Glass'!$D$1:$AB$1,0))))</f>
        <v/>
      </c>
      <c r="L35" s="68" t="str">
        <f t="shared" si="15"/>
        <v>-</v>
      </c>
      <c r="M35" s="66" t="str">
        <f>IF(M$7="","",IF(INDEX('Rooms Walls and Glass'!$D$35:$AB$42, MATCH($D35,'Rooms Walls and Glass'!$A$35:$A$42,0), MATCH('Unit 1 b'!M$7,'Rooms Walls and Glass'!$D$1:$AB$1,0))=0,"",INDEX('Rooms Walls and Glass'!$D$35:$AB$42, MATCH($D35,'Rooms Walls and Glass'!$A$35:$A$42,0), MATCH('Unit 1 b'!M$7,'Rooms Walls and Glass'!$D$1:$AB$1,0))))</f>
        <v/>
      </c>
      <c r="N35" s="68" t="str">
        <f t="shared" si="16"/>
        <v>-</v>
      </c>
      <c r="O35" s="66" t="str">
        <f>IF(O$7="","",IF(INDEX('Rooms Walls and Glass'!$D$35:$AB$42, MATCH($D35,'Rooms Walls and Glass'!$A$35:$A$42,0), MATCH('Unit 1 b'!O$7,'Rooms Walls and Glass'!$D$1:$AB$1,0))=0,"",INDEX('Rooms Walls and Glass'!$D$35:$AB$42, MATCH($D35,'Rooms Walls and Glass'!$A$35:$A$42,0), MATCH('Unit 1 b'!O$7,'Rooms Walls and Glass'!$D$1:$AB$1,0))))</f>
        <v/>
      </c>
      <c r="P35" s="68" t="str">
        <f t="shared" si="17"/>
        <v>-</v>
      </c>
      <c r="Q35" s="66" t="str">
        <f>IF(Q$7="","",IF(INDEX('Rooms Walls and Glass'!$D$35:$AB$42, MATCH($D35,'Rooms Walls and Glass'!$A$35:$A$42,0), MATCH('Unit 1 b'!Q$7,'Rooms Walls and Glass'!$D$1:$AB$1,0))=0,"",INDEX('Rooms Walls and Glass'!$D$35:$AB$42, MATCH($D35,'Rooms Walls and Glass'!$A$35:$A$42,0), MATCH('Unit 1 b'!Q$7,'Rooms Walls and Glass'!$D$1:$AB$1,0))))</f>
        <v/>
      </c>
      <c r="R35" s="68" t="str">
        <f t="shared" si="18"/>
        <v>-</v>
      </c>
      <c r="S35" s="66" t="str">
        <f>IF(S$7="","",IF(INDEX('Rooms Walls and Glass'!$D$35:$AB$42, MATCH($D35,'Rooms Walls and Glass'!$A$35:$A$42,0), MATCH('Unit 1 b'!S$7,'Rooms Walls and Glass'!$D$1:$AB$1,0))=0,"",INDEX('Rooms Walls and Glass'!$D$35:$AB$42, MATCH($D35,'Rooms Walls and Glass'!$A$35:$A$42,0), MATCH('Unit 1 b'!S$7,'Rooms Walls and Glass'!$D$1:$AB$1,0))))</f>
        <v/>
      </c>
      <c r="T35" s="68" t="str">
        <f t="shared" si="19"/>
        <v>-</v>
      </c>
      <c r="U35" s="66" t="str">
        <f>IF(U$7="","",IF(INDEX('Rooms Walls and Glass'!$D$35:$AB$42, MATCH($D35,'Rooms Walls and Glass'!$A$35:$A$42,0), MATCH('Unit 1 b'!U$7,'Rooms Walls and Glass'!$D$1:$AB$1,0))=0,"",INDEX('Rooms Walls and Glass'!$D$35:$AB$42, MATCH($D35,'Rooms Walls and Glass'!$A$35:$A$42,0), MATCH('Unit 1 b'!U$7,'Rooms Walls and Glass'!$D$1:$AB$1,0))))</f>
        <v/>
      </c>
      <c r="V35" s="68" t="str">
        <f t="shared" si="20"/>
        <v>-</v>
      </c>
      <c r="W35" s="66" t="str">
        <f>IF(W$7="","",IF(INDEX('Rooms Walls and Glass'!$D$35:$AB$42, MATCH($D35,'Rooms Walls and Glass'!$A$35:$A$42,0), MATCH('Unit 1 b'!W$7,'Rooms Walls and Glass'!$D$1:$AB$1,0))=0,"",INDEX('Rooms Walls and Glass'!$D$35:$AB$42, MATCH($D35,'Rooms Walls and Glass'!$A$35:$A$42,0), MATCH('Unit 1 b'!W$7,'Rooms Walls and Glass'!$D$1:$AB$1,0))))</f>
        <v/>
      </c>
      <c r="X35" s="68" t="str">
        <f t="shared" si="21"/>
        <v>-</v>
      </c>
      <c r="Y35" s="66" t="str">
        <f>IF(Y$7="","",IF(INDEX('Rooms Walls and Glass'!$D$35:$AB$42, MATCH($D35,'Rooms Walls and Glass'!$A$35:$A$42,0), MATCH('Unit 1 b'!Y$7,'Rooms Walls and Glass'!$D$1:$AB$1,0))=0,"",INDEX('Rooms Walls and Glass'!$D$35:$AB$42, MATCH($D35,'Rooms Walls and Glass'!$A$35:$A$42,0), MATCH('Unit 1 b'!Y$7,'Rooms Walls and Glass'!$D$1:$AB$1,0))))</f>
        <v/>
      </c>
      <c r="Z35" s="68" t="str">
        <f t="shared" si="22"/>
        <v>-</v>
      </c>
      <c r="AA35" s="66" t="str">
        <f>IF(AA$7="","",IF(INDEX('Rooms Walls and Glass'!$D$35:$AB$42, MATCH($D35,'Rooms Walls and Glass'!$A$35:$A$42,0), MATCH('Unit 1 b'!AA$7,'Rooms Walls and Glass'!$D$1:$AB$1,0))=0,"",INDEX('Rooms Walls and Glass'!$D$35:$AB$42, MATCH($D35,'Rooms Walls and Glass'!$A$35:$A$42,0), MATCH('Unit 1 b'!AA$7,'Rooms Walls and Glass'!$D$1:$AB$1,0))))</f>
        <v/>
      </c>
      <c r="AB35" s="68" t="str">
        <f t="shared" si="23"/>
        <v>-</v>
      </c>
      <c r="AC35" s="66" t="str">
        <f>IF(AC$7="","",IF(INDEX('Rooms Walls and Glass'!$D$35:$AB$42, MATCH($D35,'Rooms Walls and Glass'!$A$35:$A$42,0), MATCH('Unit 1 b'!AC$7,'Rooms Walls and Glass'!$D$1:$AB$1,0))=0,"",INDEX('Rooms Walls and Glass'!$D$35:$AB$42, MATCH($D35,'Rooms Walls and Glass'!$A$35:$A$42,0), MATCH('Unit 1 b'!AC$7,'Rooms Walls and Glass'!$D$1:$AB$1,0))))</f>
        <v/>
      </c>
      <c r="AD35" s="68" t="str">
        <f t="shared" si="30"/>
        <v>-</v>
      </c>
      <c r="AE35" s="66" t="str">
        <f>IF(AE$7="","",IF(INDEX('Rooms Walls and Glass'!$D$35:$AB$42, MATCH($D35,'Rooms Walls and Glass'!$A$35:$A$42,0), MATCH('Unit 1 b'!AE$7,'Rooms Walls and Glass'!$D$1:$AB$1,0))=0,"",INDEX('Rooms Walls and Glass'!$D$35:$AB$42, MATCH($D35,'Rooms Walls and Glass'!$A$35:$A$42,0), MATCH('Unit 1 b'!AE$7,'Rooms Walls and Glass'!$D$1:$AB$1,0))))</f>
        <v/>
      </c>
      <c r="AF35" s="68" t="str">
        <f t="shared" si="31"/>
        <v>-</v>
      </c>
      <c r="AG35" s="66" t="str">
        <f>IF(AG$7="","",IF(INDEX('Rooms Walls and Glass'!$D$35:$AB$42, MATCH($D35,'Rooms Walls and Glass'!$A$35:$A$42,0), MATCH('Unit 1 b'!AG$7,'Rooms Walls and Glass'!$D$1:$AB$1,0))=0,"",INDEX('Rooms Walls and Glass'!$D$35:$AB$42, MATCH($D35,'Rooms Walls and Glass'!$A$35:$A$42,0), MATCH('Unit 1 b'!AG$7,'Rooms Walls and Glass'!$D$1:$AB$1,0))))</f>
        <v/>
      </c>
      <c r="AH35" s="68" t="str">
        <f t="shared" si="25"/>
        <v>-</v>
      </c>
      <c r="AI35" s="66" t="str">
        <f>IF(AI$7="","",IF(INDEX('Rooms Walls and Glass'!$D$35:$AB$42, MATCH($D35,'Rooms Walls and Glass'!$A$35:$A$42,0), MATCH('Unit 1 b'!AI$7,'Rooms Walls and Glass'!$D$1:$AB$1,0))=0,"",INDEX('Rooms Walls and Glass'!$D$35:$AB$42, MATCH($D35,'Rooms Walls and Glass'!$A$35:$A$42,0), MATCH('Unit 1 b'!AI$7,'Rooms Walls and Glass'!$D$1:$AB$1,0))))</f>
        <v/>
      </c>
      <c r="AJ35" s="69" t="str">
        <f t="shared" si="26"/>
        <v>-</v>
      </c>
      <c r="AK35" s="66" t="str">
        <f>IF(AK$7="","",IF(INDEX('Rooms Walls and Glass'!$D$35:$AB$42, MATCH($D35,'Rooms Walls and Glass'!$A$35:$A$42,0), MATCH('Unit 1 b'!AK$7,'Rooms Walls and Glass'!$D$1:$AB$1,0))=0,"",INDEX('Rooms Walls and Glass'!$D$35:$AB$42, MATCH($D35,'Rooms Walls and Glass'!$A$35:$A$42,0), MATCH('Unit 1 b'!AK$7,'Rooms Walls and Glass'!$D$1:$AB$1,0))))</f>
        <v/>
      </c>
      <c r="AL35" s="68" t="str">
        <f t="shared" si="27"/>
        <v>-</v>
      </c>
      <c r="AM35" s="66" t="str">
        <f>IF(AM$7="","",IF(INDEX('Rooms Walls and Glass'!$D$35:$AB$42, MATCH($D35,'Rooms Walls and Glass'!$A$35:$A$42,0), MATCH('Unit 1 b'!AM$7,'Rooms Walls and Glass'!$D$1:$AB$1,0))=0,"",INDEX('Rooms Walls and Glass'!$D$35:$AB$42, MATCH($D35,'Rooms Walls and Glass'!$A$35:$A$42,0), MATCH('Unit 1 b'!AM$7,'Rooms Walls and Glass'!$D$1:$AB$1,0))))</f>
        <v/>
      </c>
      <c r="AN35" s="69" t="str">
        <f t="shared" si="28"/>
        <v>-</v>
      </c>
    </row>
    <row r="36" spans="2:40" ht="11.25" customHeight="1" thickBot="1" x14ac:dyDescent="0.2">
      <c r="B36" s="213"/>
      <c r="C36" s="17" t="s">
        <v>38</v>
      </c>
      <c r="D36" s="13" t="str">
        <f>'Rooms Walls and Glass'!A42</f>
        <v>West</v>
      </c>
      <c r="E36" s="13">
        <f>INDEX('Glass CLF Calculation'!$A$20:$G$27,MATCH('Unit 1 b'!D36,'Glass CLF Calculation'!$A$20:$A$27,0),7)</f>
        <v>23</v>
      </c>
      <c r="F36" s="14">
        <f>INDEX(Summary!$F$19:$F$30,MATCH('Unit 1 b'!C36,Summary!$D$19:$D$30,0))</f>
        <v>7.6999999999999999E-2</v>
      </c>
      <c r="G36" s="14">
        <f t="shared" si="29"/>
        <v>1.7709999999999999</v>
      </c>
      <c r="H36" s="18" t="s">
        <v>6</v>
      </c>
      <c r="I36" s="65">
        <f t="shared" si="13"/>
        <v>0</v>
      </c>
      <c r="J36" s="70">
        <f t="shared" si="14"/>
        <v>0</v>
      </c>
      <c r="K36" s="66" t="str">
        <f>IF(K$7="","",IF(INDEX('Rooms Walls and Glass'!$D$35:$AB$42, MATCH($D36,'Rooms Walls and Glass'!$A$35:$A$42,0), MATCH('Unit 1 b'!K$7,'Rooms Walls and Glass'!$D$1:$AB$1,0))=0,"",INDEX('Rooms Walls and Glass'!$D$35:$AB$42, MATCH($D36,'Rooms Walls and Glass'!$A$35:$A$42,0), MATCH('Unit 1 b'!K$7,'Rooms Walls and Glass'!$D$1:$AB$1,0))))</f>
        <v/>
      </c>
      <c r="L36" s="70" t="str">
        <f t="shared" si="15"/>
        <v>-</v>
      </c>
      <c r="M36" s="66" t="str">
        <f>IF(M$7="","",IF(INDEX('Rooms Walls and Glass'!$D$35:$AB$42, MATCH($D36,'Rooms Walls and Glass'!$A$35:$A$42,0), MATCH('Unit 1 b'!M$7,'Rooms Walls and Glass'!$D$1:$AB$1,0))=0,"",INDEX('Rooms Walls and Glass'!$D$35:$AB$42, MATCH($D36,'Rooms Walls and Glass'!$A$35:$A$42,0), MATCH('Unit 1 b'!M$7,'Rooms Walls and Glass'!$D$1:$AB$1,0))))</f>
        <v/>
      </c>
      <c r="N36" s="70" t="str">
        <f t="shared" si="16"/>
        <v>-</v>
      </c>
      <c r="O36" s="66" t="str">
        <f>IF(O$7="","",IF(INDEX('Rooms Walls and Glass'!$D$35:$AB$42, MATCH($D36,'Rooms Walls and Glass'!$A$35:$A$42,0), MATCH('Unit 1 b'!O$7,'Rooms Walls and Glass'!$D$1:$AB$1,0))=0,"",INDEX('Rooms Walls and Glass'!$D$35:$AB$42, MATCH($D36,'Rooms Walls and Glass'!$A$35:$A$42,0), MATCH('Unit 1 b'!O$7,'Rooms Walls and Glass'!$D$1:$AB$1,0))))</f>
        <v/>
      </c>
      <c r="P36" s="70" t="str">
        <f t="shared" si="17"/>
        <v>-</v>
      </c>
      <c r="Q36" s="66" t="str">
        <f>IF(Q$7="","",IF(INDEX('Rooms Walls and Glass'!$D$35:$AB$42, MATCH($D36,'Rooms Walls and Glass'!$A$35:$A$42,0), MATCH('Unit 1 b'!Q$7,'Rooms Walls and Glass'!$D$1:$AB$1,0))=0,"",INDEX('Rooms Walls and Glass'!$D$35:$AB$42, MATCH($D36,'Rooms Walls and Glass'!$A$35:$A$42,0), MATCH('Unit 1 b'!Q$7,'Rooms Walls and Glass'!$D$1:$AB$1,0))))</f>
        <v/>
      </c>
      <c r="R36" s="70" t="str">
        <f t="shared" si="18"/>
        <v>-</v>
      </c>
      <c r="S36" s="66" t="str">
        <f>IF(S$7="","",IF(INDEX('Rooms Walls and Glass'!$D$35:$AB$42, MATCH($D36,'Rooms Walls and Glass'!$A$35:$A$42,0), MATCH('Unit 1 b'!S$7,'Rooms Walls and Glass'!$D$1:$AB$1,0))=0,"",INDEX('Rooms Walls and Glass'!$D$35:$AB$42, MATCH($D36,'Rooms Walls and Glass'!$A$35:$A$42,0), MATCH('Unit 1 b'!S$7,'Rooms Walls and Glass'!$D$1:$AB$1,0))))</f>
        <v/>
      </c>
      <c r="T36" s="70" t="str">
        <f t="shared" si="19"/>
        <v>-</v>
      </c>
      <c r="U36" s="66" t="str">
        <f>IF(U$7="","",IF(INDEX('Rooms Walls and Glass'!$D$35:$AB$42, MATCH($D36,'Rooms Walls and Glass'!$A$35:$A$42,0), MATCH('Unit 1 b'!U$7,'Rooms Walls and Glass'!$D$1:$AB$1,0))=0,"",INDEX('Rooms Walls and Glass'!$D$35:$AB$42, MATCH($D36,'Rooms Walls and Glass'!$A$35:$A$42,0), MATCH('Unit 1 b'!U$7,'Rooms Walls and Glass'!$D$1:$AB$1,0))))</f>
        <v/>
      </c>
      <c r="V36" s="70" t="str">
        <f t="shared" si="20"/>
        <v>-</v>
      </c>
      <c r="W36" s="66" t="str">
        <f>IF(W$7="","",IF(INDEX('Rooms Walls and Glass'!$D$35:$AB$42, MATCH($D36,'Rooms Walls and Glass'!$A$35:$A$42,0), MATCH('Unit 1 b'!W$7,'Rooms Walls and Glass'!$D$1:$AB$1,0))=0,"",INDEX('Rooms Walls and Glass'!$D$35:$AB$42, MATCH($D36,'Rooms Walls and Glass'!$A$35:$A$42,0), MATCH('Unit 1 b'!W$7,'Rooms Walls and Glass'!$D$1:$AB$1,0))))</f>
        <v/>
      </c>
      <c r="X36" s="70" t="str">
        <f t="shared" si="21"/>
        <v>-</v>
      </c>
      <c r="Y36" s="66" t="str">
        <f>IF(Y$7="","",IF(INDEX('Rooms Walls and Glass'!$D$35:$AB$42, MATCH($D36,'Rooms Walls and Glass'!$A$35:$A$42,0), MATCH('Unit 1 b'!Y$7,'Rooms Walls and Glass'!$D$1:$AB$1,0))=0,"",INDEX('Rooms Walls and Glass'!$D$35:$AB$42, MATCH($D36,'Rooms Walls and Glass'!$A$35:$A$42,0), MATCH('Unit 1 b'!Y$7,'Rooms Walls and Glass'!$D$1:$AB$1,0))))</f>
        <v/>
      </c>
      <c r="Z36" s="70" t="str">
        <f t="shared" si="22"/>
        <v>-</v>
      </c>
      <c r="AA36" s="66" t="str">
        <f>IF(AA$7="","",IF(INDEX('Rooms Walls and Glass'!$D$35:$AB$42, MATCH($D36,'Rooms Walls and Glass'!$A$35:$A$42,0), MATCH('Unit 1 b'!AA$7,'Rooms Walls and Glass'!$D$1:$AB$1,0))=0,"",INDEX('Rooms Walls and Glass'!$D$35:$AB$42, MATCH($D36,'Rooms Walls and Glass'!$A$35:$A$42,0), MATCH('Unit 1 b'!AA$7,'Rooms Walls and Glass'!$D$1:$AB$1,0))))</f>
        <v/>
      </c>
      <c r="AB36" s="70" t="str">
        <f t="shared" si="23"/>
        <v>-</v>
      </c>
      <c r="AC36" s="66" t="str">
        <f>IF(AC$7="","",IF(INDEX('Rooms Walls and Glass'!$D$35:$AB$42, MATCH($D36,'Rooms Walls and Glass'!$A$35:$A$42,0), MATCH('Unit 1 b'!AC$7,'Rooms Walls and Glass'!$D$1:$AB$1,0))=0,"",INDEX('Rooms Walls and Glass'!$D$35:$AB$42, MATCH($D36,'Rooms Walls and Glass'!$A$35:$A$42,0), MATCH('Unit 1 b'!AC$7,'Rooms Walls and Glass'!$D$1:$AB$1,0))))</f>
        <v/>
      </c>
      <c r="AD36" s="70" t="str">
        <f t="shared" si="30"/>
        <v>-</v>
      </c>
      <c r="AE36" s="66" t="str">
        <f>IF(AE$7="","",IF(INDEX('Rooms Walls and Glass'!$D$35:$AB$42, MATCH($D36,'Rooms Walls and Glass'!$A$35:$A$42,0), MATCH('Unit 1 b'!AE$7,'Rooms Walls and Glass'!$D$1:$AB$1,0))=0,"",INDEX('Rooms Walls and Glass'!$D$35:$AB$42, MATCH($D36,'Rooms Walls and Glass'!$A$35:$A$42,0), MATCH('Unit 1 b'!AE$7,'Rooms Walls and Glass'!$D$1:$AB$1,0))))</f>
        <v/>
      </c>
      <c r="AF36" s="70" t="str">
        <f t="shared" si="31"/>
        <v>-</v>
      </c>
      <c r="AG36" s="66" t="str">
        <f>IF(AG$7="","",IF(INDEX('Rooms Walls and Glass'!$D$35:$AB$42, MATCH($D36,'Rooms Walls and Glass'!$A$35:$A$42,0), MATCH('Unit 1 b'!AG$7,'Rooms Walls and Glass'!$D$1:$AB$1,0))=0,"",INDEX('Rooms Walls and Glass'!$D$35:$AB$42, MATCH($D36,'Rooms Walls and Glass'!$A$35:$A$42,0), MATCH('Unit 1 b'!AG$7,'Rooms Walls and Glass'!$D$1:$AB$1,0))))</f>
        <v/>
      </c>
      <c r="AH36" s="70" t="str">
        <f t="shared" si="25"/>
        <v>-</v>
      </c>
      <c r="AI36" s="66" t="str">
        <f>IF(AI$7="","",IF(INDEX('Rooms Walls and Glass'!$D$35:$AB$42, MATCH($D36,'Rooms Walls and Glass'!$A$35:$A$42,0), MATCH('Unit 1 b'!AI$7,'Rooms Walls and Glass'!$D$1:$AB$1,0))=0,"",INDEX('Rooms Walls and Glass'!$D$35:$AB$42, MATCH($D36,'Rooms Walls and Glass'!$A$35:$A$42,0), MATCH('Unit 1 b'!AI$7,'Rooms Walls and Glass'!$D$1:$AB$1,0))))</f>
        <v/>
      </c>
      <c r="AJ36" s="71" t="str">
        <f t="shared" si="26"/>
        <v>-</v>
      </c>
      <c r="AK36" s="66" t="str">
        <f>IF(AK$7="","",IF(INDEX('Rooms Walls and Glass'!$D$35:$AB$42, MATCH($D36,'Rooms Walls and Glass'!$A$35:$A$42,0), MATCH('Unit 1 b'!AK$7,'Rooms Walls and Glass'!$D$1:$AB$1,0))=0,"",INDEX('Rooms Walls and Glass'!$D$35:$AB$42, MATCH($D36,'Rooms Walls and Glass'!$A$35:$A$42,0), MATCH('Unit 1 b'!AK$7,'Rooms Walls and Glass'!$D$1:$AB$1,0))))</f>
        <v/>
      </c>
      <c r="AL36" s="70" t="str">
        <f t="shared" si="27"/>
        <v>-</v>
      </c>
      <c r="AM36" s="66" t="str">
        <f>IF(AM$7="","",IF(INDEX('Rooms Walls and Glass'!$D$35:$AB$42, MATCH($D36,'Rooms Walls and Glass'!$A$35:$A$42,0), MATCH('Unit 1 b'!AM$7,'Rooms Walls and Glass'!$D$1:$AB$1,0))=0,"",INDEX('Rooms Walls and Glass'!$D$35:$AB$42, MATCH($D36,'Rooms Walls and Glass'!$A$35:$A$42,0), MATCH('Unit 1 b'!AM$7,'Rooms Walls and Glass'!$D$1:$AB$1,0))))</f>
        <v/>
      </c>
      <c r="AN36" s="71" t="str">
        <f t="shared" si="28"/>
        <v>-</v>
      </c>
    </row>
    <row r="37" spans="2:40" ht="11.25" customHeight="1" thickBot="1" x14ac:dyDescent="0.2">
      <c r="B37" s="212" t="s">
        <v>80</v>
      </c>
      <c r="C37" s="12" t="s">
        <v>39</v>
      </c>
      <c r="D37" s="13" t="s">
        <v>45</v>
      </c>
      <c r="E37" s="13">
        <v>0</v>
      </c>
      <c r="F37" s="14">
        <f>INDEX(Summary!$F$19:$F$30,MATCH('Unit 1 b'!C37,Summary!$D$19:$D$30,0))</f>
        <v>6.7000000000000004E-2</v>
      </c>
      <c r="G37" s="14">
        <f t="shared" si="29"/>
        <v>0</v>
      </c>
      <c r="H37" s="13" t="s">
        <v>6</v>
      </c>
      <c r="I37" s="65">
        <f t="shared" si="13"/>
        <v>0</v>
      </c>
      <c r="J37" s="65">
        <f t="shared" si="14"/>
        <v>0</v>
      </c>
      <c r="K37" s="66" t="str">
        <f>IF(K$7="","",IF(INDEX('Rooms Walls and Glass'!$D$46:$AB$50, MATCH($D37,'Rooms Walls and Glass'!$A$46:$A$50,0), MATCH('Unit 1 b'!K$7,'Rooms Walls and Glass'!$D$1:$AB$1,0))=0,"",INDEX('Rooms Walls and Glass'!$D$46:$AB$50, MATCH($D37,'Rooms Walls and Glass'!$A$46:$A$50,0), MATCH('Unit 1 b'!K$7,'Rooms Walls and Glass'!$D$1:$AB$1,0))))</f>
        <v/>
      </c>
      <c r="L37" s="65" t="str">
        <f t="shared" si="15"/>
        <v>-</v>
      </c>
      <c r="M37" s="66" t="str">
        <f>IF(M$7="","",IF(INDEX('Rooms Walls and Glass'!$D$46:$AB$50, MATCH($D37,'Rooms Walls and Glass'!$A$46:$A$50,0), MATCH('Unit 1 b'!M$7,'Rooms Walls and Glass'!$D$1:$AB$1,0))=0,"",INDEX('Rooms Walls and Glass'!$D$46:$AB$50, MATCH($D37,'Rooms Walls and Glass'!$A$46:$A$50,0), MATCH('Unit 1 b'!M$7,'Rooms Walls and Glass'!$D$1:$AB$1,0))))</f>
        <v/>
      </c>
      <c r="N37" s="65" t="str">
        <f t="shared" si="16"/>
        <v>-</v>
      </c>
      <c r="O37" s="66" t="str">
        <f>IF(O$7="","",IF(INDEX('Rooms Walls and Glass'!$D$46:$AB$50, MATCH($D37,'Rooms Walls and Glass'!$A$46:$A$50,0), MATCH('Unit 1 b'!O$7,'Rooms Walls and Glass'!$D$1:$AB$1,0))=0,"",INDEX('Rooms Walls and Glass'!$D$46:$AB$50, MATCH($D37,'Rooms Walls and Glass'!$A$46:$A$50,0), MATCH('Unit 1 b'!O$7,'Rooms Walls and Glass'!$D$1:$AB$1,0))))</f>
        <v/>
      </c>
      <c r="P37" s="65" t="str">
        <f t="shared" si="17"/>
        <v>-</v>
      </c>
      <c r="Q37" s="66" t="str">
        <f>IF(Q$7="","",IF(INDEX('Rooms Walls and Glass'!$D$46:$AB$50, MATCH($D37,'Rooms Walls and Glass'!$A$46:$A$50,0), MATCH('Unit 1 b'!Q$7,'Rooms Walls and Glass'!$D$1:$AB$1,0))=0,"",INDEX('Rooms Walls and Glass'!$D$46:$AB$50, MATCH($D37,'Rooms Walls and Glass'!$A$46:$A$50,0), MATCH('Unit 1 b'!Q$7,'Rooms Walls and Glass'!$D$1:$AB$1,0))))</f>
        <v/>
      </c>
      <c r="R37" s="65" t="str">
        <f t="shared" si="18"/>
        <v>-</v>
      </c>
      <c r="S37" s="66" t="str">
        <f>IF(S$7="","",IF(INDEX('Rooms Walls and Glass'!$D$46:$AB$50, MATCH($D37,'Rooms Walls and Glass'!$A$46:$A$50,0), MATCH('Unit 1 b'!S$7,'Rooms Walls and Glass'!$D$1:$AB$1,0))=0,"",INDEX('Rooms Walls and Glass'!$D$46:$AB$50, MATCH($D37,'Rooms Walls and Glass'!$A$46:$A$50,0), MATCH('Unit 1 b'!S$7,'Rooms Walls and Glass'!$D$1:$AB$1,0))))</f>
        <v/>
      </c>
      <c r="T37" s="65" t="str">
        <f t="shared" si="19"/>
        <v>-</v>
      </c>
      <c r="U37" s="66" t="str">
        <f>IF(U$7="","",IF(INDEX('Rooms Walls and Glass'!$D$46:$AB$50, MATCH($D37,'Rooms Walls and Glass'!$A$46:$A$50,0), MATCH('Unit 1 b'!U$7,'Rooms Walls and Glass'!$D$1:$AB$1,0))=0,"",INDEX('Rooms Walls and Glass'!$D$46:$AB$50, MATCH($D37,'Rooms Walls and Glass'!$A$46:$A$50,0), MATCH('Unit 1 b'!U$7,'Rooms Walls and Glass'!$D$1:$AB$1,0))))</f>
        <v/>
      </c>
      <c r="V37" s="65" t="str">
        <f t="shared" si="20"/>
        <v>-</v>
      </c>
      <c r="W37" s="66" t="str">
        <f>IF(W$7="","",IF(INDEX('Rooms Walls and Glass'!$D$46:$AB$50, MATCH($D37,'Rooms Walls and Glass'!$A$46:$A$50,0), MATCH('Unit 1 b'!W$7,'Rooms Walls and Glass'!$D$1:$AB$1,0))=0,"",INDEX('Rooms Walls and Glass'!$D$46:$AB$50, MATCH($D37,'Rooms Walls and Glass'!$A$46:$A$50,0), MATCH('Unit 1 b'!W$7,'Rooms Walls and Glass'!$D$1:$AB$1,0))))</f>
        <v/>
      </c>
      <c r="X37" s="65" t="str">
        <f t="shared" si="21"/>
        <v>-</v>
      </c>
      <c r="Y37" s="66" t="str">
        <f>IF(Y$7="","",IF(INDEX('Rooms Walls and Glass'!$D$46:$AB$50, MATCH($D37,'Rooms Walls and Glass'!$A$46:$A$50,0), MATCH('Unit 1 b'!Y$7,'Rooms Walls and Glass'!$D$1:$AB$1,0))=0,"",INDEX('Rooms Walls and Glass'!$D$46:$AB$50, MATCH($D37,'Rooms Walls and Glass'!$A$46:$A$50,0), MATCH('Unit 1 b'!Y$7,'Rooms Walls and Glass'!$D$1:$AB$1,0))))</f>
        <v/>
      </c>
      <c r="Z37" s="65" t="str">
        <f t="shared" si="22"/>
        <v>-</v>
      </c>
      <c r="AA37" s="66" t="str">
        <f>IF(AA$7="","",IF(INDEX('Rooms Walls and Glass'!$D$46:$AB$50, MATCH($D37,'Rooms Walls and Glass'!$A$46:$A$50,0), MATCH('Unit 1 b'!AA$7,'Rooms Walls and Glass'!$D$1:$AB$1,0))=0,"",INDEX('Rooms Walls and Glass'!$D$46:$AB$50, MATCH($D37,'Rooms Walls and Glass'!$A$46:$A$50,0), MATCH('Unit 1 b'!AA$7,'Rooms Walls and Glass'!$D$1:$AB$1,0))))</f>
        <v/>
      </c>
      <c r="AB37" s="65" t="str">
        <f t="shared" si="23"/>
        <v>-</v>
      </c>
      <c r="AC37" s="66" t="str">
        <f>IF(AC$7="","",IF(INDEX('Rooms Walls and Glass'!$D$46:$AB$50, MATCH($D37,'Rooms Walls and Glass'!$A$46:$A$50,0), MATCH('Unit 1 b'!AC$7,'Rooms Walls and Glass'!$D$1:$AB$1,0))=0,"",INDEX('Rooms Walls and Glass'!$D$46:$AB$50, MATCH($D37,'Rooms Walls and Glass'!$A$46:$A$50,0), MATCH('Unit 1 b'!AC$7,'Rooms Walls and Glass'!$D$1:$AB$1,0))))</f>
        <v/>
      </c>
      <c r="AD37" s="65" t="str">
        <f t="shared" si="30"/>
        <v>-</v>
      </c>
      <c r="AE37" s="66" t="str">
        <f>IF(AE$7="","",IF(INDEX('Rooms Walls and Glass'!$D$46:$AB$50, MATCH($D37,'Rooms Walls and Glass'!$A$46:$A$50,0), MATCH('Unit 1 b'!AE$7,'Rooms Walls and Glass'!$D$1:$AB$1,0))=0,"",INDEX('Rooms Walls and Glass'!$D$46:$AB$50, MATCH($D37,'Rooms Walls and Glass'!$A$46:$A$50,0), MATCH('Unit 1 b'!AE$7,'Rooms Walls and Glass'!$D$1:$AB$1,0))))</f>
        <v/>
      </c>
      <c r="AF37" s="65" t="str">
        <f t="shared" si="31"/>
        <v>-</v>
      </c>
      <c r="AG37" s="66" t="str">
        <f>IF(AG$7="","",IF(INDEX('Rooms Walls and Glass'!$D$46:$AB$50, MATCH($D37,'Rooms Walls and Glass'!$A$46:$A$50,0), MATCH('Unit 1 b'!AG$7,'Rooms Walls and Glass'!$D$1:$AB$1,0))=0,"",INDEX('Rooms Walls and Glass'!$D$46:$AB$50, MATCH($D37,'Rooms Walls and Glass'!$A$46:$A$50,0), MATCH('Unit 1 b'!AG$7,'Rooms Walls and Glass'!$D$1:$AB$1,0))))</f>
        <v/>
      </c>
      <c r="AH37" s="65" t="str">
        <f t="shared" si="25"/>
        <v>-</v>
      </c>
      <c r="AI37" s="66" t="str">
        <f>IF(AI$7="","",IF(INDEX('Rooms Walls and Glass'!$D$46:$AB$50, MATCH($D37,'Rooms Walls and Glass'!$A$46:$A$50,0), MATCH('Unit 1 b'!AI$7,'Rooms Walls and Glass'!$D$1:$AB$1,0))=0,"",INDEX('Rooms Walls and Glass'!$D$46:$AB$50, MATCH($D37,'Rooms Walls and Glass'!$A$46:$A$50,0), MATCH('Unit 1 b'!AI$7,'Rooms Walls and Glass'!$D$1:$AB$1,0))))</f>
        <v/>
      </c>
      <c r="AJ37" s="67" t="str">
        <f t="shared" si="26"/>
        <v>-</v>
      </c>
      <c r="AK37" s="66" t="str">
        <f>IF(AK$7="","",IF(INDEX('Rooms Walls and Glass'!$D$46:$AB$50, MATCH($D37,'Rooms Walls and Glass'!$A$46:$A$50,0), MATCH('Unit 1 b'!AK$7,'Rooms Walls and Glass'!$D$1:$AB$1,0))=0,"",INDEX('Rooms Walls and Glass'!$D$46:$AB$50, MATCH($D37,'Rooms Walls and Glass'!$A$46:$A$50,0), MATCH('Unit 1 b'!AK$7,'Rooms Walls and Glass'!$D$1:$AB$1,0))))</f>
        <v/>
      </c>
      <c r="AL37" s="65" t="str">
        <f t="shared" si="27"/>
        <v>-</v>
      </c>
      <c r="AM37" s="66" t="str">
        <f>IF(AM$7="","",IF(INDEX('Rooms Walls and Glass'!$D$46:$AB$50, MATCH($D37,'Rooms Walls and Glass'!$A$46:$A$50,0), MATCH('Unit 1 b'!AM$7,'Rooms Walls and Glass'!$D$1:$AB$1,0))=0,"",INDEX('Rooms Walls and Glass'!$D$46:$AB$50, MATCH($D37,'Rooms Walls and Glass'!$A$46:$A$50,0), MATCH('Unit 1 b'!AM$7,'Rooms Walls and Glass'!$D$1:$AB$1,0))))</f>
        <v/>
      </c>
      <c r="AN37" s="67" t="str">
        <f t="shared" si="28"/>
        <v>-</v>
      </c>
    </row>
    <row r="38" spans="2:40" ht="11.25" customHeight="1" thickBot="1" x14ac:dyDescent="0.2">
      <c r="B38" s="214"/>
      <c r="C38" s="15" t="s">
        <v>38</v>
      </c>
      <c r="D38" s="16" t="s">
        <v>46</v>
      </c>
      <c r="E38" s="16">
        <v>10</v>
      </c>
      <c r="F38" s="14">
        <f>INDEX(Summary!$F$19:$F$30,MATCH('Unit 1 b'!C38,Summary!$D$19:$D$30,0))</f>
        <v>7.6999999999999999E-2</v>
      </c>
      <c r="G38" s="14">
        <f t="shared" si="29"/>
        <v>0.77</v>
      </c>
      <c r="H38" s="16" t="s">
        <v>6</v>
      </c>
      <c r="I38" s="65">
        <f t="shared" si="13"/>
        <v>0</v>
      </c>
      <c r="J38" s="68">
        <f t="shared" si="14"/>
        <v>0</v>
      </c>
      <c r="K38" s="66" t="str">
        <f>IF(K$7="","",IF(INDEX('Rooms Walls and Glass'!$D$46:$AB$50, MATCH($D38,'Rooms Walls and Glass'!$A$46:$A$50,0), MATCH('Unit 1 b'!K$7,'Rooms Walls and Glass'!$D$1:$AB$1,0))=0,"",INDEX('Rooms Walls and Glass'!$D$46:$AB$50, MATCH($D38,'Rooms Walls and Glass'!$A$46:$A$50,0), MATCH('Unit 1 b'!K$7,'Rooms Walls and Glass'!$D$1:$AB$1,0))))</f>
        <v/>
      </c>
      <c r="L38" s="68" t="str">
        <f t="shared" si="15"/>
        <v>-</v>
      </c>
      <c r="M38" s="66" t="str">
        <f>IF(M$7="","",IF(INDEX('Rooms Walls and Glass'!$D$46:$AB$50, MATCH($D38,'Rooms Walls and Glass'!$A$46:$A$50,0), MATCH('Unit 1 b'!M$7,'Rooms Walls and Glass'!$D$1:$AB$1,0))=0,"",INDEX('Rooms Walls and Glass'!$D$46:$AB$50, MATCH($D38,'Rooms Walls and Glass'!$A$46:$A$50,0), MATCH('Unit 1 b'!M$7,'Rooms Walls and Glass'!$D$1:$AB$1,0))))</f>
        <v/>
      </c>
      <c r="N38" s="68" t="str">
        <f t="shared" si="16"/>
        <v>-</v>
      </c>
      <c r="O38" s="66" t="str">
        <f>IF(O$7="","",IF(INDEX('Rooms Walls and Glass'!$D$46:$AB$50, MATCH($D38,'Rooms Walls and Glass'!$A$46:$A$50,0), MATCH('Unit 1 b'!O$7,'Rooms Walls and Glass'!$D$1:$AB$1,0))=0,"",INDEX('Rooms Walls and Glass'!$D$46:$AB$50, MATCH($D38,'Rooms Walls and Glass'!$A$46:$A$50,0), MATCH('Unit 1 b'!O$7,'Rooms Walls and Glass'!$D$1:$AB$1,0))))</f>
        <v/>
      </c>
      <c r="P38" s="68" t="str">
        <f t="shared" si="17"/>
        <v>-</v>
      </c>
      <c r="Q38" s="66" t="str">
        <f>IF(Q$7="","",IF(INDEX('Rooms Walls and Glass'!$D$46:$AB$50, MATCH($D38,'Rooms Walls and Glass'!$A$46:$A$50,0), MATCH('Unit 1 b'!Q$7,'Rooms Walls and Glass'!$D$1:$AB$1,0))=0,"",INDEX('Rooms Walls and Glass'!$D$46:$AB$50, MATCH($D38,'Rooms Walls and Glass'!$A$46:$A$50,0), MATCH('Unit 1 b'!Q$7,'Rooms Walls and Glass'!$D$1:$AB$1,0))))</f>
        <v/>
      </c>
      <c r="R38" s="68" t="str">
        <f t="shared" si="18"/>
        <v>-</v>
      </c>
      <c r="S38" s="66" t="str">
        <f>IF(S$7="","",IF(INDEX('Rooms Walls and Glass'!$D$46:$AB$50, MATCH($D38,'Rooms Walls and Glass'!$A$46:$A$50,0), MATCH('Unit 1 b'!S$7,'Rooms Walls and Glass'!$D$1:$AB$1,0))=0,"",INDEX('Rooms Walls and Glass'!$D$46:$AB$50, MATCH($D38,'Rooms Walls and Glass'!$A$46:$A$50,0), MATCH('Unit 1 b'!S$7,'Rooms Walls and Glass'!$D$1:$AB$1,0))))</f>
        <v/>
      </c>
      <c r="T38" s="68" t="str">
        <f t="shared" si="19"/>
        <v>-</v>
      </c>
      <c r="U38" s="66" t="str">
        <f>IF(U$7="","",IF(INDEX('Rooms Walls and Glass'!$D$46:$AB$50, MATCH($D38,'Rooms Walls and Glass'!$A$46:$A$50,0), MATCH('Unit 1 b'!U$7,'Rooms Walls and Glass'!$D$1:$AB$1,0))=0,"",INDEX('Rooms Walls and Glass'!$D$46:$AB$50, MATCH($D38,'Rooms Walls and Glass'!$A$46:$A$50,0), MATCH('Unit 1 b'!U$7,'Rooms Walls and Glass'!$D$1:$AB$1,0))))</f>
        <v/>
      </c>
      <c r="V38" s="68" t="str">
        <f t="shared" si="20"/>
        <v>-</v>
      </c>
      <c r="W38" s="66" t="str">
        <f>IF(W$7="","",IF(INDEX('Rooms Walls and Glass'!$D$46:$AB$50, MATCH($D38,'Rooms Walls and Glass'!$A$46:$A$50,0), MATCH('Unit 1 b'!W$7,'Rooms Walls and Glass'!$D$1:$AB$1,0))=0,"",INDEX('Rooms Walls and Glass'!$D$46:$AB$50, MATCH($D38,'Rooms Walls and Glass'!$A$46:$A$50,0), MATCH('Unit 1 b'!W$7,'Rooms Walls and Glass'!$D$1:$AB$1,0))))</f>
        <v/>
      </c>
      <c r="X38" s="68" t="str">
        <f t="shared" si="21"/>
        <v>-</v>
      </c>
      <c r="Y38" s="66" t="str">
        <f>IF(Y$7="","",IF(INDEX('Rooms Walls and Glass'!$D$46:$AB$50, MATCH($D38,'Rooms Walls and Glass'!$A$46:$A$50,0), MATCH('Unit 1 b'!Y$7,'Rooms Walls and Glass'!$D$1:$AB$1,0))=0,"",INDEX('Rooms Walls and Glass'!$D$46:$AB$50, MATCH($D38,'Rooms Walls and Glass'!$A$46:$A$50,0), MATCH('Unit 1 b'!Y$7,'Rooms Walls and Glass'!$D$1:$AB$1,0))))</f>
        <v/>
      </c>
      <c r="Z38" s="68" t="str">
        <f t="shared" si="22"/>
        <v>-</v>
      </c>
      <c r="AA38" s="66" t="str">
        <f>IF(AA$7="","",IF(INDEX('Rooms Walls and Glass'!$D$46:$AB$50, MATCH($D38,'Rooms Walls and Glass'!$A$46:$A$50,0), MATCH('Unit 1 b'!AA$7,'Rooms Walls and Glass'!$D$1:$AB$1,0))=0,"",INDEX('Rooms Walls and Glass'!$D$46:$AB$50, MATCH($D38,'Rooms Walls and Glass'!$A$46:$A$50,0), MATCH('Unit 1 b'!AA$7,'Rooms Walls and Glass'!$D$1:$AB$1,0))))</f>
        <v/>
      </c>
      <c r="AB38" s="68" t="str">
        <f t="shared" si="23"/>
        <v>-</v>
      </c>
      <c r="AC38" s="66" t="str">
        <f>IF(AC$7="","",IF(INDEX('Rooms Walls and Glass'!$D$46:$AB$50, MATCH($D38,'Rooms Walls and Glass'!$A$46:$A$50,0), MATCH('Unit 1 b'!AC$7,'Rooms Walls and Glass'!$D$1:$AB$1,0))=0,"",INDEX('Rooms Walls and Glass'!$D$46:$AB$50, MATCH($D38,'Rooms Walls and Glass'!$A$46:$A$50,0), MATCH('Unit 1 b'!AC$7,'Rooms Walls and Glass'!$D$1:$AB$1,0))))</f>
        <v/>
      </c>
      <c r="AD38" s="68" t="str">
        <f t="shared" si="30"/>
        <v>-</v>
      </c>
      <c r="AE38" s="66" t="str">
        <f>IF(AE$7="","",IF(INDEX('Rooms Walls and Glass'!$D$46:$AB$50, MATCH($D38,'Rooms Walls and Glass'!$A$46:$A$50,0), MATCH('Unit 1 b'!AE$7,'Rooms Walls and Glass'!$D$1:$AB$1,0))=0,"",INDEX('Rooms Walls and Glass'!$D$46:$AB$50, MATCH($D38,'Rooms Walls and Glass'!$A$46:$A$50,0), MATCH('Unit 1 b'!AE$7,'Rooms Walls and Glass'!$D$1:$AB$1,0))))</f>
        <v/>
      </c>
      <c r="AF38" s="68" t="str">
        <f t="shared" si="31"/>
        <v>-</v>
      </c>
      <c r="AG38" s="66" t="str">
        <f>IF(AG$7="","",IF(INDEX('Rooms Walls and Glass'!$D$46:$AB$50, MATCH($D38,'Rooms Walls and Glass'!$A$46:$A$50,0), MATCH('Unit 1 b'!AG$7,'Rooms Walls and Glass'!$D$1:$AB$1,0))=0,"",INDEX('Rooms Walls and Glass'!$D$46:$AB$50, MATCH($D38,'Rooms Walls and Glass'!$A$46:$A$50,0), MATCH('Unit 1 b'!AG$7,'Rooms Walls and Glass'!$D$1:$AB$1,0))))</f>
        <v/>
      </c>
      <c r="AH38" s="68" t="str">
        <f t="shared" si="25"/>
        <v>-</v>
      </c>
      <c r="AI38" s="66" t="str">
        <f>IF(AI$7="","",IF(INDEX('Rooms Walls and Glass'!$D$46:$AB$50, MATCH($D38,'Rooms Walls and Glass'!$A$46:$A$50,0), MATCH('Unit 1 b'!AI$7,'Rooms Walls and Glass'!$D$1:$AB$1,0))=0,"",INDEX('Rooms Walls and Glass'!$D$46:$AB$50, MATCH($D38,'Rooms Walls and Glass'!$A$46:$A$50,0), MATCH('Unit 1 b'!AI$7,'Rooms Walls and Glass'!$D$1:$AB$1,0))))</f>
        <v/>
      </c>
      <c r="AJ38" s="69" t="str">
        <f t="shared" si="26"/>
        <v>-</v>
      </c>
      <c r="AK38" s="66" t="str">
        <f>IF(AK$7="","",IF(INDEX('Rooms Walls and Glass'!$D$46:$AB$50, MATCH($D38,'Rooms Walls and Glass'!$A$46:$A$50,0), MATCH('Unit 1 b'!AK$7,'Rooms Walls and Glass'!$D$1:$AB$1,0))=0,"",INDEX('Rooms Walls and Glass'!$D$46:$AB$50, MATCH($D38,'Rooms Walls and Glass'!$A$46:$A$50,0), MATCH('Unit 1 b'!AK$7,'Rooms Walls and Glass'!$D$1:$AB$1,0))))</f>
        <v/>
      </c>
      <c r="AL38" s="68" t="str">
        <f t="shared" si="27"/>
        <v>-</v>
      </c>
      <c r="AM38" s="66" t="str">
        <f>IF(AM$7="","",IF(INDEX('Rooms Walls and Glass'!$D$46:$AB$50, MATCH($D38,'Rooms Walls and Glass'!$A$46:$A$50,0), MATCH('Unit 1 b'!AM$7,'Rooms Walls and Glass'!$D$1:$AB$1,0))=0,"",INDEX('Rooms Walls and Glass'!$D$46:$AB$50, MATCH($D38,'Rooms Walls and Glass'!$A$46:$A$50,0), MATCH('Unit 1 b'!AM$7,'Rooms Walls and Glass'!$D$1:$AB$1,0))))</f>
        <v/>
      </c>
      <c r="AN38" s="69" t="str">
        <f t="shared" si="28"/>
        <v>-</v>
      </c>
    </row>
    <row r="39" spans="2:40" ht="11.25" customHeight="1" thickBot="1" x14ac:dyDescent="0.2">
      <c r="B39" s="214"/>
      <c r="C39" s="15" t="s">
        <v>38</v>
      </c>
      <c r="D39" s="16" t="s">
        <v>36</v>
      </c>
      <c r="E39" s="16">
        <v>30</v>
      </c>
      <c r="F39" s="14">
        <f>INDEX(Summary!$F$19:$F$30,MATCH('Unit 1 b'!C39,Summary!$D$19:$D$30,0))</f>
        <v>7.6999999999999999E-2</v>
      </c>
      <c r="G39" s="14">
        <f t="shared" si="29"/>
        <v>2.31</v>
      </c>
      <c r="H39" s="19" t="s">
        <v>6</v>
      </c>
      <c r="I39" s="65">
        <f t="shared" si="13"/>
        <v>306</v>
      </c>
      <c r="J39" s="68">
        <f t="shared" si="14"/>
        <v>706.86</v>
      </c>
      <c r="K39" s="66">
        <f>IF(K$7="","",IF(INDEX('Rooms Walls and Glass'!$D$46:$AB$50, MATCH($D39,'Rooms Walls and Glass'!$A$46:$A$50,0), MATCH('Unit 1 b'!K$7,'Rooms Walls and Glass'!$D$1:$AB$1,0))=0,"",INDEX('Rooms Walls and Glass'!$D$46:$AB$50, MATCH($D39,'Rooms Walls and Glass'!$A$46:$A$50,0), MATCH('Unit 1 b'!K$7,'Rooms Walls and Glass'!$D$1:$AB$1,0))))</f>
        <v>130</v>
      </c>
      <c r="L39" s="68">
        <f t="shared" si="15"/>
        <v>300.3</v>
      </c>
      <c r="M39" s="66">
        <f>IF(M$7="","",IF(INDEX('Rooms Walls and Glass'!$D$46:$AB$50, MATCH($D39,'Rooms Walls and Glass'!$A$46:$A$50,0), MATCH('Unit 1 b'!M$7,'Rooms Walls and Glass'!$D$1:$AB$1,0))=0,"",INDEX('Rooms Walls and Glass'!$D$46:$AB$50, MATCH($D39,'Rooms Walls and Glass'!$A$46:$A$50,0), MATCH('Unit 1 b'!M$7,'Rooms Walls and Glass'!$D$1:$AB$1,0))))</f>
        <v>81</v>
      </c>
      <c r="N39" s="68">
        <f t="shared" si="16"/>
        <v>187.11</v>
      </c>
      <c r="O39" s="66">
        <f>IF(O$7="","",IF(INDEX('Rooms Walls and Glass'!$D$46:$AB$50, MATCH($D39,'Rooms Walls and Glass'!$A$46:$A$50,0), MATCH('Unit 1 b'!O$7,'Rooms Walls and Glass'!$D$1:$AB$1,0))=0,"",INDEX('Rooms Walls and Glass'!$D$46:$AB$50, MATCH($D39,'Rooms Walls and Glass'!$A$46:$A$50,0), MATCH('Unit 1 b'!O$7,'Rooms Walls and Glass'!$D$1:$AB$1,0))))</f>
        <v>95</v>
      </c>
      <c r="P39" s="68">
        <f t="shared" si="17"/>
        <v>219.45000000000002</v>
      </c>
      <c r="Q39" s="66" t="str">
        <f>IF(Q$7="","",IF(INDEX('Rooms Walls and Glass'!$D$46:$AB$50, MATCH($D39,'Rooms Walls and Glass'!$A$46:$A$50,0), MATCH('Unit 1 b'!Q$7,'Rooms Walls and Glass'!$D$1:$AB$1,0))=0,"",INDEX('Rooms Walls and Glass'!$D$46:$AB$50, MATCH($D39,'Rooms Walls and Glass'!$A$46:$A$50,0), MATCH('Unit 1 b'!Q$7,'Rooms Walls and Glass'!$D$1:$AB$1,0))))</f>
        <v/>
      </c>
      <c r="R39" s="68" t="str">
        <f t="shared" si="18"/>
        <v>-</v>
      </c>
      <c r="S39" s="66" t="str">
        <f>IF(S$7="","",IF(INDEX('Rooms Walls and Glass'!$D$46:$AB$50, MATCH($D39,'Rooms Walls and Glass'!$A$46:$A$50,0), MATCH('Unit 1 b'!S$7,'Rooms Walls and Glass'!$D$1:$AB$1,0))=0,"",INDEX('Rooms Walls and Glass'!$D$46:$AB$50, MATCH($D39,'Rooms Walls and Glass'!$A$46:$A$50,0), MATCH('Unit 1 b'!S$7,'Rooms Walls and Glass'!$D$1:$AB$1,0))))</f>
        <v/>
      </c>
      <c r="T39" s="68" t="str">
        <f t="shared" si="19"/>
        <v>-</v>
      </c>
      <c r="U39" s="66" t="str">
        <f>IF(U$7="","",IF(INDEX('Rooms Walls and Glass'!$D$46:$AB$50, MATCH($D39,'Rooms Walls and Glass'!$A$46:$A$50,0), MATCH('Unit 1 b'!U$7,'Rooms Walls and Glass'!$D$1:$AB$1,0))=0,"",INDEX('Rooms Walls and Glass'!$D$46:$AB$50, MATCH($D39,'Rooms Walls and Glass'!$A$46:$A$50,0), MATCH('Unit 1 b'!U$7,'Rooms Walls and Glass'!$D$1:$AB$1,0))))</f>
        <v/>
      </c>
      <c r="V39" s="68" t="str">
        <f t="shared" si="20"/>
        <v>-</v>
      </c>
      <c r="W39" s="66" t="str">
        <f>IF(W$7="","",IF(INDEX('Rooms Walls and Glass'!$D$46:$AB$50, MATCH($D39,'Rooms Walls and Glass'!$A$46:$A$50,0), MATCH('Unit 1 b'!W$7,'Rooms Walls and Glass'!$D$1:$AB$1,0))=0,"",INDEX('Rooms Walls and Glass'!$D$46:$AB$50, MATCH($D39,'Rooms Walls and Glass'!$A$46:$A$50,0), MATCH('Unit 1 b'!W$7,'Rooms Walls and Glass'!$D$1:$AB$1,0))))</f>
        <v/>
      </c>
      <c r="X39" s="68" t="str">
        <f t="shared" si="21"/>
        <v>-</v>
      </c>
      <c r="Y39" s="66" t="str">
        <f>IF(Y$7="","",IF(INDEX('Rooms Walls and Glass'!$D$46:$AB$50, MATCH($D39,'Rooms Walls and Glass'!$A$46:$A$50,0), MATCH('Unit 1 b'!Y$7,'Rooms Walls and Glass'!$D$1:$AB$1,0))=0,"",INDEX('Rooms Walls and Glass'!$D$46:$AB$50, MATCH($D39,'Rooms Walls and Glass'!$A$46:$A$50,0), MATCH('Unit 1 b'!Y$7,'Rooms Walls and Glass'!$D$1:$AB$1,0))))</f>
        <v/>
      </c>
      <c r="Z39" s="68" t="str">
        <f t="shared" si="22"/>
        <v>-</v>
      </c>
      <c r="AA39" s="66" t="str">
        <f>IF(AA$7="","",IF(INDEX('Rooms Walls and Glass'!$D$46:$AB$50, MATCH($D39,'Rooms Walls and Glass'!$A$46:$A$50,0), MATCH('Unit 1 b'!AA$7,'Rooms Walls and Glass'!$D$1:$AB$1,0))=0,"",INDEX('Rooms Walls and Glass'!$D$46:$AB$50, MATCH($D39,'Rooms Walls and Glass'!$A$46:$A$50,0), MATCH('Unit 1 b'!AA$7,'Rooms Walls and Glass'!$D$1:$AB$1,0))))</f>
        <v/>
      </c>
      <c r="AB39" s="68" t="str">
        <f t="shared" si="23"/>
        <v>-</v>
      </c>
      <c r="AC39" s="66" t="str">
        <f>IF(AC$7="","",IF(INDEX('Rooms Walls and Glass'!$D$46:$AB$50, MATCH($D39,'Rooms Walls and Glass'!$A$46:$A$50,0), MATCH('Unit 1 b'!AC$7,'Rooms Walls and Glass'!$D$1:$AB$1,0))=0,"",INDEX('Rooms Walls and Glass'!$D$46:$AB$50, MATCH($D39,'Rooms Walls and Glass'!$A$46:$A$50,0), MATCH('Unit 1 b'!AC$7,'Rooms Walls and Glass'!$D$1:$AB$1,0))))</f>
        <v/>
      </c>
      <c r="AD39" s="68" t="str">
        <f t="shared" si="30"/>
        <v>-</v>
      </c>
      <c r="AE39" s="66" t="str">
        <f>IF(AE$7="","",IF(INDEX('Rooms Walls and Glass'!$D$46:$AB$50, MATCH($D39,'Rooms Walls and Glass'!$A$46:$A$50,0), MATCH('Unit 1 b'!AE$7,'Rooms Walls and Glass'!$D$1:$AB$1,0))=0,"",INDEX('Rooms Walls and Glass'!$D$46:$AB$50, MATCH($D39,'Rooms Walls and Glass'!$A$46:$A$50,0), MATCH('Unit 1 b'!AE$7,'Rooms Walls and Glass'!$D$1:$AB$1,0))))</f>
        <v/>
      </c>
      <c r="AF39" s="68" t="str">
        <f t="shared" si="31"/>
        <v>-</v>
      </c>
      <c r="AG39" s="66" t="str">
        <f>IF(AG$7="","",IF(INDEX('Rooms Walls and Glass'!$D$46:$AB$50, MATCH($D39,'Rooms Walls and Glass'!$A$46:$A$50,0), MATCH('Unit 1 b'!AG$7,'Rooms Walls and Glass'!$D$1:$AB$1,0))=0,"",INDEX('Rooms Walls and Glass'!$D$46:$AB$50, MATCH($D39,'Rooms Walls and Glass'!$A$46:$A$50,0), MATCH('Unit 1 b'!AG$7,'Rooms Walls and Glass'!$D$1:$AB$1,0))))</f>
        <v/>
      </c>
      <c r="AH39" s="68" t="str">
        <f t="shared" si="25"/>
        <v>-</v>
      </c>
      <c r="AI39" s="66" t="str">
        <f>IF(AI$7="","",IF(INDEX('Rooms Walls and Glass'!$D$46:$AB$50, MATCH($D39,'Rooms Walls and Glass'!$A$46:$A$50,0), MATCH('Unit 1 b'!AI$7,'Rooms Walls and Glass'!$D$1:$AB$1,0))=0,"",INDEX('Rooms Walls and Glass'!$D$46:$AB$50, MATCH($D39,'Rooms Walls and Glass'!$A$46:$A$50,0), MATCH('Unit 1 b'!AI$7,'Rooms Walls and Glass'!$D$1:$AB$1,0))))</f>
        <v/>
      </c>
      <c r="AJ39" s="69" t="str">
        <f t="shared" si="26"/>
        <v>-</v>
      </c>
      <c r="AK39" s="66" t="str">
        <f>IF(AK$7="","",IF(INDEX('Rooms Walls and Glass'!$D$46:$AB$50, MATCH($D39,'Rooms Walls and Glass'!$A$46:$A$50,0), MATCH('Unit 1 b'!AK$7,'Rooms Walls and Glass'!$D$1:$AB$1,0))=0,"",INDEX('Rooms Walls and Glass'!$D$46:$AB$50, MATCH($D39,'Rooms Walls and Glass'!$A$46:$A$50,0), MATCH('Unit 1 b'!AK$7,'Rooms Walls and Glass'!$D$1:$AB$1,0))))</f>
        <v/>
      </c>
      <c r="AL39" s="68" t="str">
        <f t="shared" si="27"/>
        <v>-</v>
      </c>
      <c r="AM39" s="66" t="str">
        <f>IF(AM$7="","",IF(INDEX('Rooms Walls and Glass'!$D$46:$AB$50, MATCH($D39,'Rooms Walls and Glass'!$A$46:$A$50,0), MATCH('Unit 1 b'!AM$7,'Rooms Walls and Glass'!$D$1:$AB$1,0))=0,"",INDEX('Rooms Walls and Glass'!$D$46:$AB$50, MATCH($D39,'Rooms Walls and Glass'!$A$46:$A$50,0), MATCH('Unit 1 b'!AM$7,'Rooms Walls and Glass'!$D$1:$AB$1,0))))</f>
        <v/>
      </c>
      <c r="AN39" s="69" t="str">
        <f t="shared" si="28"/>
        <v>-</v>
      </c>
    </row>
    <row r="40" spans="2:40" ht="11.25" customHeight="1" thickBot="1" x14ac:dyDescent="0.2">
      <c r="B40" s="214"/>
      <c r="C40" s="15" t="s">
        <v>40</v>
      </c>
      <c r="D40" s="16" t="s">
        <v>47</v>
      </c>
      <c r="E40" s="16">
        <f>IF(Summary!P26="R-21 Spray Foam",15,55)</f>
        <v>55</v>
      </c>
      <c r="F40" s="14">
        <f>INDEX(Summary!$F$19:$F$30,MATCH('Unit 1 b'!C40,Summary!$D$19:$D$30,0))</f>
        <v>5.2999999999999999E-2</v>
      </c>
      <c r="G40" s="14">
        <f t="shared" si="29"/>
        <v>2.915</v>
      </c>
      <c r="H40" s="16" t="s">
        <v>6</v>
      </c>
      <c r="I40" s="65">
        <f t="shared" si="13"/>
        <v>0</v>
      </c>
      <c r="J40" s="68">
        <f t="shared" si="14"/>
        <v>0</v>
      </c>
      <c r="K40" s="66" t="str">
        <f>IF(K$7="","",IF(INDEX('Rooms Walls and Glass'!$D$46:$AB$50, MATCH($D40,'Rooms Walls and Glass'!$A$46:$A$50,0), MATCH('Unit 1 b'!K$7,'Rooms Walls and Glass'!$D$1:$AB$1,0))=0,"",INDEX('Rooms Walls and Glass'!$D$46:$AB$50, MATCH($D40,'Rooms Walls and Glass'!$A$46:$A$50,0), MATCH('Unit 1 b'!K$7,'Rooms Walls and Glass'!$D$1:$AB$1,0))))</f>
        <v/>
      </c>
      <c r="L40" s="68" t="str">
        <f t="shared" si="15"/>
        <v>-</v>
      </c>
      <c r="M40" s="66" t="str">
        <f>IF(M$7="","",IF(INDEX('Rooms Walls and Glass'!$D$46:$AB$50, MATCH($D40,'Rooms Walls and Glass'!$A$46:$A$50,0), MATCH('Unit 1 b'!M$7,'Rooms Walls and Glass'!$D$1:$AB$1,0))=0,"",INDEX('Rooms Walls and Glass'!$D$46:$AB$50, MATCH($D40,'Rooms Walls and Glass'!$A$46:$A$50,0), MATCH('Unit 1 b'!M$7,'Rooms Walls and Glass'!$D$1:$AB$1,0))))</f>
        <v/>
      </c>
      <c r="N40" s="68" t="str">
        <f t="shared" si="16"/>
        <v>-</v>
      </c>
      <c r="O40" s="66" t="str">
        <f>IF(O$7="","",IF(INDEX('Rooms Walls and Glass'!$D$46:$AB$50, MATCH($D40,'Rooms Walls and Glass'!$A$46:$A$50,0), MATCH('Unit 1 b'!O$7,'Rooms Walls and Glass'!$D$1:$AB$1,0))=0,"",INDEX('Rooms Walls and Glass'!$D$46:$AB$50, MATCH($D40,'Rooms Walls and Glass'!$A$46:$A$50,0), MATCH('Unit 1 b'!O$7,'Rooms Walls and Glass'!$D$1:$AB$1,0))))</f>
        <v/>
      </c>
      <c r="P40" s="68" t="str">
        <f t="shared" si="17"/>
        <v>-</v>
      </c>
      <c r="Q40" s="66" t="str">
        <f>IF(Q$7="","",IF(INDEX('Rooms Walls and Glass'!$D$46:$AB$50, MATCH($D40,'Rooms Walls and Glass'!$A$46:$A$50,0), MATCH('Unit 1 b'!Q$7,'Rooms Walls and Glass'!$D$1:$AB$1,0))=0,"",INDEX('Rooms Walls and Glass'!$D$46:$AB$50, MATCH($D40,'Rooms Walls and Glass'!$A$46:$A$50,0), MATCH('Unit 1 b'!Q$7,'Rooms Walls and Glass'!$D$1:$AB$1,0))))</f>
        <v/>
      </c>
      <c r="R40" s="68" t="str">
        <f t="shared" si="18"/>
        <v>-</v>
      </c>
      <c r="S40" s="66" t="str">
        <f>IF(S$7="","",IF(INDEX('Rooms Walls and Glass'!$D$46:$AB$50, MATCH($D40,'Rooms Walls and Glass'!$A$46:$A$50,0), MATCH('Unit 1 b'!S$7,'Rooms Walls and Glass'!$D$1:$AB$1,0))=0,"",INDEX('Rooms Walls and Glass'!$D$46:$AB$50, MATCH($D40,'Rooms Walls and Glass'!$A$46:$A$50,0), MATCH('Unit 1 b'!S$7,'Rooms Walls and Glass'!$D$1:$AB$1,0))))</f>
        <v/>
      </c>
      <c r="T40" s="68" t="str">
        <f t="shared" si="19"/>
        <v>-</v>
      </c>
      <c r="U40" s="66" t="str">
        <f>IF(U$7="","",IF(INDEX('Rooms Walls and Glass'!$D$46:$AB$50, MATCH($D40,'Rooms Walls and Glass'!$A$46:$A$50,0), MATCH('Unit 1 b'!U$7,'Rooms Walls and Glass'!$D$1:$AB$1,0))=0,"",INDEX('Rooms Walls and Glass'!$D$46:$AB$50, MATCH($D40,'Rooms Walls and Glass'!$A$46:$A$50,0), MATCH('Unit 1 b'!U$7,'Rooms Walls and Glass'!$D$1:$AB$1,0))))</f>
        <v/>
      </c>
      <c r="V40" s="68" t="str">
        <f t="shared" si="20"/>
        <v>-</v>
      </c>
      <c r="W40" s="66" t="str">
        <f>IF(W$7="","",IF(INDEX('Rooms Walls and Glass'!$D$46:$AB$50, MATCH($D40,'Rooms Walls and Glass'!$A$46:$A$50,0), MATCH('Unit 1 b'!W$7,'Rooms Walls and Glass'!$D$1:$AB$1,0))=0,"",INDEX('Rooms Walls and Glass'!$D$46:$AB$50, MATCH($D40,'Rooms Walls and Glass'!$A$46:$A$50,0), MATCH('Unit 1 b'!W$7,'Rooms Walls and Glass'!$D$1:$AB$1,0))))</f>
        <v/>
      </c>
      <c r="X40" s="68" t="str">
        <f t="shared" si="21"/>
        <v>-</v>
      </c>
      <c r="Y40" s="66" t="str">
        <f>IF(Y$7="","",IF(INDEX('Rooms Walls and Glass'!$D$46:$AB$50, MATCH($D40,'Rooms Walls and Glass'!$A$46:$A$50,0), MATCH('Unit 1 b'!Y$7,'Rooms Walls and Glass'!$D$1:$AB$1,0))=0,"",INDEX('Rooms Walls and Glass'!$D$46:$AB$50, MATCH($D40,'Rooms Walls and Glass'!$A$46:$A$50,0), MATCH('Unit 1 b'!Y$7,'Rooms Walls and Glass'!$D$1:$AB$1,0))))</f>
        <v/>
      </c>
      <c r="Z40" s="68" t="str">
        <f t="shared" si="22"/>
        <v>-</v>
      </c>
      <c r="AA40" s="66" t="str">
        <f>IF(AA$7="","",IF(INDEX('Rooms Walls and Glass'!$D$46:$AB$50, MATCH($D40,'Rooms Walls and Glass'!$A$46:$A$50,0), MATCH('Unit 1 b'!AA$7,'Rooms Walls and Glass'!$D$1:$AB$1,0))=0,"",INDEX('Rooms Walls and Glass'!$D$46:$AB$50, MATCH($D40,'Rooms Walls and Glass'!$A$46:$A$50,0), MATCH('Unit 1 b'!AA$7,'Rooms Walls and Glass'!$D$1:$AB$1,0))))</f>
        <v/>
      </c>
      <c r="AB40" s="68" t="str">
        <f t="shared" si="23"/>
        <v>-</v>
      </c>
      <c r="AC40" s="66" t="str">
        <f>IF(AC$7="","",IF(INDEX('Rooms Walls and Glass'!$D$46:$AB$50, MATCH($D40,'Rooms Walls and Glass'!$A$46:$A$50,0), MATCH('Unit 1 b'!AC$7,'Rooms Walls and Glass'!$D$1:$AB$1,0))=0,"",INDEX('Rooms Walls and Glass'!$D$46:$AB$50, MATCH($D40,'Rooms Walls and Glass'!$A$46:$A$50,0), MATCH('Unit 1 b'!AC$7,'Rooms Walls and Glass'!$D$1:$AB$1,0))))</f>
        <v/>
      </c>
      <c r="AD40" s="68" t="str">
        <f t="shared" si="30"/>
        <v>-</v>
      </c>
      <c r="AE40" s="66" t="str">
        <f>IF(AE$7="","",IF(INDEX('Rooms Walls and Glass'!$D$46:$AB$50, MATCH($D40,'Rooms Walls and Glass'!$A$46:$A$50,0), MATCH('Unit 1 b'!AE$7,'Rooms Walls and Glass'!$D$1:$AB$1,0))=0,"",INDEX('Rooms Walls and Glass'!$D$46:$AB$50, MATCH($D40,'Rooms Walls and Glass'!$A$46:$A$50,0), MATCH('Unit 1 b'!AE$7,'Rooms Walls and Glass'!$D$1:$AB$1,0))))</f>
        <v/>
      </c>
      <c r="AF40" s="68" t="str">
        <f t="shared" si="31"/>
        <v>-</v>
      </c>
      <c r="AG40" s="66" t="str">
        <f>IF(AG$7="","",IF(INDEX('Rooms Walls and Glass'!$D$46:$AB$50, MATCH($D40,'Rooms Walls and Glass'!$A$46:$A$50,0), MATCH('Unit 1 b'!AG$7,'Rooms Walls and Glass'!$D$1:$AB$1,0))=0,"",INDEX('Rooms Walls and Glass'!$D$46:$AB$50, MATCH($D40,'Rooms Walls and Glass'!$A$46:$A$50,0), MATCH('Unit 1 b'!AG$7,'Rooms Walls and Glass'!$D$1:$AB$1,0))))</f>
        <v/>
      </c>
      <c r="AH40" s="68" t="str">
        <f t="shared" si="25"/>
        <v>-</v>
      </c>
      <c r="AI40" s="66" t="str">
        <f>IF(AI$7="","",IF(INDEX('Rooms Walls and Glass'!$D$46:$AB$50, MATCH($D40,'Rooms Walls and Glass'!$A$46:$A$50,0), MATCH('Unit 1 b'!AI$7,'Rooms Walls and Glass'!$D$1:$AB$1,0))=0,"",INDEX('Rooms Walls and Glass'!$D$46:$AB$50, MATCH($D40,'Rooms Walls and Glass'!$A$46:$A$50,0), MATCH('Unit 1 b'!AI$7,'Rooms Walls and Glass'!$D$1:$AB$1,0))))</f>
        <v/>
      </c>
      <c r="AJ40" s="69" t="str">
        <f t="shared" si="26"/>
        <v>-</v>
      </c>
      <c r="AK40" s="66" t="str">
        <f>IF(AK$7="","",IF(INDEX('Rooms Walls and Glass'!$D$46:$AB$50, MATCH($D40,'Rooms Walls and Glass'!$A$46:$A$50,0), MATCH('Unit 1 b'!AK$7,'Rooms Walls and Glass'!$D$1:$AB$1,0))=0,"",INDEX('Rooms Walls and Glass'!$D$46:$AB$50, MATCH($D40,'Rooms Walls and Glass'!$A$46:$A$50,0), MATCH('Unit 1 b'!AK$7,'Rooms Walls and Glass'!$D$1:$AB$1,0))))</f>
        <v/>
      </c>
      <c r="AL40" s="68" t="str">
        <f t="shared" si="27"/>
        <v>-</v>
      </c>
      <c r="AM40" s="66" t="str">
        <f>IF(AM$7="","",IF(INDEX('Rooms Walls and Glass'!$D$46:$AB$50, MATCH($D40,'Rooms Walls and Glass'!$A$46:$A$50,0), MATCH('Unit 1 b'!AM$7,'Rooms Walls and Glass'!$D$1:$AB$1,0))=0,"",INDEX('Rooms Walls and Glass'!$D$46:$AB$50, MATCH($D40,'Rooms Walls and Glass'!$A$46:$A$50,0), MATCH('Unit 1 b'!AM$7,'Rooms Walls and Glass'!$D$1:$AB$1,0))))</f>
        <v/>
      </c>
      <c r="AN40" s="69" t="str">
        <f t="shared" si="28"/>
        <v>-</v>
      </c>
    </row>
    <row r="41" spans="2:40" ht="11.25" customHeight="1" thickBot="1" x14ac:dyDescent="0.2">
      <c r="B41" s="213"/>
      <c r="C41" s="17" t="s">
        <v>40</v>
      </c>
      <c r="D41" s="18" t="s">
        <v>48</v>
      </c>
      <c r="E41" s="16">
        <f>IF(Summary!P27="R-21 Spray Foam",15,55)</f>
        <v>55</v>
      </c>
      <c r="F41" s="14">
        <f>INDEX(Summary!$F$19:$F$30,MATCH('Unit 1 b'!C41,Summary!$D$19:$D$30,0))</f>
        <v>5.2999999999999999E-2</v>
      </c>
      <c r="G41" s="14">
        <f t="shared" si="29"/>
        <v>2.915</v>
      </c>
      <c r="H41" s="18" t="s">
        <v>6</v>
      </c>
      <c r="I41" s="65">
        <f t="shared" si="13"/>
        <v>0</v>
      </c>
      <c r="J41" s="70">
        <f t="shared" si="14"/>
        <v>0</v>
      </c>
      <c r="K41" s="66" t="str">
        <f>IF(K$7="","",IF(INDEX('Rooms Walls and Glass'!$D$46:$AB$50, MATCH($D41,'Rooms Walls and Glass'!$A$46:$A$50,0), MATCH('Unit 1 b'!K$7,'Rooms Walls and Glass'!$D$1:$AB$1,0))=0,"",INDEX('Rooms Walls and Glass'!$D$46:$AB$50, MATCH($D41,'Rooms Walls and Glass'!$A$46:$A$50,0), MATCH('Unit 1 b'!K$7,'Rooms Walls and Glass'!$D$1:$AB$1,0))))</f>
        <v/>
      </c>
      <c r="L41" s="70" t="str">
        <f t="shared" si="15"/>
        <v>-</v>
      </c>
      <c r="M41" s="66" t="str">
        <f>IF(M$7="","",IF(INDEX('Rooms Walls and Glass'!$D$46:$AB$50, MATCH($D41,'Rooms Walls and Glass'!$A$46:$A$50,0), MATCH('Unit 1 b'!M$7,'Rooms Walls and Glass'!$D$1:$AB$1,0))=0,"",INDEX('Rooms Walls and Glass'!$D$46:$AB$50, MATCH($D41,'Rooms Walls and Glass'!$A$46:$A$50,0), MATCH('Unit 1 b'!M$7,'Rooms Walls and Glass'!$D$1:$AB$1,0))))</f>
        <v/>
      </c>
      <c r="N41" s="70" t="str">
        <f t="shared" si="16"/>
        <v>-</v>
      </c>
      <c r="O41" s="66" t="str">
        <f>IF(O$7="","",IF(INDEX('Rooms Walls and Glass'!$D$46:$AB$50, MATCH($D41,'Rooms Walls and Glass'!$A$46:$A$50,0), MATCH('Unit 1 b'!O$7,'Rooms Walls and Glass'!$D$1:$AB$1,0))=0,"",INDEX('Rooms Walls and Glass'!$D$46:$AB$50, MATCH($D41,'Rooms Walls and Glass'!$A$46:$A$50,0), MATCH('Unit 1 b'!O$7,'Rooms Walls and Glass'!$D$1:$AB$1,0))))</f>
        <v/>
      </c>
      <c r="P41" s="70" t="str">
        <f t="shared" si="17"/>
        <v>-</v>
      </c>
      <c r="Q41" s="66" t="str">
        <f>IF(Q$7="","",IF(INDEX('Rooms Walls and Glass'!$D$46:$AB$50, MATCH($D41,'Rooms Walls and Glass'!$A$46:$A$50,0), MATCH('Unit 1 b'!Q$7,'Rooms Walls and Glass'!$D$1:$AB$1,0))=0,"",INDEX('Rooms Walls and Glass'!$D$46:$AB$50, MATCH($D41,'Rooms Walls and Glass'!$A$46:$A$50,0), MATCH('Unit 1 b'!Q$7,'Rooms Walls and Glass'!$D$1:$AB$1,0))))</f>
        <v/>
      </c>
      <c r="R41" s="70" t="str">
        <f t="shared" si="18"/>
        <v>-</v>
      </c>
      <c r="S41" s="66" t="str">
        <f>IF(S$7="","",IF(INDEX('Rooms Walls and Glass'!$D$46:$AB$50, MATCH($D41,'Rooms Walls and Glass'!$A$46:$A$50,0), MATCH('Unit 1 b'!S$7,'Rooms Walls and Glass'!$D$1:$AB$1,0))=0,"",INDEX('Rooms Walls and Glass'!$D$46:$AB$50, MATCH($D41,'Rooms Walls and Glass'!$A$46:$A$50,0), MATCH('Unit 1 b'!S$7,'Rooms Walls and Glass'!$D$1:$AB$1,0))))</f>
        <v/>
      </c>
      <c r="T41" s="70" t="str">
        <f t="shared" si="19"/>
        <v>-</v>
      </c>
      <c r="U41" s="66" t="str">
        <f>IF(U$7="","",IF(INDEX('Rooms Walls and Glass'!$D$46:$AB$50, MATCH($D41,'Rooms Walls and Glass'!$A$46:$A$50,0), MATCH('Unit 1 b'!U$7,'Rooms Walls and Glass'!$D$1:$AB$1,0))=0,"",INDEX('Rooms Walls and Glass'!$D$46:$AB$50, MATCH($D41,'Rooms Walls and Glass'!$A$46:$A$50,0), MATCH('Unit 1 b'!U$7,'Rooms Walls and Glass'!$D$1:$AB$1,0))))</f>
        <v/>
      </c>
      <c r="V41" s="70" t="str">
        <f t="shared" si="20"/>
        <v>-</v>
      </c>
      <c r="W41" s="66" t="str">
        <f>IF(W$7="","",IF(INDEX('Rooms Walls and Glass'!$D$46:$AB$50, MATCH($D41,'Rooms Walls and Glass'!$A$46:$A$50,0), MATCH('Unit 1 b'!W$7,'Rooms Walls and Glass'!$D$1:$AB$1,0))=0,"",INDEX('Rooms Walls and Glass'!$D$46:$AB$50, MATCH($D41,'Rooms Walls and Glass'!$A$46:$A$50,0), MATCH('Unit 1 b'!W$7,'Rooms Walls and Glass'!$D$1:$AB$1,0))))</f>
        <v/>
      </c>
      <c r="X41" s="70" t="str">
        <f t="shared" si="21"/>
        <v>-</v>
      </c>
      <c r="Y41" s="66" t="str">
        <f>IF(Y$7="","",IF(INDEX('Rooms Walls and Glass'!$D$46:$AB$50, MATCH($D41,'Rooms Walls and Glass'!$A$46:$A$50,0), MATCH('Unit 1 b'!Y$7,'Rooms Walls and Glass'!$D$1:$AB$1,0))=0,"",INDEX('Rooms Walls and Glass'!$D$46:$AB$50, MATCH($D41,'Rooms Walls and Glass'!$A$46:$A$50,0), MATCH('Unit 1 b'!Y$7,'Rooms Walls and Glass'!$D$1:$AB$1,0))))</f>
        <v/>
      </c>
      <c r="Z41" s="70" t="str">
        <f t="shared" si="22"/>
        <v>-</v>
      </c>
      <c r="AA41" s="66" t="str">
        <f>IF(AA$7="","",IF(INDEX('Rooms Walls and Glass'!$D$46:$AB$50, MATCH($D41,'Rooms Walls and Glass'!$A$46:$A$50,0), MATCH('Unit 1 b'!AA$7,'Rooms Walls and Glass'!$D$1:$AB$1,0))=0,"",INDEX('Rooms Walls and Glass'!$D$46:$AB$50, MATCH($D41,'Rooms Walls and Glass'!$A$46:$A$50,0), MATCH('Unit 1 b'!AA$7,'Rooms Walls and Glass'!$D$1:$AB$1,0))))</f>
        <v/>
      </c>
      <c r="AB41" s="70" t="str">
        <f t="shared" si="23"/>
        <v>-</v>
      </c>
      <c r="AC41" s="66" t="str">
        <f>IF(AC$7="","",IF(INDEX('Rooms Walls and Glass'!$D$46:$AB$50, MATCH($D41,'Rooms Walls and Glass'!$A$46:$A$50,0), MATCH('Unit 1 b'!AC$7,'Rooms Walls and Glass'!$D$1:$AB$1,0))=0,"",INDEX('Rooms Walls and Glass'!$D$46:$AB$50, MATCH($D41,'Rooms Walls and Glass'!$A$46:$A$50,0), MATCH('Unit 1 b'!AC$7,'Rooms Walls and Glass'!$D$1:$AB$1,0))))</f>
        <v/>
      </c>
      <c r="AD41" s="70" t="str">
        <f t="shared" si="30"/>
        <v>-</v>
      </c>
      <c r="AE41" s="66" t="str">
        <f>IF(AE$7="","",IF(INDEX('Rooms Walls and Glass'!$D$46:$AB$50, MATCH($D41,'Rooms Walls and Glass'!$A$46:$A$50,0), MATCH('Unit 1 b'!AE$7,'Rooms Walls and Glass'!$D$1:$AB$1,0))=0,"",INDEX('Rooms Walls and Glass'!$D$46:$AB$50, MATCH($D41,'Rooms Walls and Glass'!$A$46:$A$50,0), MATCH('Unit 1 b'!AE$7,'Rooms Walls and Glass'!$D$1:$AB$1,0))))</f>
        <v/>
      </c>
      <c r="AF41" s="70" t="str">
        <f t="shared" si="31"/>
        <v>-</v>
      </c>
      <c r="AG41" s="66" t="str">
        <f>IF(AG$7="","",IF(INDEX('Rooms Walls and Glass'!$D$46:$AB$50, MATCH($D41,'Rooms Walls and Glass'!$A$46:$A$50,0), MATCH('Unit 1 b'!AG$7,'Rooms Walls and Glass'!$D$1:$AB$1,0))=0,"",INDEX('Rooms Walls and Glass'!$D$46:$AB$50, MATCH($D41,'Rooms Walls and Glass'!$A$46:$A$50,0), MATCH('Unit 1 b'!AG$7,'Rooms Walls and Glass'!$D$1:$AB$1,0))))</f>
        <v/>
      </c>
      <c r="AH41" s="70" t="str">
        <f t="shared" si="25"/>
        <v>-</v>
      </c>
      <c r="AI41" s="66" t="str">
        <f>IF(AI$7="","",IF(INDEX('Rooms Walls and Glass'!$D$46:$AB$50, MATCH($D41,'Rooms Walls and Glass'!$A$46:$A$50,0), MATCH('Unit 1 b'!AI$7,'Rooms Walls and Glass'!$D$1:$AB$1,0))=0,"",INDEX('Rooms Walls and Glass'!$D$46:$AB$50, MATCH($D41,'Rooms Walls and Glass'!$A$46:$A$50,0), MATCH('Unit 1 b'!AI$7,'Rooms Walls and Glass'!$D$1:$AB$1,0))))</f>
        <v/>
      </c>
      <c r="AJ41" s="71" t="str">
        <f t="shared" si="26"/>
        <v>-</v>
      </c>
      <c r="AK41" s="66" t="str">
        <f>IF(AK$7="","",IF(INDEX('Rooms Walls and Glass'!$D$46:$AB$50, MATCH($D41,'Rooms Walls and Glass'!$A$46:$A$50,0), MATCH('Unit 1 b'!AK$7,'Rooms Walls and Glass'!$D$1:$AB$1,0))=0,"",INDEX('Rooms Walls and Glass'!$D$46:$AB$50, MATCH($D41,'Rooms Walls and Glass'!$A$46:$A$50,0), MATCH('Unit 1 b'!AK$7,'Rooms Walls and Glass'!$D$1:$AB$1,0))))</f>
        <v/>
      </c>
      <c r="AL41" s="70" t="str">
        <f t="shared" si="27"/>
        <v>-</v>
      </c>
      <c r="AM41" s="66" t="str">
        <f>IF(AM$7="","",IF(INDEX('Rooms Walls and Glass'!$D$46:$AB$50, MATCH($D41,'Rooms Walls and Glass'!$A$46:$A$50,0), MATCH('Unit 1 b'!AM$7,'Rooms Walls and Glass'!$D$1:$AB$1,0))=0,"",INDEX('Rooms Walls and Glass'!$D$46:$AB$50, MATCH($D41,'Rooms Walls and Glass'!$A$46:$A$50,0), MATCH('Unit 1 b'!AM$7,'Rooms Walls and Glass'!$D$1:$AB$1,0))))</f>
        <v/>
      </c>
      <c r="AN41" s="71" t="str">
        <f t="shared" si="28"/>
        <v>-</v>
      </c>
    </row>
    <row r="42" spans="2:40" ht="11.25" customHeight="1" thickBot="1" x14ac:dyDescent="0.2">
      <c r="B42" s="212" t="s">
        <v>81</v>
      </c>
      <c r="C42" s="12" t="s">
        <v>41</v>
      </c>
      <c r="D42" s="13" t="s">
        <v>49</v>
      </c>
      <c r="E42" s="13">
        <v>55</v>
      </c>
      <c r="F42" s="14">
        <f>INDEX(Summary!$F$19:$F$30,MATCH('Unit 1 b'!C42,Summary!$D$19:$D$30,0))</f>
        <v>2.5999999999999999E-2</v>
      </c>
      <c r="G42" s="14">
        <f t="shared" si="29"/>
        <v>1.43</v>
      </c>
      <c r="H42" s="13" t="s">
        <v>6</v>
      </c>
      <c r="I42" s="65">
        <f t="shared" si="13"/>
        <v>0</v>
      </c>
      <c r="J42" s="65">
        <f t="shared" si="14"/>
        <v>0</v>
      </c>
      <c r="K42" s="66" t="str">
        <f>IF(K$7="","",IF(INDEX('Rooms Walls and Glass'!$D$53:$AB$57, MATCH($D42,'Rooms Walls and Glass'!$A$53:$A$57,0), MATCH('Unit 1 b'!K$7,'Rooms Walls and Glass'!$D$1:$AB$1,0))=0,"",INDEX('Rooms Walls and Glass'!$D$53:$AB$57, MATCH($D42,'Rooms Walls and Glass'!$A$53:$A$57,0), MATCH('Unit 1 b'!K$7,'Rooms Walls and Glass'!$D$1:$AB$1,0))))</f>
        <v/>
      </c>
      <c r="L42" s="65" t="str">
        <f t="shared" si="15"/>
        <v>-</v>
      </c>
      <c r="M42" s="66" t="str">
        <f>IF(M$7="","",IF(INDEX('Rooms Walls and Glass'!$D$53:$AB$57, MATCH($D42,'Rooms Walls and Glass'!$A$53:$A$57,0), MATCH('Unit 1 b'!M$7,'Rooms Walls and Glass'!$D$1:$AB$1,0))=0,"",INDEX('Rooms Walls and Glass'!$D$53:$AB$57, MATCH($D42,'Rooms Walls and Glass'!$A$53:$A$57,0), MATCH('Unit 1 b'!M$7,'Rooms Walls and Glass'!$D$1:$AB$1,0))))</f>
        <v/>
      </c>
      <c r="N42" s="65" t="str">
        <f t="shared" si="16"/>
        <v>-</v>
      </c>
      <c r="O42" s="66" t="str">
        <f>IF(O$7="","",IF(INDEX('Rooms Walls and Glass'!$D$53:$AB$57, MATCH($D42,'Rooms Walls and Glass'!$A$53:$A$57,0), MATCH('Unit 1 b'!O$7,'Rooms Walls and Glass'!$D$1:$AB$1,0))=0,"",INDEX('Rooms Walls and Glass'!$D$53:$AB$57, MATCH($D42,'Rooms Walls and Glass'!$A$53:$A$57,0), MATCH('Unit 1 b'!O$7,'Rooms Walls and Glass'!$D$1:$AB$1,0))))</f>
        <v/>
      </c>
      <c r="P42" s="65" t="str">
        <f t="shared" si="17"/>
        <v>-</v>
      </c>
      <c r="Q42" s="66" t="str">
        <f>IF(Q$7="","",IF(INDEX('Rooms Walls and Glass'!$D$53:$AB$57, MATCH($D42,'Rooms Walls and Glass'!$A$53:$A$57,0), MATCH('Unit 1 b'!Q$7,'Rooms Walls and Glass'!$D$1:$AB$1,0))=0,"",INDEX('Rooms Walls and Glass'!$D$53:$AB$57, MATCH($D42,'Rooms Walls and Glass'!$A$53:$A$57,0), MATCH('Unit 1 b'!Q$7,'Rooms Walls and Glass'!$D$1:$AB$1,0))))</f>
        <v/>
      </c>
      <c r="R42" s="65" t="str">
        <f t="shared" si="18"/>
        <v>-</v>
      </c>
      <c r="S42" s="66" t="str">
        <f>IF(S$7="","",IF(INDEX('Rooms Walls and Glass'!$D$53:$AB$57, MATCH($D42,'Rooms Walls and Glass'!$A$53:$A$57,0), MATCH('Unit 1 b'!S$7,'Rooms Walls and Glass'!$D$1:$AB$1,0))=0,"",INDEX('Rooms Walls and Glass'!$D$53:$AB$57, MATCH($D42,'Rooms Walls and Glass'!$A$53:$A$57,0), MATCH('Unit 1 b'!S$7,'Rooms Walls and Glass'!$D$1:$AB$1,0))))</f>
        <v/>
      </c>
      <c r="T42" s="65" t="str">
        <f t="shared" si="19"/>
        <v>-</v>
      </c>
      <c r="U42" s="66" t="str">
        <f>IF(U$7="","",IF(INDEX('Rooms Walls and Glass'!$D$53:$AB$57, MATCH($D42,'Rooms Walls and Glass'!$A$53:$A$57,0), MATCH('Unit 1 b'!U$7,'Rooms Walls and Glass'!$D$1:$AB$1,0))=0,"",INDEX('Rooms Walls and Glass'!$D$53:$AB$57, MATCH($D42,'Rooms Walls and Glass'!$A$53:$A$57,0), MATCH('Unit 1 b'!U$7,'Rooms Walls and Glass'!$D$1:$AB$1,0))))</f>
        <v/>
      </c>
      <c r="V42" s="65" t="str">
        <f t="shared" si="20"/>
        <v>-</v>
      </c>
      <c r="W42" s="66" t="str">
        <f>IF(W$7="","",IF(INDEX('Rooms Walls and Glass'!$D$53:$AB$57, MATCH($D42,'Rooms Walls and Glass'!$A$53:$A$57,0), MATCH('Unit 1 b'!W$7,'Rooms Walls and Glass'!$D$1:$AB$1,0))=0,"",INDEX('Rooms Walls and Glass'!$D$53:$AB$57, MATCH($D42,'Rooms Walls and Glass'!$A$53:$A$57,0), MATCH('Unit 1 b'!W$7,'Rooms Walls and Glass'!$D$1:$AB$1,0))))</f>
        <v/>
      </c>
      <c r="X42" s="65" t="str">
        <f t="shared" si="21"/>
        <v>-</v>
      </c>
      <c r="Y42" s="66" t="str">
        <f>IF(Y$7="","",IF(INDEX('Rooms Walls and Glass'!$D$53:$AB$57, MATCH($D42,'Rooms Walls and Glass'!$A$53:$A$57,0), MATCH('Unit 1 b'!Y$7,'Rooms Walls and Glass'!$D$1:$AB$1,0))=0,"",INDEX('Rooms Walls and Glass'!$D$53:$AB$57, MATCH($D42,'Rooms Walls and Glass'!$A$53:$A$57,0), MATCH('Unit 1 b'!Y$7,'Rooms Walls and Glass'!$D$1:$AB$1,0))))</f>
        <v/>
      </c>
      <c r="Z42" s="65" t="str">
        <f t="shared" si="22"/>
        <v>-</v>
      </c>
      <c r="AA42" s="66" t="str">
        <f>IF(AA$7="","",IF(INDEX('Rooms Walls and Glass'!$D$53:$AB$57, MATCH($D42,'Rooms Walls and Glass'!$A$53:$A$57,0), MATCH('Unit 1 b'!AA$7,'Rooms Walls and Glass'!$D$1:$AB$1,0))=0,"",INDEX('Rooms Walls and Glass'!$D$53:$AB$57, MATCH($D42,'Rooms Walls and Glass'!$A$53:$A$57,0), MATCH('Unit 1 b'!AA$7,'Rooms Walls and Glass'!$D$1:$AB$1,0))))</f>
        <v/>
      </c>
      <c r="AB42" s="65" t="str">
        <f t="shared" si="23"/>
        <v>-</v>
      </c>
      <c r="AC42" s="66" t="str">
        <f>IF(AC$7="","",IF(INDEX('Rooms Walls and Glass'!$D$53:$AB$57, MATCH($D42,'Rooms Walls and Glass'!$A$53:$A$57,0), MATCH('Unit 1 b'!AC$7,'Rooms Walls and Glass'!$D$1:$AB$1,0))=0,"",INDEX('Rooms Walls and Glass'!$D$53:$AB$57, MATCH($D42,'Rooms Walls and Glass'!$A$53:$A$57,0), MATCH('Unit 1 b'!AC$7,'Rooms Walls and Glass'!$D$1:$AB$1,0))))</f>
        <v/>
      </c>
      <c r="AD42" s="65" t="str">
        <f t="shared" si="30"/>
        <v>-</v>
      </c>
      <c r="AE42" s="66" t="str">
        <f>IF(AE$7="","",IF(INDEX('Rooms Walls and Glass'!$D$53:$AB$57, MATCH($D42,'Rooms Walls and Glass'!$A$53:$A$57,0), MATCH('Unit 1 b'!AE$7,'Rooms Walls and Glass'!$D$1:$AB$1,0))=0,"",INDEX('Rooms Walls and Glass'!$D$53:$AB$57, MATCH($D42,'Rooms Walls and Glass'!$A$53:$A$57,0), MATCH('Unit 1 b'!AE$7,'Rooms Walls and Glass'!$D$1:$AB$1,0))))</f>
        <v/>
      </c>
      <c r="AF42" s="65" t="str">
        <f t="shared" si="31"/>
        <v>-</v>
      </c>
      <c r="AG42" s="66" t="str">
        <f>IF(AG$7="","",IF(INDEX('Rooms Walls and Glass'!$D$53:$AB$57, MATCH($D42,'Rooms Walls and Glass'!$A$53:$A$57,0), MATCH('Unit 1 b'!AG$7,'Rooms Walls and Glass'!$D$1:$AB$1,0))=0,"",INDEX('Rooms Walls and Glass'!$D$53:$AB$57, MATCH($D42,'Rooms Walls and Glass'!$A$53:$A$57,0), MATCH('Unit 1 b'!AG$7,'Rooms Walls and Glass'!$D$1:$AB$1,0))))</f>
        <v/>
      </c>
      <c r="AH42" s="65" t="str">
        <f t="shared" si="25"/>
        <v>-</v>
      </c>
      <c r="AI42" s="66" t="str">
        <f>IF(AI$7="","",IF(INDEX('Rooms Walls and Glass'!$D$53:$AB$57, MATCH($D42,'Rooms Walls and Glass'!$A$53:$A$57,0), MATCH('Unit 1 b'!AI$7,'Rooms Walls and Glass'!$D$1:$AB$1,0))=0,"",INDEX('Rooms Walls and Glass'!$D$53:$AB$57, MATCH($D42,'Rooms Walls and Glass'!$A$53:$A$57,0), MATCH('Unit 1 b'!AI$7,'Rooms Walls and Glass'!$D$1:$AB$1,0))))</f>
        <v/>
      </c>
      <c r="AJ42" s="67" t="str">
        <f t="shared" si="26"/>
        <v>-</v>
      </c>
      <c r="AK42" s="66" t="str">
        <f>IF(AK$7="","",IF(INDEX('Rooms Walls and Glass'!$D$53:$AB$57, MATCH($D42,'Rooms Walls and Glass'!$A$53:$A$57,0), MATCH('Unit 1 b'!AK$7,'Rooms Walls and Glass'!$D$1:$AB$1,0))=0,"",INDEX('Rooms Walls and Glass'!$D$53:$AB$57, MATCH($D42,'Rooms Walls and Glass'!$A$53:$A$57,0), MATCH('Unit 1 b'!AK$7,'Rooms Walls and Glass'!$D$1:$AB$1,0))))</f>
        <v/>
      </c>
      <c r="AL42" s="65" t="str">
        <f t="shared" si="27"/>
        <v>-</v>
      </c>
      <c r="AM42" s="66" t="str">
        <f>IF(AM$7="","",IF(INDEX('Rooms Walls and Glass'!$D$53:$AB$57, MATCH($D42,'Rooms Walls and Glass'!$A$53:$A$57,0), MATCH('Unit 1 b'!AM$7,'Rooms Walls and Glass'!$D$1:$AB$1,0))=0,"",INDEX('Rooms Walls and Glass'!$D$53:$AB$57, MATCH($D42,'Rooms Walls and Glass'!$A$53:$A$57,0), MATCH('Unit 1 b'!AM$7,'Rooms Walls and Glass'!$D$1:$AB$1,0))))</f>
        <v/>
      </c>
      <c r="AN42" s="67" t="str">
        <f t="shared" si="28"/>
        <v>-</v>
      </c>
    </row>
    <row r="43" spans="2:40" ht="11.25" customHeight="1" thickBot="1" x14ac:dyDescent="0.2">
      <c r="B43" s="213"/>
      <c r="C43" s="17" t="s">
        <v>42</v>
      </c>
      <c r="D43" s="18" t="s">
        <v>50</v>
      </c>
      <c r="E43" s="18">
        <v>55</v>
      </c>
      <c r="F43" s="14">
        <f>INDEX(Summary!$F$19:$F$30,MATCH('Unit 1 b'!C43,Summary!$D$19:$D$30,0))</f>
        <v>0.26</v>
      </c>
      <c r="G43" s="14">
        <f t="shared" si="29"/>
        <v>14.3</v>
      </c>
      <c r="H43" s="18" t="s">
        <v>6</v>
      </c>
      <c r="I43" s="65">
        <f t="shared" si="13"/>
        <v>0</v>
      </c>
      <c r="J43" s="70">
        <f t="shared" si="14"/>
        <v>0</v>
      </c>
      <c r="K43" s="66" t="str">
        <f>IF(K$7="","",IF(INDEX('Rooms Walls and Glass'!$D$53:$AB$57, MATCH($D43,'Rooms Walls and Glass'!$A$53:$A$57,0), MATCH('Unit 1 b'!K$7,'Rooms Walls and Glass'!$D$1:$AB$1,0))=0,"",INDEX('Rooms Walls and Glass'!$D$53:$AB$57, MATCH($D43,'Rooms Walls and Glass'!$A$53:$A$57,0), MATCH('Unit 1 b'!K$7,'Rooms Walls and Glass'!$D$1:$AB$1,0))))</f>
        <v/>
      </c>
      <c r="L43" s="70" t="str">
        <f t="shared" si="15"/>
        <v>-</v>
      </c>
      <c r="M43" s="66" t="str">
        <f>IF(M$7="","",IF(INDEX('Rooms Walls and Glass'!$D$53:$AB$57, MATCH($D43,'Rooms Walls and Glass'!$A$53:$A$57,0), MATCH('Unit 1 b'!M$7,'Rooms Walls and Glass'!$D$1:$AB$1,0))=0,"",INDEX('Rooms Walls and Glass'!$D$53:$AB$57, MATCH($D43,'Rooms Walls and Glass'!$A$53:$A$57,0), MATCH('Unit 1 b'!M$7,'Rooms Walls and Glass'!$D$1:$AB$1,0))))</f>
        <v/>
      </c>
      <c r="N43" s="70" t="str">
        <f t="shared" si="16"/>
        <v>-</v>
      </c>
      <c r="O43" s="66" t="str">
        <f>IF(O$7="","",IF(INDEX('Rooms Walls and Glass'!$D$53:$AB$57, MATCH($D43,'Rooms Walls and Glass'!$A$53:$A$57,0), MATCH('Unit 1 b'!O$7,'Rooms Walls and Glass'!$D$1:$AB$1,0))=0,"",INDEX('Rooms Walls and Glass'!$D$53:$AB$57, MATCH($D43,'Rooms Walls and Glass'!$A$53:$A$57,0), MATCH('Unit 1 b'!O$7,'Rooms Walls and Glass'!$D$1:$AB$1,0))))</f>
        <v/>
      </c>
      <c r="P43" s="70" t="str">
        <f t="shared" si="17"/>
        <v>-</v>
      </c>
      <c r="Q43" s="66" t="str">
        <f>IF(Q$7="","",IF(INDEX('Rooms Walls and Glass'!$D$53:$AB$57, MATCH($D43,'Rooms Walls and Glass'!$A$53:$A$57,0), MATCH('Unit 1 b'!Q$7,'Rooms Walls and Glass'!$D$1:$AB$1,0))=0,"",INDEX('Rooms Walls and Glass'!$D$53:$AB$57, MATCH($D43,'Rooms Walls and Glass'!$A$53:$A$57,0), MATCH('Unit 1 b'!Q$7,'Rooms Walls and Glass'!$D$1:$AB$1,0))))</f>
        <v/>
      </c>
      <c r="R43" s="70" t="str">
        <f t="shared" si="18"/>
        <v>-</v>
      </c>
      <c r="S43" s="66" t="str">
        <f>IF(S$7="","",IF(INDEX('Rooms Walls and Glass'!$D$53:$AB$57, MATCH($D43,'Rooms Walls and Glass'!$A$53:$A$57,0), MATCH('Unit 1 b'!S$7,'Rooms Walls and Glass'!$D$1:$AB$1,0))=0,"",INDEX('Rooms Walls and Glass'!$D$53:$AB$57, MATCH($D43,'Rooms Walls and Glass'!$A$53:$A$57,0), MATCH('Unit 1 b'!S$7,'Rooms Walls and Glass'!$D$1:$AB$1,0))))</f>
        <v/>
      </c>
      <c r="T43" s="70" t="str">
        <f t="shared" si="19"/>
        <v>-</v>
      </c>
      <c r="U43" s="66" t="str">
        <f>IF(U$7="","",IF(INDEX('Rooms Walls and Glass'!$D$53:$AB$57, MATCH($D43,'Rooms Walls and Glass'!$A$53:$A$57,0), MATCH('Unit 1 b'!U$7,'Rooms Walls and Glass'!$D$1:$AB$1,0))=0,"",INDEX('Rooms Walls and Glass'!$D$53:$AB$57, MATCH($D43,'Rooms Walls and Glass'!$A$53:$A$57,0), MATCH('Unit 1 b'!U$7,'Rooms Walls and Glass'!$D$1:$AB$1,0))))</f>
        <v/>
      </c>
      <c r="V43" s="70" t="str">
        <f t="shared" si="20"/>
        <v>-</v>
      </c>
      <c r="W43" s="66" t="str">
        <f>IF(W$7="","",IF(INDEX('Rooms Walls and Glass'!$D$53:$AB$57, MATCH($D43,'Rooms Walls and Glass'!$A$53:$A$57,0), MATCH('Unit 1 b'!W$7,'Rooms Walls and Glass'!$D$1:$AB$1,0))=0,"",INDEX('Rooms Walls and Glass'!$D$53:$AB$57, MATCH($D43,'Rooms Walls and Glass'!$A$53:$A$57,0), MATCH('Unit 1 b'!W$7,'Rooms Walls and Glass'!$D$1:$AB$1,0))))</f>
        <v/>
      </c>
      <c r="X43" s="70" t="str">
        <f t="shared" si="21"/>
        <v>-</v>
      </c>
      <c r="Y43" s="66" t="str">
        <f>IF(Y$7="","",IF(INDEX('Rooms Walls and Glass'!$D$53:$AB$57, MATCH($D43,'Rooms Walls and Glass'!$A$53:$A$57,0), MATCH('Unit 1 b'!Y$7,'Rooms Walls and Glass'!$D$1:$AB$1,0))=0,"",INDEX('Rooms Walls and Glass'!$D$53:$AB$57, MATCH($D43,'Rooms Walls and Glass'!$A$53:$A$57,0), MATCH('Unit 1 b'!Y$7,'Rooms Walls and Glass'!$D$1:$AB$1,0))))</f>
        <v/>
      </c>
      <c r="Z43" s="70" t="str">
        <f t="shared" si="22"/>
        <v>-</v>
      </c>
      <c r="AA43" s="66" t="str">
        <f>IF(AA$7="","",IF(INDEX('Rooms Walls and Glass'!$D$53:$AB$57, MATCH($D43,'Rooms Walls and Glass'!$A$53:$A$57,0), MATCH('Unit 1 b'!AA$7,'Rooms Walls and Glass'!$D$1:$AB$1,0))=0,"",INDEX('Rooms Walls and Glass'!$D$53:$AB$57, MATCH($D43,'Rooms Walls and Glass'!$A$53:$A$57,0), MATCH('Unit 1 b'!AA$7,'Rooms Walls and Glass'!$D$1:$AB$1,0))))</f>
        <v/>
      </c>
      <c r="AB43" s="70" t="str">
        <f t="shared" si="23"/>
        <v>-</v>
      </c>
      <c r="AC43" s="66" t="str">
        <f>IF(AC$7="","",IF(INDEX('Rooms Walls and Glass'!$D$53:$AB$57, MATCH($D43,'Rooms Walls and Glass'!$A$53:$A$57,0), MATCH('Unit 1 b'!AC$7,'Rooms Walls and Glass'!$D$1:$AB$1,0))=0,"",INDEX('Rooms Walls and Glass'!$D$53:$AB$57, MATCH($D43,'Rooms Walls and Glass'!$A$53:$A$57,0), MATCH('Unit 1 b'!AC$7,'Rooms Walls and Glass'!$D$1:$AB$1,0))))</f>
        <v/>
      </c>
      <c r="AD43" s="70" t="str">
        <f t="shared" si="30"/>
        <v>-</v>
      </c>
      <c r="AE43" s="66" t="str">
        <f>IF(AE$7="","",IF(INDEX('Rooms Walls and Glass'!$D$53:$AB$57, MATCH($D43,'Rooms Walls and Glass'!$A$53:$A$57,0), MATCH('Unit 1 b'!AE$7,'Rooms Walls and Glass'!$D$1:$AB$1,0))=0,"",INDEX('Rooms Walls and Glass'!$D$53:$AB$57, MATCH($D43,'Rooms Walls and Glass'!$A$53:$A$57,0), MATCH('Unit 1 b'!AE$7,'Rooms Walls and Glass'!$D$1:$AB$1,0))))</f>
        <v/>
      </c>
      <c r="AF43" s="70" t="str">
        <f t="shared" si="31"/>
        <v>-</v>
      </c>
      <c r="AG43" s="66" t="str">
        <f>IF(AG$7="","",IF(INDEX('Rooms Walls and Glass'!$D$53:$AB$57, MATCH($D43,'Rooms Walls and Glass'!$A$53:$A$57,0), MATCH('Unit 1 b'!AG$7,'Rooms Walls and Glass'!$D$1:$AB$1,0))=0,"",INDEX('Rooms Walls and Glass'!$D$53:$AB$57, MATCH($D43,'Rooms Walls and Glass'!$A$53:$A$57,0), MATCH('Unit 1 b'!AG$7,'Rooms Walls and Glass'!$D$1:$AB$1,0))))</f>
        <v/>
      </c>
      <c r="AH43" s="70" t="str">
        <f t="shared" si="25"/>
        <v>-</v>
      </c>
      <c r="AI43" s="66" t="str">
        <f>IF(AI$7="","",IF(INDEX('Rooms Walls and Glass'!$D$53:$AB$57, MATCH($D43,'Rooms Walls and Glass'!$A$53:$A$57,0), MATCH('Unit 1 b'!AI$7,'Rooms Walls and Glass'!$D$1:$AB$1,0))=0,"",INDEX('Rooms Walls and Glass'!$D$53:$AB$57, MATCH($D43,'Rooms Walls and Glass'!$A$53:$A$57,0), MATCH('Unit 1 b'!AI$7,'Rooms Walls and Glass'!$D$1:$AB$1,0))))</f>
        <v/>
      </c>
      <c r="AJ43" s="71" t="str">
        <f t="shared" si="26"/>
        <v>-</v>
      </c>
      <c r="AK43" s="66" t="str">
        <f>IF(AK$7="","",IF(INDEX('Rooms Walls and Glass'!$D$53:$AB$57, MATCH($D43,'Rooms Walls and Glass'!$A$53:$A$57,0), MATCH('Unit 1 b'!AK$7,'Rooms Walls and Glass'!$D$1:$AB$1,0))=0,"",INDEX('Rooms Walls and Glass'!$D$53:$AB$57, MATCH($D43,'Rooms Walls and Glass'!$A$53:$A$57,0), MATCH('Unit 1 b'!AK$7,'Rooms Walls and Glass'!$D$1:$AB$1,0))))</f>
        <v/>
      </c>
      <c r="AL43" s="70" t="str">
        <f t="shared" si="27"/>
        <v>-</v>
      </c>
      <c r="AM43" s="66" t="str">
        <f>IF(AM$7="","",IF(INDEX('Rooms Walls and Glass'!$D$53:$AB$57, MATCH($D43,'Rooms Walls and Glass'!$A$53:$A$57,0), MATCH('Unit 1 b'!AM$7,'Rooms Walls and Glass'!$D$1:$AB$1,0))=0,"",INDEX('Rooms Walls and Glass'!$D$53:$AB$57, MATCH($D43,'Rooms Walls and Glass'!$A$53:$A$57,0), MATCH('Unit 1 b'!AM$7,'Rooms Walls and Glass'!$D$1:$AB$1,0))))</f>
        <v/>
      </c>
      <c r="AN43" s="71" t="str">
        <f t="shared" si="28"/>
        <v>-</v>
      </c>
    </row>
    <row r="44" spans="2:40" ht="11.25" customHeight="1" thickBot="1" x14ac:dyDescent="0.2">
      <c r="B44" s="212" t="s">
        <v>82</v>
      </c>
      <c r="C44" s="12" t="s">
        <v>43</v>
      </c>
      <c r="D44" s="13" t="s">
        <v>51</v>
      </c>
      <c r="E44" s="13">
        <v>11</v>
      </c>
      <c r="F44" s="14">
        <f>INDEX(Summary!$F$19:$F$30,MATCH('Unit 1 b'!C44,Summary!$D$19:$D$30,0))</f>
        <v>5.2999999999999999E-2</v>
      </c>
      <c r="G44" s="14">
        <f t="shared" si="29"/>
        <v>0.58299999999999996</v>
      </c>
      <c r="H44" s="13" t="s">
        <v>6</v>
      </c>
      <c r="I44" s="65">
        <f t="shared" si="13"/>
        <v>0</v>
      </c>
      <c r="J44" s="65">
        <f t="shared" si="14"/>
        <v>0</v>
      </c>
      <c r="K44" s="66" t="str">
        <f>IF(K$7="","",IF(INDEX('Rooms Walls and Glass'!$D$53:$AB$57, MATCH($D44,'Rooms Walls and Glass'!$A$53:$A$57,0), MATCH('Unit 1 b'!K$7,'Rooms Walls and Glass'!$D$1:$AB$1,0))=0,"",INDEX('Rooms Walls and Glass'!$D$53:$AB$57, MATCH($D44,'Rooms Walls and Glass'!$A$53:$A$57,0), MATCH('Unit 1 b'!K$7,'Rooms Walls and Glass'!$D$1:$AB$1,0))))</f>
        <v/>
      </c>
      <c r="L44" s="65" t="str">
        <f t="shared" si="15"/>
        <v>-</v>
      </c>
      <c r="M44" s="66" t="str">
        <f>IF(M$7="","",IF(INDEX('Rooms Walls and Glass'!$D$53:$AB$57, MATCH($D44,'Rooms Walls and Glass'!$A$53:$A$57,0), MATCH('Unit 1 b'!M$7,'Rooms Walls and Glass'!$D$1:$AB$1,0))=0,"",INDEX('Rooms Walls and Glass'!$D$53:$AB$57, MATCH($D44,'Rooms Walls and Glass'!$A$53:$A$57,0), MATCH('Unit 1 b'!M$7,'Rooms Walls and Glass'!$D$1:$AB$1,0))))</f>
        <v/>
      </c>
      <c r="N44" s="65" t="str">
        <f t="shared" si="16"/>
        <v>-</v>
      </c>
      <c r="O44" s="66" t="str">
        <f>IF(O$7="","",IF(INDEX('Rooms Walls and Glass'!$D$53:$AB$57, MATCH($D44,'Rooms Walls and Glass'!$A$53:$A$57,0), MATCH('Unit 1 b'!O$7,'Rooms Walls and Glass'!$D$1:$AB$1,0))=0,"",INDEX('Rooms Walls and Glass'!$D$53:$AB$57, MATCH($D44,'Rooms Walls and Glass'!$A$53:$A$57,0), MATCH('Unit 1 b'!O$7,'Rooms Walls and Glass'!$D$1:$AB$1,0))))</f>
        <v/>
      </c>
      <c r="P44" s="65" t="str">
        <f t="shared" si="17"/>
        <v>-</v>
      </c>
      <c r="Q44" s="66" t="str">
        <f>IF(Q$7="","",IF(INDEX('Rooms Walls and Glass'!$D$53:$AB$57, MATCH($D44,'Rooms Walls and Glass'!$A$53:$A$57,0), MATCH('Unit 1 b'!Q$7,'Rooms Walls and Glass'!$D$1:$AB$1,0))=0,"",INDEX('Rooms Walls and Glass'!$D$53:$AB$57, MATCH($D44,'Rooms Walls and Glass'!$A$53:$A$57,0), MATCH('Unit 1 b'!Q$7,'Rooms Walls and Glass'!$D$1:$AB$1,0))))</f>
        <v/>
      </c>
      <c r="R44" s="65" t="str">
        <f t="shared" si="18"/>
        <v>-</v>
      </c>
      <c r="S44" s="66" t="str">
        <f>IF(S$7="","",IF(INDEX('Rooms Walls and Glass'!$D$53:$AB$57, MATCH($D44,'Rooms Walls and Glass'!$A$53:$A$57,0), MATCH('Unit 1 b'!S$7,'Rooms Walls and Glass'!$D$1:$AB$1,0))=0,"",INDEX('Rooms Walls and Glass'!$D$53:$AB$57, MATCH($D44,'Rooms Walls and Glass'!$A$53:$A$57,0), MATCH('Unit 1 b'!S$7,'Rooms Walls and Glass'!$D$1:$AB$1,0))))</f>
        <v/>
      </c>
      <c r="T44" s="65" t="str">
        <f t="shared" si="19"/>
        <v>-</v>
      </c>
      <c r="U44" s="66" t="str">
        <f>IF(U$7="","",IF(INDEX('Rooms Walls and Glass'!$D$53:$AB$57, MATCH($D44,'Rooms Walls and Glass'!$A$53:$A$57,0), MATCH('Unit 1 b'!U$7,'Rooms Walls and Glass'!$D$1:$AB$1,0))=0,"",INDEX('Rooms Walls and Glass'!$D$53:$AB$57, MATCH($D44,'Rooms Walls and Glass'!$A$53:$A$57,0), MATCH('Unit 1 b'!U$7,'Rooms Walls and Glass'!$D$1:$AB$1,0))))</f>
        <v/>
      </c>
      <c r="V44" s="65" t="str">
        <f t="shared" si="20"/>
        <v>-</v>
      </c>
      <c r="W44" s="66" t="str">
        <f>IF(W$7="","",IF(INDEX('Rooms Walls and Glass'!$D$53:$AB$57, MATCH($D44,'Rooms Walls and Glass'!$A$53:$A$57,0), MATCH('Unit 1 b'!W$7,'Rooms Walls and Glass'!$D$1:$AB$1,0))=0,"",INDEX('Rooms Walls and Glass'!$D$53:$AB$57, MATCH($D44,'Rooms Walls and Glass'!$A$53:$A$57,0), MATCH('Unit 1 b'!W$7,'Rooms Walls and Glass'!$D$1:$AB$1,0))))</f>
        <v/>
      </c>
      <c r="X44" s="65" t="str">
        <f t="shared" si="21"/>
        <v>-</v>
      </c>
      <c r="Y44" s="66" t="str">
        <f>IF(Y$7="","",IF(INDEX('Rooms Walls and Glass'!$D$53:$AB$57, MATCH($D44,'Rooms Walls and Glass'!$A$53:$A$57,0), MATCH('Unit 1 b'!Y$7,'Rooms Walls and Glass'!$D$1:$AB$1,0))=0,"",INDEX('Rooms Walls and Glass'!$D$53:$AB$57, MATCH($D44,'Rooms Walls and Glass'!$A$53:$A$57,0), MATCH('Unit 1 b'!Y$7,'Rooms Walls and Glass'!$D$1:$AB$1,0))))</f>
        <v/>
      </c>
      <c r="Z44" s="65" t="str">
        <f t="shared" si="22"/>
        <v>-</v>
      </c>
      <c r="AA44" s="66" t="str">
        <f>IF(AA$7="","",IF(INDEX('Rooms Walls and Glass'!$D$53:$AB$57, MATCH($D44,'Rooms Walls and Glass'!$A$53:$A$57,0), MATCH('Unit 1 b'!AA$7,'Rooms Walls and Glass'!$D$1:$AB$1,0))=0,"",INDEX('Rooms Walls and Glass'!$D$53:$AB$57, MATCH($D44,'Rooms Walls and Glass'!$A$53:$A$57,0), MATCH('Unit 1 b'!AA$7,'Rooms Walls and Glass'!$D$1:$AB$1,0))))</f>
        <v/>
      </c>
      <c r="AB44" s="65" t="str">
        <f t="shared" si="23"/>
        <v>-</v>
      </c>
      <c r="AC44" s="66" t="str">
        <f>IF(AC$7="","",IF(INDEX('Rooms Walls and Glass'!$D$53:$AB$57, MATCH($D44,'Rooms Walls and Glass'!$A$53:$A$57,0), MATCH('Unit 1 b'!AC$7,'Rooms Walls and Glass'!$D$1:$AB$1,0))=0,"",INDEX('Rooms Walls and Glass'!$D$53:$AB$57, MATCH($D44,'Rooms Walls and Glass'!$A$53:$A$57,0), MATCH('Unit 1 b'!AC$7,'Rooms Walls and Glass'!$D$1:$AB$1,0))))</f>
        <v/>
      </c>
      <c r="AD44" s="65" t="str">
        <f t="shared" si="30"/>
        <v>-</v>
      </c>
      <c r="AE44" s="66" t="str">
        <f>IF(AE$7="","",IF(INDEX('Rooms Walls and Glass'!$D$53:$AB$57, MATCH($D44,'Rooms Walls and Glass'!$A$53:$A$57,0), MATCH('Unit 1 b'!AE$7,'Rooms Walls and Glass'!$D$1:$AB$1,0))=0,"",INDEX('Rooms Walls and Glass'!$D$53:$AB$57, MATCH($D44,'Rooms Walls and Glass'!$A$53:$A$57,0), MATCH('Unit 1 b'!AE$7,'Rooms Walls and Glass'!$D$1:$AB$1,0))))</f>
        <v/>
      </c>
      <c r="AF44" s="65" t="str">
        <f t="shared" si="31"/>
        <v>-</v>
      </c>
      <c r="AG44" s="66" t="str">
        <f>IF(AG$7="","",IF(INDEX('Rooms Walls and Glass'!$D$53:$AB$57, MATCH($D44,'Rooms Walls and Glass'!$A$53:$A$57,0), MATCH('Unit 1 b'!AG$7,'Rooms Walls and Glass'!$D$1:$AB$1,0))=0,"",INDEX('Rooms Walls and Glass'!$D$53:$AB$57, MATCH($D44,'Rooms Walls and Glass'!$A$53:$A$57,0), MATCH('Unit 1 b'!AG$7,'Rooms Walls and Glass'!$D$1:$AB$1,0))))</f>
        <v/>
      </c>
      <c r="AH44" s="65" t="str">
        <f t="shared" si="25"/>
        <v>-</v>
      </c>
      <c r="AI44" s="66" t="str">
        <f>IF(AI$7="","",IF(INDEX('Rooms Walls and Glass'!$D$53:$AB$57, MATCH($D44,'Rooms Walls and Glass'!$A$53:$A$57,0), MATCH('Unit 1 b'!AI$7,'Rooms Walls and Glass'!$D$1:$AB$1,0))=0,"",INDEX('Rooms Walls and Glass'!$D$53:$AB$57, MATCH($D44,'Rooms Walls and Glass'!$A$53:$A$57,0), MATCH('Unit 1 b'!AI$7,'Rooms Walls and Glass'!$D$1:$AB$1,0))))</f>
        <v/>
      </c>
      <c r="AJ44" s="67" t="str">
        <f t="shared" si="26"/>
        <v>-</v>
      </c>
      <c r="AK44" s="66" t="str">
        <f>IF(AK$7="","",IF(INDEX('Rooms Walls and Glass'!$D$53:$AB$57, MATCH($D44,'Rooms Walls and Glass'!$A$53:$A$57,0), MATCH('Unit 1 b'!AK$7,'Rooms Walls and Glass'!$D$1:$AB$1,0))=0,"",INDEX('Rooms Walls and Glass'!$D$53:$AB$57, MATCH($D44,'Rooms Walls and Glass'!$A$53:$A$57,0), MATCH('Unit 1 b'!AK$7,'Rooms Walls and Glass'!$D$1:$AB$1,0))))</f>
        <v/>
      </c>
      <c r="AL44" s="65" t="str">
        <f t="shared" si="27"/>
        <v>-</v>
      </c>
      <c r="AM44" s="66" t="str">
        <f>IF(AM$7="","",IF(INDEX('Rooms Walls and Glass'!$D$53:$AB$57, MATCH($D44,'Rooms Walls and Glass'!$A$53:$A$57,0), MATCH('Unit 1 b'!AM$7,'Rooms Walls and Glass'!$D$1:$AB$1,0))=0,"",INDEX('Rooms Walls and Glass'!$D$53:$AB$57, MATCH($D44,'Rooms Walls and Glass'!$A$53:$A$57,0), MATCH('Unit 1 b'!AM$7,'Rooms Walls and Glass'!$D$1:$AB$1,0))))</f>
        <v/>
      </c>
      <c r="AN44" s="67" t="str">
        <f t="shared" si="28"/>
        <v>-</v>
      </c>
    </row>
    <row r="45" spans="2:40" ht="11.25" customHeight="1" thickBot="1" x14ac:dyDescent="0.2">
      <c r="B45" s="214"/>
      <c r="C45" s="15" t="s">
        <v>43</v>
      </c>
      <c r="D45" s="16" t="s">
        <v>36</v>
      </c>
      <c r="E45" s="16">
        <v>30</v>
      </c>
      <c r="F45" s="14">
        <f>INDEX(Summary!$F$19:$F$30,MATCH('Unit 1 b'!C45,Summary!$D$19:$D$30,0))</f>
        <v>5.2999999999999999E-2</v>
      </c>
      <c r="G45" s="14">
        <f t="shared" si="29"/>
        <v>1.5899999999999999</v>
      </c>
      <c r="H45" s="16" t="s">
        <v>6</v>
      </c>
      <c r="I45" s="65">
        <f t="shared" si="13"/>
        <v>0</v>
      </c>
      <c r="J45" s="68">
        <f t="shared" si="14"/>
        <v>0</v>
      </c>
      <c r="K45" s="66" t="str">
        <f>IF(K$7="","",IF(INDEX('Rooms Walls and Glass'!$D$53:$AB$57, MATCH($D45,'Rooms Walls and Glass'!$A$53:$A$57,0), MATCH('Unit 1 b'!K$7,'Rooms Walls and Glass'!$D$1:$AB$1,0))=0,"",INDEX('Rooms Walls and Glass'!$D$53:$AB$57, MATCH($D45,'Rooms Walls and Glass'!$A$53:$A$57,0), MATCH('Unit 1 b'!K$7,'Rooms Walls and Glass'!$D$1:$AB$1,0))))</f>
        <v/>
      </c>
      <c r="L45" s="68" t="str">
        <f t="shared" si="15"/>
        <v>-</v>
      </c>
      <c r="M45" s="66" t="str">
        <f>IF(M$7="","",IF(INDEX('Rooms Walls and Glass'!$D$53:$AB$57, MATCH($D45,'Rooms Walls and Glass'!$A$53:$A$57,0), MATCH('Unit 1 b'!M$7,'Rooms Walls and Glass'!$D$1:$AB$1,0))=0,"",INDEX('Rooms Walls and Glass'!$D$53:$AB$57, MATCH($D45,'Rooms Walls and Glass'!$A$53:$A$57,0), MATCH('Unit 1 b'!M$7,'Rooms Walls and Glass'!$D$1:$AB$1,0))))</f>
        <v/>
      </c>
      <c r="N45" s="68" t="str">
        <f t="shared" si="16"/>
        <v>-</v>
      </c>
      <c r="O45" s="66" t="str">
        <f>IF(O$7="","",IF(INDEX('Rooms Walls and Glass'!$D$53:$AB$57, MATCH($D45,'Rooms Walls and Glass'!$A$53:$A$57,0), MATCH('Unit 1 b'!O$7,'Rooms Walls and Glass'!$D$1:$AB$1,0))=0,"",INDEX('Rooms Walls and Glass'!$D$53:$AB$57, MATCH($D45,'Rooms Walls and Glass'!$A$53:$A$57,0), MATCH('Unit 1 b'!O$7,'Rooms Walls and Glass'!$D$1:$AB$1,0))))</f>
        <v/>
      </c>
      <c r="P45" s="68" t="str">
        <f t="shared" si="17"/>
        <v>-</v>
      </c>
      <c r="Q45" s="66" t="str">
        <f>IF(Q$7="","",IF(INDEX('Rooms Walls and Glass'!$D$53:$AB$57, MATCH($D45,'Rooms Walls and Glass'!$A$53:$A$57,0), MATCH('Unit 1 b'!Q$7,'Rooms Walls and Glass'!$D$1:$AB$1,0))=0,"",INDEX('Rooms Walls and Glass'!$D$53:$AB$57, MATCH($D45,'Rooms Walls and Glass'!$A$53:$A$57,0), MATCH('Unit 1 b'!Q$7,'Rooms Walls and Glass'!$D$1:$AB$1,0))))</f>
        <v/>
      </c>
      <c r="R45" s="68" t="str">
        <f t="shared" si="18"/>
        <v>-</v>
      </c>
      <c r="S45" s="66" t="str">
        <f>IF(S$7="","",IF(INDEX('Rooms Walls and Glass'!$D$53:$AB$57, MATCH($D45,'Rooms Walls and Glass'!$A$53:$A$57,0), MATCH('Unit 1 b'!S$7,'Rooms Walls and Glass'!$D$1:$AB$1,0))=0,"",INDEX('Rooms Walls and Glass'!$D$53:$AB$57, MATCH($D45,'Rooms Walls and Glass'!$A$53:$A$57,0), MATCH('Unit 1 b'!S$7,'Rooms Walls and Glass'!$D$1:$AB$1,0))))</f>
        <v/>
      </c>
      <c r="T45" s="68" t="str">
        <f t="shared" si="19"/>
        <v>-</v>
      </c>
      <c r="U45" s="66" t="str">
        <f>IF(U$7="","",IF(INDEX('Rooms Walls and Glass'!$D$53:$AB$57, MATCH($D45,'Rooms Walls and Glass'!$A$53:$A$57,0), MATCH('Unit 1 b'!U$7,'Rooms Walls and Glass'!$D$1:$AB$1,0))=0,"",INDEX('Rooms Walls and Glass'!$D$53:$AB$57, MATCH($D45,'Rooms Walls and Glass'!$A$53:$A$57,0), MATCH('Unit 1 b'!U$7,'Rooms Walls and Glass'!$D$1:$AB$1,0))))</f>
        <v/>
      </c>
      <c r="V45" s="68" t="str">
        <f t="shared" si="20"/>
        <v>-</v>
      </c>
      <c r="W45" s="66" t="str">
        <f>IF(W$7="","",IF(INDEX('Rooms Walls and Glass'!$D$53:$AB$57, MATCH($D45,'Rooms Walls and Glass'!$A$53:$A$57,0), MATCH('Unit 1 b'!W$7,'Rooms Walls and Glass'!$D$1:$AB$1,0))=0,"",INDEX('Rooms Walls and Glass'!$D$53:$AB$57, MATCH($D45,'Rooms Walls and Glass'!$A$53:$A$57,0), MATCH('Unit 1 b'!W$7,'Rooms Walls and Glass'!$D$1:$AB$1,0))))</f>
        <v/>
      </c>
      <c r="X45" s="68" t="str">
        <f t="shared" si="21"/>
        <v>-</v>
      </c>
      <c r="Y45" s="66" t="str">
        <f>IF(Y$7="","",IF(INDEX('Rooms Walls and Glass'!$D$53:$AB$57, MATCH($D45,'Rooms Walls and Glass'!$A$53:$A$57,0), MATCH('Unit 1 b'!Y$7,'Rooms Walls and Glass'!$D$1:$AB$1,0))=0,"",INDEX('Rooms Walls and Glass'!$D$53:$AB$57, MATCH($D45,'Rooms Walls and Glass'!$A$53:$A$57,0), MATCH('Unit 1 b'!Y$7,'Rooms Walls and Glass'!$D$1:$AB$1,0))))</f>
        <v/>
      </c>
      <c r="Z45" s="68" t="str">
        <f t="shared" si="22"/>
        <v>-</v>
      </c>
      <c r="AA45" s="66" t="str">
        <f>IF(AA$7="","",IF(INDEX('Rooms Walls and Glass'!$D$53:$AB$57, MATCH($D45,'Rooms Walls and Glass'!$A$53:$A$57,0), MATCH('Unit 1 b'!AA$7,'Rooms Walls and Glass'!$D$1:$AB$1,0))=0,"",INDEX('Rooms Walls and Glass'!$D$53:$AB$57, MATCH($D45,'Rooms Walls and Glass'!$A$53:$A$57,0), MATCH('Unit 1 b'!AA$7,'Rooms Walls and Glass'!$D$1:$AB$1,0))))</f>
        <v/>
      </c>
      <c r="AB45" s="68" t="str">
        <f t="shared" si="23"/>
        <v>-</v>
      </c>
      <c r="AC45" s="66" t="str">
        <f>IF(AC$7="","",IF(INDEX('Rooms Walls and Glass'!$D$53:$AB$57, MATCH($D45,'Rooms Walls and Glass'!$A$53:$A$57,0), MATCH('Unit 1 b'!AC$7,'Rooms Walls and Glass'!$D$1:$AB$1,0))=0,"",INDEX('Rooms Walls and Glass'!$D$53:$AB$57, MATCH($D45,'Rooms Walls and Glass'!$A$53:$A$57,0), MATCH('Unit 1 b'!AC$7,'Rooms Walls and Glass'!$D$1:$AB$1,0))))</f>
        <v/>
      </c>
      <c r="AD45" s="68" t="str">
        <f t="shared" si="30"/>
        <v>-</v>
      </c>
      <c r="AE45" s="66" t="str">
        <f>IF(AE$7="","",IF(INDEX('Rooms Walls and Glass'!$D$53:$AB$57, MATCH($D45,'Rooms Walls and Glass'!$A$53:$A$57,0), MATCH('Unit 1 b'!AE$7,'Rooms Walls and Glass'!$D$1:$AB$1,0))=0,"",INDEX('Rooms Walls and Glass'!$D$53:$AB$57, MATCH($D45,'Rooms Walls and Glass'!$A$53:$A$57,0), MATCH('Unit 1 b'!AE$7,'Rooms Walls and Glass'!$D$1:$AB$1,0))))</f>
        <v/>
      </c>
      <c r="AF45" s="68" t="str">
        <f t="shared" si="31"/>
        <v>-</v>
      </c>
      <c r="AG45" s="66" t="str">
        <f>IF(AG$7="","",IF(INDEX('Rooms Walls and Glass'!$D$53:$AB$57, MATCH($D45,'Rooms Walls and Glass'!$A$53:$A$57,0), MATCH('Unit 1 b'!AG$7,'Rooms Walls and Glass'!$D$1:$AB$1,0))=0,"",INDEX('Rooms Walls and Glass'!$D$53:$AB$57, MATCH($D45,'Rooms Walls and Glass'!$A$53:$A$57,0), MATCH('Unit 1 b'!AG$7,'Rooms Walls and Glass'!$D$1:$AB$1,0))))</f>
        <v/>
      </c>
      <c r="AH45" s="68" t="str">
        <f t="shared" si="25"/>
        <v>-</v>
      </c>
      <c r="AI45" s="66" t="str">
        <f>IF(AI$7="","",IF(INDEX('Rooms Walls and Glass'!$D$53:$AB$57, MATCH($D45,'Rooms Walls and Glass'!$A$53:$A$57,0), MATCH('Unit 1 b'!AI$7,'Rooms Walls and Glass'!$D$1:$AB$1,0))=0,"",INDEX('Rooms Walls and Glass'!$D$53:$AB$57, MATCH($D45,'Rooms Walls and Glass'!$A$53:$A$57,0), MATCH('Unit 1 b'!AI$7,'Rooms Walls and Glass'!$D$1:$AB$1,0))))</f>
        <v/>
      </c>
      <c r="AJ45" s="69" t="str">
        <f t="shared" si="26"/>
        <v>-</v>
      </c>
      <c r="AK45" s="66" t="str">
        <f>IF(AK$7="","",IF(INDEX('Rooms Walls and Glass'!$D$53:$AB$57, MATCH($D45,'Rooms Walls and Glass'!$A$53:$A$57,0), MATCH('Unit 1 b'!AK$7,'Rooms Walls and Glass'!$D$1:$AB$1,0))=0,"",INDEX('Rooms Walls and Glass'!$D$53:$AB$57, MATCH($D45,'Rooms Walls and Glass'!$A$53:$A$57,0), MATCH('Unit 1 b'!AK$7,'Rooms Walls and Glass'!$D$1:$AB$1,0))))</f>
        <v/>
      </c>
      <c r="AL45" s="68" t="str">
        <f t="shared" si="27"/>
        <v>-</v>
      </c>
      <c r="AM45" s="66" t="str">
        <f>IF(AM$7="","",IF(INDEX('Rooms Walls and Glass'!$D$53:$AB$57, MATCH($D45,'Rooms Walls and Glass'!$A$53:$A$57,0), MATCH('Unit 1 b'!AM$7,'Rooms Walls and Glass'!$D$1:$AB$1,0))=0,"",INDEX('Rooms Walls and Glass'!$D$53:$AB$57, MATCH($D45,'Rooms Walls and Glass'!$A$53:$A$57,0), MATCH('Unit 1 b'!AM$7,'Rooms Walls and Glass'!$D$1:$AB$1,0))))</f>
        <v/>
      </c>
      <c r="AN45" s="69" t="str">
        <f t="shared" si="28"/>
        <v>-</v>
      </c>
    </row>
    <row r="46" spans="2:40" ht="11.25" customHeight="1" thickBot="1" x14ac:dyDescent="0.2">
      <c r="B46" s="213"/>
      <c r="C46" s="17" t="s">
        <v>44</v>
      </c>
      <c r="D46" s="18" t="s">
        <v>52</v>
      </c>
      <c r="E46" s="18">
        <v>0</v>
      </c>
      <c r="F46" s="14">
        <f>INDEX(Summary!$F$19:$F$30,MATCH('Unit 1 b'!C46,Summary!$D$19:$D$30,0))</f>
        <v>0.1</v>
      </c>
      <c r="G46" s="14">
        <f t="shared" si="29"/>
        <v>0</v>
      </c>
      <c r="H46" s="18" t="s">
        <v>6</v>
      </c>
      <c r="I46" s="65">
        <f t="shared" si="13"/>
        <v>1038</v>
      </c>
      <c r="J46" s="70">
        <f t="shared" si="14"/>
        <v>0</v>
      </c>
      <c r="K46" s="66">
        <f>IF(K$7="","",IF(INDEX('Rooms Walls and Glass'!$D$53:$AB$57, MATCH($D46,'Rooms Walls and Glass'!$A$53:$A$57,0), MATCH('Unit 1 b'!K$7,'Rooms Walls and Glass'!$D$1:$AB$1,0))=0,"",INDEX('Rooms Walls and Glass'!$D$53:$AB$57, MATCH($D46,'Rooms Walls and Glass'!$A$53:$A$57,0), MATCH('Unit 1 b'!K$7,'Rooms Walls and Glass'!$D$1:$AB$1,0))))</f>
        <v>115</v>
      </c>
      <c r="L46" s="70">
        <f t="shared" si="15"/>
        <v>0</v>
      </c>
      <c r="M46" s="66">
        <f>IF(M$7="","",IF(INDEX('Rooms Walls and Glass'!$D$53:$AB$57, MATCH($D46,'Rooms Walls and Glass'!$A$53:$A$57,0), MATCH('Unit 1 b'!M$7,'Rooms Walls and Glass'!$D$1:$AB$1,0))=0,"",INDEX('Rooms Walls and Glass'!$D$53:$AB$57, MATCH($D46,'Rooms Walls and Glass'!$A$53:$A$57,0), MATCH('Unit 1 b'!M$7,'Rooms Walls and Glass'!$D$1:$AB$1,0))))</f>
        <v>276</v>
      </c>
      <c r="N46" s="70">
        <f t="shared" si="16"/>
        <v>0</v>
      </c>
      <c r="O46" s="66">
        <f>IF(O$7="","",IF(INDEX('Rooms Walls and Glass'!$D$53:$AB$57, MATCH($D46,'Rooms Walls and Glass'!$A$53:$A$57,0), MATCH('Unit 1 b'!O$7,'Rooms Walls and Glass'!$D$1:$AB$1,0))=0,"",INDEX('Rooms Walls and Glass'!$D$53:$AB$57, MATCH($D46,'Rooms Walls and Glass'!$A$53:$A$57,0), MATCH('Unit 1 b'!O$7,'Rooms Walls and Glass'!$D$1:$AB$1,0))))</f>
        <v>59</v>
      </c>
      <c r="P46" s="70">
        <f t="shared" si="17"/>
        <v>0</v>
      </c>
      <c r="Q46" s="66">
        <f>IF(Q$7="","",IF(INDEX('Rooms Walls and Glass'!$D$53:$AB$57, MATCH($D46,'Rooms Walls and Glass'!$A$53:$A$57,0), MATCH('Unit 1 b'!Q$7,'Rooms Walls and Glass'!$D$1:$AB$1,0))=0,"",INDEX('Rooms Walls and Glass'!$D$53:$AB$57, MATCH($D46,'Rooms Walls and Glass'!$A$53:$A$57,0), MATCH('Unit 1 b'!Q$7,'Rooms Walls and Glass'!$D$1:$AB$1,0))))</f>
        <v>97</v>
      </c>
      <c r="R46" s="70">
        <f t="shared" si="18"/>
        <v>0</v>
      </c>
      <c r="S46" s="66">
        <f>IF(S$7="","",IF(INDEX('Rooms Walls and Glass'!$D$53:$AB$57, MATCH($D46,'Rooms Walls and Glass'!$A$53:$A$57,0), MATCH('Unit 1 b'!S$7,'Rooms Walls and Glass'!$D$1:$AB$1,0))=0,"",INDEX('Rooms Walls and Glass'!$D$53:$AB$57, MATCH($D46,'Rooms Walls and Glass'!$A$53:$A$57,0), MATCH('Unit 1 b'!S$7,'Rooms Walls and Glass'!$D$1:$AB$1,0))))</f>
        <v>230</v>
      </c>
      <c r="T46" s="70">
        <f t="shared" si="19"/>
        <v>0</v>
      </c>
      <c r="U46" s="66">
        <f>IF(U$7="","",IF(INDEX('Rooms Walls and Glass'!$D$53:$AB$57, MATCH($D46,'Rooms Walls and Glass'!$A$53:$A$57,0), MATCH('Unit 1 b'!U$7,'Rooms Walls and Glass'!$D$1:$AB$1,0))=0,"",INDEX('Rooms Walls and Glass'!$D$53:$AB$57, MATCH($D46,'Rooms Walls and Glass'!$A$53:$A$57,0), MATCH('Unit 1 b'!U$7,'Rooms Walls and Glass'!$D$1:$AB$1,0))))</f>
        <v>230</v>
      </c>
      <c r="V46" s="70">
        <f t="shared" si="20"/>
        <v>0</v>
      </c>
      <c r="W46" s="66">
        <f>IF(W$7="","",IF(INDEX('Rooms Walls and Glass'!$D$53:$AB$57, MATCH($D46,'Rooms Walls and Glass'!$A$53:$A$57,0), MATCH('Unit 1 b'!W$7,'Rooms Walls and Glass'!$D$1:$AB$1,0))=0,"",INDEX('Rooms Walls and Glass'!$D$53:$AB$57, MATCH($D46,'Rooms Walls and Glass'!$A$53:$A$57,0), MATCH('Unit 1 b'!W$7,'Rooms Walls and Glass'!$D$1:$AB$1,0))))</f>
        <v>31</v>
      </c>
      <c r="X46" s="70">
        <f t="shared" si="21"/>
        <v>0</v>
      </c>
      <c r="Y46" s="66" t="str">
        <f>IF(Y$7="","",IF(INDEX('Rooms Walls and Glass'!$D$53:$AB$57, MATCH($D46,'Rooms Walls and Glass'!$A$53:$A$57,0), MATCH('Unit 1 b'!Y$7,'Rooms Walls and Glass'!$D$1:$AB$1,0))=0,"",INDEX('Rooms Walls and Glass'!$D$53:$AB$57, MATCH($D46,'Rooms Walls and Glass'!$A$53:$A$57,0), MATCH('Unit 1 b'!Y$7,'Rooms Walls and Glass'!$D$1:$AB$1,0))))</f>
        <v/>
      </c>
      <c r="Z46" s="70" t="str">
        <f t="shared" si="22"/>
        <v>-</v>
      </c>
      <c r="AA46" s="66" t="str">
        <f>IF(AA$7="","",IF(INDEX('Rooms Walls and Glass'!$D$53:$AB$57, MATCH($D46,'Rooms Walls and Glass'!$A$53:$A$57,0), MATCH('Unit 1 b'!AA$7,'Rooms Walls and Glass'!$D$1:$AB$1,0))=0,"",INDEX('Rooms Walls and Glass'!$D$53:$AB$57, MATCH($D46,'Rooms Walls and Glass'!$A$53:$A$57,0), MATCH('Unit 1 b'!AA$7,'Rooms Walls and Glass'!$D$1:$AB$1,0))))</f>
        <v/>
      </c>
      <c r="AB46" s="70" t="str">
        <f t="shared" si="23"/>
        <v>-</v>
      </c>
      <c r="AC46" s="66" t="str">
        <f>IF(AC$7="","",IF(INDEX('Rooms Walls and Glass'!$D$53:$AB$57, MATCH($D46,'Rooms Walls and Glass'!$A$53:$A$57,0), MATCH('Unit 1 b'!AC$7,'Rooms Walls and Glass'!$D$1:$AB$1,0))=0,"",INDEX('Rooms Walls and Glass'!$D$53:$AB$57, MATCH($D46,'Rooms Walls and Glass'!$A$53:$A$57,0), MATCH('Unit 1 b'!AC$7,'Rooms Walls and Glass'!$D$1:$AB$1,0))))</f>
        <v/>
      </c>
      <c r="AD46" s="70" t="str">
        <f t="shared" si="30"/>
        <v>-</v>
      </c>
      <c r="AE46" s="66" t="str">
        <f>IF(AE$7="","",IF(INDEX('Rooms Walls and Glass'!$D$53:$AB$57, MATCH($D46,'Rooms Walls and Glass'!$A$53:$A$57,0), MATCH('Unit 1 b'!AE$7,'Rooms Walls and Glass'!$D$1:$AB$1,0))=0,"",INDEX('Rooms Walls and Glass'!$D$53:$AB$57, MATCH($D46,'Rooms Walls and Glass'!$A$53:$A$57,0), MATCH('Unit 1 b'!AE$7,'Rooms Walls and Glass'!$D$1:$AB$1,0))))</f>
        <v/>
      </c>
      <c r="AF46" s="70" t="str">
        <f t="shared" si="31"/>
        <v>-</v>
      </c>
      <c r="AG46" s="66" t="str">
        <f>IF(AG$7="","",IF(INDEX('Rooms Walls and Glass'!$D$53:$AB$57, MATCH($D46,'Rooms Walls and Glass'!$A$53:$A$57,0), MATCH('Unit 1 b'!AG$7,'Rooms Walls and Glass'!$D$1:$AB$1,0))=0,"",INDEX('Rooms Walls and Glass'!$D$53:$AB$57, MATCH($D46,'Rooms Walls and Glass'!$A$53:$A$57,0), MATCH('Unit 1 b'!AG$7,'Rooms Walls and Glass'!$D$1:$AB$1,0))))</f>
        <v/>
      </c>
      <c r="AH46" s="70" t="str">
        <f t="shared" si="25"/>
        <v>-</v>
      </c>
      <c r="AI46" s="66" t="str">
        <f>IF(AI$7="","",IF(INDEX('Rooms Walls and Glass'!$D$53:$AB$57, MATCH($D46,'Rooms Walls and Glass'!$A$53:$A$57,0), MATCH('Unit 1 b'!AI$7,'Rooms Walls and Glass'!$D$1:$AB$1,0))=0,"",INDEX('Rooms Walls and Glass'!$D$53:$AB$57, MATCH($D46,'Rooms Walls and Glass'!$A$53:$A$57,0), MATCH('Unit 1 b'!AI$7,'Rooms Walls and Glass'!$D$1:$AB$1,0))))</f>
        <v/>
      </c>
      <c r="AJ46" s="71" t="str">
        <f t="shared" si="26"/>
        <v>-</v>
      </c>
      <c r="AK46" s="66" t="str">
        <f>IF(AK$7="","",IF(INDEX('Rooms Walls and Glass'!$D$53:$AB$57, MATCH($D46,'Rooms Walls and Glass'!$A$53:$A$57,0), MATCH('Unit 1 b'!AK$7,'Rooms Walls and Glass'!$D$1:$AB$1,0))=0,"",INDEX('Rooms Walls and Glass'!$D$53:$AB$57, MATCH($D46,'Rooms Walls and Glass'!$A$53:$A$57,0), MATCH('Unit 1 b'!AK$7,'Rooms Walls and Glass'!$D$1:$AB$1,0))))</f>
        <v/>
      </c>
      <c r="AL46" s="70" t="str">
        <f t="shared" si="27"/>
        <v>-</v>
      </c>
      <c r="AM46" s="66" t="str">
        <f>IF(AM$7="","",IF(INDEX('Rooms Walls and Glass'!$D$53:$AB$57, MATCH($D46,'Rooms Walls and Glass'!$A$53:$A$57,0), MATCH('Unit 1 b'!AM$7,'Rooms Walls and Glass'!$D$1:$AB$1,0))=0,"",INDEX('Rooms Walls and Glass'!$D$53:$AB$57, MATCH($D46,'Rooms Walls and Glass'!$A$53:$A$57,0), MATCH('Unit 1 b'!AM$7,'Rooms Walls and Glass'!$D$1:$AB$1,0))))</f>
        <v/>
      </c>
      <c r="AN46" s="71" t="str">
        <f t="shared" si="28"/>
        <v>-</v>
      </c>
    </row>
    <row r="47" spans="2:40" ht="11.25" customHeight="1" thickBot="1" x14ac:dyDescent="0.2">
      <c r="B47" s="238" t="s">
        <v>76</v>
      </c>
      <c r="C47" s="13"/>
      <c r="D47" s="231" t="s">
        <v>53</v>
      </c>
      <c r="E47" s="225"/>
      <c r="F47" s="226"/>
      <c r="G47" s="14">
        <v>255</v>
      </c>
      <c r="H47" s="13" t="s">
        <v>6</v>
      </c>
      <c r="I47" s="41">
        <f>SUM(K47,M47,O47,Q47,U47,W47,Y47,AA47,AC47,AE47,AG47,AI47,S47,AK47,AM47)</f>
        <v>2</v>
      </c>
      <c r="J47" s="65">
        <f t="shared" si="14"/>
        <v>510</v>
      </c>
      <c r="K47" s="66" t="str">
        <f>IF(K$7="","",IF(INDEX('Rooms Walls and Glass'!$D$3:$AB$4, MATCH($D47,'Rooms Walls and Glass'!$A$3:$A$4,0), MATCH('Unit 1 b'!K$7,'Rooms Walls and Glass'!$D$1:$AB$1,0))=0,"",INDEX('Rooms Walls and Glass'!$D$3:$AB$4, MATCH($D47,'Rooms Walls and Glass'!$A$3:$A$4,0), MATCH('Unit 1 b'!K$7,'Rooms Walls and Glass'!$D$1:$AB$1,0))))</f>
        <v/>
      </c>
      <c r="L47" s="65" t="str">
        <f t="shared" si="15"/>
        <v>-</v>
      </c>
      <c r="M47" s="66">
        <f>IF(M$7="","",IF(INDEX('Rooms Walls and Glass'!$D$3:$AB$4, MATCH($D47,'Rooms Walls and Glass'!$A$3:$A$4,0), MATCH('Unit 1 b'!M$7,'Rooms Walls and Glass'!$D$1:$AB$1,0))=0,"",INDEX('Rooms Walls and Glass'!$D$3:$AB$4, MATCH($D47,'Rooms Walls and Glass'!$A$3:$A$4,0), MATCH('Unit 1 b'!M$7,'Rooms Walls and Glass'!$D$1:$AB$1,0))))</f>
        <v>1</v>
      </c>
      <c r="N47" s="65">
        <f t="shared" si="16"/>
        <v>255</v>
      </c>
      <c r="O47" s="66" t="str">
        <f>IF(O$7="","",IF(INDEX('Rooms Walls and Glass'!$D$3:$AB$4, MATCH($D47,'Rooms Walls and Glass'!$A$3:$A$4,0), MATCH('Unit 1 b'!O$7,'Rooms Walls and Glass'!$D$1:$AB$1,0))=0,"",INDEX('Rooms Walls and Glass'!$D$3:$AB$4, MATCH($D47,'Rooms Walls and Glass'!$A$3:$A$4,0), MATCH('Unit 1 b'!O$7,'Rooms Walls and Glass'!$D$1:$AB$1,0))))</f>
        <v/>
      </c>
      <c r="P47" s="65" t="str">
        <f t="shared" si="17"/>
        <v>-</v>
      </c>
      <c r="Q47" s="66" t="str">
        <f>IF(Q$7="","",IF(INDEX('Rooms Walls and Glass'!$D$3:$AB$4, MATCH($D47,'Rooms Walls and Glass'!$A$3:$A$4,0), MATCH('Unit 1 b'!Q$7,'Rooms Walls and Glass'!$D$1:$AB$1,0))=0,"",INDEX('Rooms Walls and Glass'!$D$3:$AB$4, MATCH($D47,'Rooms Walls and Glass'!$A$3:$A$4,0), MATCH('Unit 1 b'!Q$7,'Rooms Walls and Glass'!$D$1:$AB$1,0))))</f>
        <v/>
      </c>
      <c r="R47" s="65" t="str">
        <f t="shared" si="18"/>
        <v>-</v>
      </c>
      <c r="S47" s="66">
        <f>IF(S$7="","",IF(INDEX('Rooms Walls and Glass'!$D$3:$AB$4, MATCH($D47,'Rooms Walls and Glass'!$A$3:$A$4,0), MATCH('Unit 1 b'!S$7,'Rooms Walls and Glass'!$D$1:$AB$1,0))=0,"",INDEX('Rooms Walls and Glass'!$D$3:$AB$4, MATCH($D47,'Rooms Walls and Glass'!$A$3:$A$4,0), MATCH('Unit 1 b'!S$7,'Rooms Walls and Glass'!$D$1:$AB$1,0))))</f>
        <v>1</v>
      </c>
      <c r="T47" s="65">
        <f t="shared" si="19"/>
        <v>255</v>
      </c>
      <c r="U47" s="66" t="str">
        <f>IF(U$7="","",IF(INDEX('Rooms Walls and Glass'!$D$3:$AB$4, MATCH($D47,'Rooms Walls and Glass'!$A$3:$A$4,0), MATCH('Unit 1 b'!U$7,'Rooms Walls and Glass'!$D$1:$AB$1,0))=0,"",INDEX('Rooms Walls and Glass'!$D$3:$AB$4, MATCH($D47,'Rooms Walls and Glass'!$A$3:$A$4,0), MATCH('Unit 1 b'!U$7,'Rooms Walls and Glass'!$D$1:$AB$1,0))))</f>
        <v/>
      </c>
      <c r="V47" s="65" t="str">
        <f t="shared" si="20"/>
        <v>-</v>
      </c>
      <c r="W47" s="66" t="str">
        <f>IF(W$7="","",IF(INDEX('Rooms Walls and Glass'!$D$3:$AB$4, MATCH($D47,'Rooms Walls and Glass'!$A$3:$A$4,0), MATCH('Unit 1 b'!W$7,'Rooms Walls and Glass'!$D$1:$AB$1,0))=0,"",INDEX('Rooms Walls and Glass'!$D$3:$AB$4, MATCH($D47,'Rooms Walls and Glass'!$A$3:$A$4,0), MATCH('Unit 1 b'!W$7,'Rooms Walls and Glass'!$D$1:$AB$1,0))))</f>
        <v/>
      </c>
      <c r="X47" s="65" t="str">
        <f t="shared" si="21"/>
        <v>-</v>
      </c>
      <c r="Y47" s="66" t="str">
        <f>IF(Y$7="","",IF(INDEX('Rooms Walls and Glass'!$D$3:$AB$4, MATCH($D47,'Rooms Walls and Glass'!$A$3:$A$4,0), MATCH('Unit 1 b'!Y$7,'Rooms Walls and Glass'!$D$1:$AB$1,0))=0,"",INDEX('Rooms Walls and Glass'!$D$3:$AB$4, MATCH($D47,'Rooms Walls and Glass'!$A$3:$A$4,0), MATCH('Unit 1 b'!Y$7,'Rooms Walls and Glass'!$D$1:$AB$1,0))))</f>
        <v/>
      </c>
      <c r="Z47" s="65" t="str">
        <f t="shared" si="22"/>
        <v>-</v>
      </c>
      <c r="AA47" s="66" t="str">
        <f>IF(AA$7="","",IF(INDEX('Rooms Walls and Glass'!$D$3:$AB$4, MATCH($D47,'Rooms Walls and Glass'!$A$3:$A$4,0), MATCH('Unit 1 b'!AA$7,'Rooms Walls and Glass'!$D$1:$AB$1,0))=0,"",INDEX('Rooms Walls and Glass'!$D$3:$AB$4, MATCH($D47,'Rooms Walls and Glass'!$A$3:$A$4,0), MATCH('Unit 1 b'!AA$7,'Rooms Walls and Glass'!$D$1:$AB$1,0))))</f>
        <v/>
      </c>
      <c r="AB47" s="65" t="str">
        <f t="shared" si="23"/>
        <v>-</v>
      </c>
      <c r="AC47" s="66" t="str">
        <f>IF(AC$7="","",IF(INDEX('Rooms Walls and Glass'!$D$3:$AB$4, MATCH($D47,'Rooms Walls and Glass'!$A$3:$A$4,0), MATCH('Unit 1 b'!AC$7,'Rooms Walls and Glass'!$D$1:$AB$1,0))=0,"",INDEX('Rooms Walls and Glass'!$D$3:$AB$4, MATCH($D47,'Rooms Walls and Glass'!$A$3:$A$4,0), MATCH('Unit 1 b'!AC$7,'Rooms Walls and Glass'!$D$1:$AB$1,0))))</f>
        <v/>
      </c>
      <c r="AD47" s="65" t="str">
        <f t="shared" si="30"/>
        <v>-</v>
      </c>
      <c r="AE47" s="66" t="str">
        <f>IF(AE$7="","",IF(INDEX('Rooms Walls and Glass'!$D$3:$AB$4, MATCH($D47,'Rooms Walls and Glass'!$A$3:$A$4,0), MATCH('Unit 1 b'!AE$7,'Rooms Walls and Glass'!$D$1:$AB$1,0))=0,"",INDEX('Rooms Walls and Glass'!$D$3:$AB$4, MATCH($D47,'Rooms Walls and Glass'!$A$3:$A$4,0), MATCH('Unit 1 b'!AE$7,'Rooms Walls and Glass'!$D$1:$AB$1,0))))</f>
        <v/>
      </c>
      <c r="AF47" s="65" t="str">
        <f t="shared" si="31"/>
        <v>-</v>
      </c>
      <c r="AG47" s="66" t="str">
        <f>IF(AG$7="","",IF(INDEX('Rooms Walls and Glass'!$D$3:$AB$4, MATCH($D47,'Rooms Walls and Glass'!$A$3:$A$4,0), MATCH('Unit 1 b'!AG$7,'Rooms Walls and Glass'!$D$1:$AB$1,0))=0,"",INDEX('Rooms Walls and Glass'!$D$3:$AB$4, MATCH($D47,'Rooms Walls and Glass'!$A$3:$A$4,0), MATCH('Unit 1 b'!AG$7,'Rooms Walls and Glass'!$D$1:$AB$1,0))))</f>
        <v/>
      </c>
      <c r="AH47" s="65" t="str">
        <f t="shared" si="25"/>
        <v>-</v>
      </c>
      <c r="AI47" s="66" t="str">
        <f>IF(AI$7="","",IF(INDEX('Rooms Walls and Glass'!$D$3:$AB$4, MATCH($D47,'Rooms Walls and Glass'!$A$3:$A$4,0), MATCH('Unit 1 b'!AI$7,'Rooms Walls and Glass'!$D$1:$AB$1,0))=0,"",INDEX('Rooms Walls and Glass'!$D$3:$AB$4, MATCH($D47,'Rooms Walls and Glass'!$A$3:$A$4,0), MATCH('Unit 1 b'!AI$7,'Rooms Walls and Glass'!$D$1:$AB$1,0))))</f>
        <v/>
      </c>
      <c r="AJ47" s="67" t="str">
        <f t="shared" si="26"/>
        <v>-</v>
      </c>
      <c r="AK47" s="66" t="str">
        <f>IF(AK$7="","",IF(INDEX('Rooms Walls and Glass'!$D$3:$AB$4, MATCH($D47,'Rooms Walls and Glass'!$A$3:$A$4,0), MATCH('Unit 1 b'!AK$7,'Rooms Walls and Glass'!$D$1:$AB$1,0))=0,"",INDEX('Rooms Walls and Glass'!$D$3:$AB$4, MATCH($D47,'Rooms Walls and Glass'!$A$3:$A$4,0), MATCH('Unit 1 b'!AK$7,'Rooms Walls and Glass'!$D$1:$AB$1,0))))</f>
        <v/>
      </c>
      <c r="AL47" s="65" t="str">
        <f t="shared" si="27"/>
        <v>-</v>
      </c>
      <c r="AM47" s="66" t="str">
        <f>IF(AM$7="","",IF(INDEX('Rooms Walls and Glass'!$D$3:$AB$4, MATCH($D47,'Rooms Walls and Glass'!$A$3:$A$4,0), MATCH('Unit 1 b'!AM$7,'Rooms Walls and Glass'!$D$1:$AB$1,0))=0,"",INDEX('Rooms Walls and Glass'!$D$3:$AB$4, MATCH($D47,'Rooms Walls and Glass'!$A$3:$A$4,0), MATCH('Unit 1 b'!AM$7,'Rooms Walls and Glass'!$D$1:$AB$1,0))))</f>
        <v/>
      </c>
      <c r="AN47" s="67" t="str">
        <f t="shared" si="28"/>
        <v>-</v>
      </c>
    </row>
    <row r="48" spans="2:40" ht="11.25" customHeight="1" thickBot="1" x14ac:dyDescent="0.2">
      <c r="B48" s="239"/>
      <c r="C48" s="16"/>
      <c r="D48" s="232" t="s">
        <v>235</v>
      </c>
      <c r="E48" s="233"/>
      <c r="F48" s="234"/>
      <c r="G48" s="16">
        <v>3.4129999999999998</v>
      </c>
      <c r="H48" s="16" t="s">
        <v>6</v>
      </c>
      <c r="I48" s="68">
        <f>J48/G48</f>
        <v>521</v>
      </c>
      <c r="J48" s="68">
        <f>SUM(L48,N48,P48,R48,T48,V48,X48,Z48,AB48,AD48,AF48,AH48,AJ48,AL48,AN48)</f>
        <v>1778.173</v>
      </c>
      <c r="K48" s="72">
        <f>IF(SUM(K44:K46)/2=0,"",SUM(K44:K46)/2)</f>
        <v>57.5</v>
      </c>
      <c r="L48" s="68">
        <f>IF(K48="","-",ROUND(K48,0)*$G48)</f>
        <v>197.95399999999998</v>
      </c>
      <c r="M48" s="72">
        <f>IF(SUM(M44:M46)/2=0,"",SUM(M44:M46)/2)</f>
        <v>138</v>
      </c>
      <c r="N48" s="68">
        <f>IF(M48="","-",ROUND(M48,0)*$G48)</f>
        <v>470.99399999999997</v>
      </c>
      <c r="O48" s="72">
        <f>IF(SUM(O44:O46)/2=0,"",SUM(O44:O46)/2)</f>
        <v>29.5</v>
      </c>
      <c r="P48" s="68">
        <f>IF(O48="","-",ROUND(O48,0)*$G48)</f>
        <v>102.39</v>
      </c>
      <c r="Q48" s="72">
        <f>IF(SUM(Q44:Q46)/2=0,"",SUM(Q44:Q46)/2)</f>
        <v>48.5</v>
      </c>
      <c r="R48" s="68">
        <f>IF(Q48="","-",ROUND(Q48,0)*$G48)</f>
        <v>167.23699999999999</v>
      </c>
      <c r="S48" s="72">
        <f>IF(SUM(S44:S46)/2=0,"",SUM(S44:S46)/2)</f>
        <v>115</v>
      </c>
      <c r="T48" s="68">
        <f>IF(S48="","-",ROUND(S48,0)*$G48)</f>
        <v>392.495</v>
      </c>
      <c r="U48" s="72">
        <f>IF(SUM(U44:U46)/2=0,"",SUM(U44:U46)/2)</f>
        <v>115</v>
      </c>
      <c r="V48" s="68">
        <f>IF(U48="","-",ROUND(U48,0)*$G48)</f>
        <v>392.495</v>
      </c>
      <c r="W48" s="72">
        <f>IF(SUM(W44:W46)/2=0,"",SUM(W44:W46)/2)</f>
        <v>15.5</v>
      </c>
      <c r="X48" s="68">
        <f>IF(W48="","-",ROUND(W48,0)*$G48)</f>
        <v>54.607999999999997</v>
      </c>
      <c r="Y48" s="72" t="str">
        <f>IF(SUM(Y44:Y46)/2=0,"",SUM(Y44:Y46)/2)</f>
        <v/>
      </c>
      <c r="Z48" s="68" t="str">
        <f>IF(Y48="","-",ROUND(Y48,0)*$G48)</f>
        <v>-</v>
      </c>
      <c r="AA48" s="72" t="str">
        <f>IF(SUM(AA44:AA46)/2=0,"",SUM(AA44:AA46)/2)</f>
        <v/>
      </c>
      <c r="AB48" s="68" t="str">
        <f>IF(AA48="","-",ROUND(AA48,0)*$G48)</f>
        <v>-</v>
      </c>
      <c r="AC48" s="72" t="str">
        <f>IF(SUM(AC44:AC46)/2=0,"",SUM(AC44:AC46)/2)</f>
        <v/>
      </c>
      <c r="AD48" s="68" t="str">
        <f>IF(AC48="","-",ROUND(AC48,0)*$G48)</f>
        <v>-</v>
      </c>
      <c r="AE48" s="72" t="str">
        <f>IF(SUM(AE44:AE46)/2=0,"",SUM(AE44:AE46)/2)</f>
        <v/>
      </c>
      <c r="AF48" s="68" t="str">
        <f>IF(AE48="","-",ROUND(AE48,0)*$G48)</f>
        <v>-</v>
      </c>
      <c r="AG48" s="72" t="str">
        <f>IF(SUM(AG44:AG46)/2=0,"",SUM(AG44:AG46)/2)</f>
        <v/>
      </c>
      <c r="AH48" s="68" t="str">
        <f>IF(AG48="","-",ROUND(AG48,0)*$G48)</f>
        <v>-</v>
      </c>
      <c r="AI48" s="72" t="str">
        <f>IF(SUM(AI44:AI46)/2=0,"",SUM(AI44:AI46)/2)</f>
        <v/>
      </c>
      <c r="AJ48" s="68" t="str">
        <f>IF(AI48="","-",ROUND(AI48,0)*$G48)</f>
        <v>-</v>
      </c>
      <c r="AK48" s="72" t="str">
        <f>IF(SUM(AK44:AK46)/2=0,"",SUM(AK44:AK46)/2)</f>
        <v/>
      </c>
      <c r="AL48" s="68" t="str">
        <f>IF(AK48="","-",ROUND(AK48,0)*$G48)</f>
        <v>-</v>
      </c>
      <c r="AM48" s="72" t="str">
        <f>IF(SUM(AM44:AM46)/2=0,"",SUM(AM44:AM46)/2)</f>
        <v/>
      </c>
      <c r="AN48" s="68" t="str">
        <f>IF(AM48="","-",ROUND(AM48,0)*$G48)</f>
        <v>-</v>
      </c>
    </row>
    <row r="49" spans="2:40" ht="11.25" customHeight="1" thickBot="1" x14ac:dyDescent="0.2">
      <c r="B49" s="240"/>
      <c r="C49" s="11"/>
      <c r="D49" s="232" t="s">
        <v>236</v>
      </c>
      <c r="E49" s="233"/>
      <c r="F49" s="234"/>
      <c r="G49" s="11">
        <v>3.4129999999999998</v>
      </c>
      <c r="H49" s="20" t="s">
        <v>6</v>
      </c>
      <c r="I49" s="41">
        <f>SUM(K49,M49,O49,Q49,U49,W49,Y49,AA49,AC49,AE49,AG49,AI49,S49,AK49,AM49)</f>
        <v>930</v>
      </c>
      <c r="J49" s="70">
        <f t="shared" si="14"/>
        <v>3174.0899999999997</v>
      </c>
      <c r="K49" s="66" t="str">
        <f>IF(K$7="","",IF(INDEX('Rooms Walls and Glass'!$D$3:$AB$4, MATCH($D49,'Rooms Walls and Glass'!$A$3:$A$4,0), MATCH('Unit 1 b'!K$7,'Rooms Walls and Glass'!$D$1:$AB$1,0))=0,"",INDEX('Rooms Walls and Glass'!$D$3:$AB$4, MATCH($D49,'Rooms Walls and Glass'!$A$3:$A$4,0), MATCH('Unit 1 b'!K$7,'Rooms Walls and Glass'!$D$1:$AB$1,0))))</f>
        <v/>
      </c>
      <c r="L49" s="70" t="str">
        <f t="shared" si="15"/>
        <v>-</v>
      </c>
      <c r="M49" s="66">
        <f>IF(M$7="","",IF(INDEX('Rooms Walls and Glass'!$D$3:$AB$4, MATCH($D49,'Rooms Walls and Glass'!$A$3:$A$4,0), MATCH('Unit 1 b'!M$7,'Rooms Walls and Glass'!$D$1:$AB$1,0))=0,"",INDEX('Rooms Walls and Glass'!$D$3:$AB$4, MATCH($D49,'Rooms Walls and Glass'!$A$3:$A$4,0), MATCH('Unit 1 b'!M$7,'Rooms Walls and Glass'!$D$1:$AB$1,0))))</f>
        <v>250</v>
      </c>
      <c r="N49" s="70">
        <f t="shared" si="16"/>
        <v>853.25</v>
      </c>
      <c r="O49" s="66" t="str">
        <f>IF(O$7="","",IF(INDEX('Rooms Walls and Glass'!$D$3:$AB$4, MATCH($D49,'Rooms Walls and Glass'!$A$3:$A$4,0), MATCH('Unit 1 b'!O$7,'Rooms Walls and Glass'!$D$1:$AB$1,0))=0,"",INDEX('Rooms Walls and Glass'!$D$3:$AB$4, MATCH($D49,'Rooms Walls and Glass'!$A$3:$A$4,0), MATCH('Unit 1 b'!O$7,'Rooms Walls and Glass'!$D$1:$AB$1,0))))</f>
        <v/>
      </c>
      <c r="P49" s="70" t="str">
        <f t="shared" si="17"/>
        <v>-</v>
      </c>
      <c r="Q49" s="66" t="str">
        <f>IF(Q$7="","",IF(INDEX('Rooms Walls and Glass'!$D$3:$AB$4, MATCH($D49,'Rooms Walls and Glass'!$A$3:$A$4,0), MATCH('Unit 1 b'!Q$7,'Rooms Walls and Glass'!$D$1:$AB$1,0))=0,"",INDEX('Rooms Walls and Glass'!$D$3:$AB$4, MATCH($D49,'Rooms Walls and Glass'!$A$3:$A$4,0), MATCH('Unit 1 b'!Q$7,'Rooms Walls and Glass'!$D$1:$AB$1,0))))</f>
        <v/>
      </c>
      <c r="R49" s="70" t="str">
        <f t="shared" si="18"/>
        <v>-</v>
      </c>
      <c r="S49" s="66" t="str">
        <f>IF(S$7="","",IF(INDEX('Rooms Walls and Glass'!$D$3:$AB$4, MATCH($D49,'Rooms Walls and Glass'!$A$3:$A$4,0), MATCH('Unit 1 b'!S$7,'Rooms Walls and Glass'!$D$1:$AB$1,0))=0,"",INDEX('Rooms Walls and Glass'!$D$3:$AB$4, MATCH($D49,'Rooms Walls and Glass'!$A$3:$A$4,0), MATCH('Unit 1 b'!S$7,'Rooms Walls and Glass'!$D$1:$AB$1,0))))</f>
        <v/>
      </c>
      <c r="T49" s="70" t="str">
        <f t="shared" si="19"/>
        <v>-</v>
      </c>
      <c r="U49" s="66">
        <f>IF(U$7="","",IF(INDEX('Rooms Walls and Glass'!$D$3:$AB$4, MATCH($D49,'Rooms Walls and Glass'!$A$3:$A$4,0), MATCH('Unit 1 b'!U$7,'Rooms Walls and Glass'!$D$1:$AB$1,0))=0,"",INDEX('Rooms Walls and Glass'!$D$3:$AB$4, MATCH($D49,'Rooms Walls and Glass'!$A$3:$A$4,0), MATCH('Unit 1 b'!U$7,'Rooms Walls and Glass'!$D$1:$AB$1,0))))</f>
        <v>680</v>
      </c>
      <c r="V49" s="70">
        <f t="shared" si="20"/>
        <v>2320.8399999999997</v>
      </c>
      <c r="W49" s="66" t="str">
        <f>IF(W$7="","",IF(INDEX('Rooms Walls and Glass'!$D$3:$AB$4, MATCH($D49,'Rooms Walls and Glass'!$A$3:$A$4,0), MATCH('Unit 1 b'!W$7,'Rooms Walls and Glass'!$D$1:$AB$1,0))=0,"",INDEX('Rooms Walls and Glass'!$D$3:$AB$4, MATCH($D49,'Rooms Walls and Glass'!$A$3:$A$4,0), MATCH('Unit 1 b'!W$7,'Rooms Walls and Glass'!$D$1:$AB$1,0))))</f>
        <v/>
      </c>
      <c r="X49" s="70" t="str">
        <f t="shared" si="21"/>
        <v>-</v>
      </c>
      <c r="Y49" s="66" t="str">
        <f>IF(Y$7="","",IF(INDEX('Rooms Walls and Glass'!$D$3:$AB$4, MATCH($D49,'Rooms Walls and Glass'!$A$3:$A$4,0), MATCH('Unit 1 b'!Y$7,'Rooms Walls and Glass'!$D$1:$AB$1,0))=0,"",INDEX('Rooms Walls and Glass'!$D$3:$AB$4, MATCH($D49,'Rooms Walls and Glass'!$A$3:$A$4,0), MATCH('Unit 1 b'!Y$7,'Rooms Walls and Glass'!$D$1:$AB$1,0))))</f>
        <v/>
      </c>
      <c r="Z49" s="70" t="str">
        <f t="shared" si="22"/>
        <v>-</v>
      </c>
      <c r="AA49" s="66" t="str">
        <f>IF(AA$7="","",IF(INDEX('Rooms Walls and Glass'!$D$3:$AB$4, MATCH($D49,'Rooms Walls and Glass'!$A$3:$A$4,0), MATCH('Unit 1 b'!AA$7,'Rooms Walls and Glass'!$D$1:$AB$1,0))=0,"",INDEX('Rooms Walls and Glass'!$D$3:$AB$4, MATCH($D49,'Rooms Walls and Glass'!$A$3:$A$4,0), MATCH('Unit 1 b'!AA$7,'Rooms Walls and Glass'!$D$1:$AB$1,0))))</f>
        <v/>
      </c>
      <c r="AB49" s="70" t="str">
        <f t="shared" si="23"/>
        <v>-</v>
      </c>
      <c r="AC49" s="66" t="str">
        <f>IF(AC$7="","",IF(INDEX('Rooms Walls and Glass'!$D$3:$AB$4, MATCH($D49,'Rooms Walls and Glass'!$A$3:$A$4,0), MATCH('Unit 1 b'!AC$7,'Rooms Walls and Glass'!$D$1:$AB$1,0))=0,"",INDEX('Rooms Walls and Glass'!$D$3:$AB$4, MATCH($D49,'Rooms Walls and Glass'!$A$3:$A$4,0), MATCH('Unit 1 b'!AC$7,'Rooms Walls and Glass'!$D$1:$AB$1,0))))</f>
        <v/>
      </c>
      <c r="AD49" s="70" t="str">
        <f t="shared" ref="AD49" si="32">IF(AC49="","-",AC49*$G49)</f>
        <v>-</v>
      </c>
      <c r="AE49" s="66" t="str">
        <f>IF(AE$7="","",IF(INDEX('Rooms Walls and Glass'!$D$3:$AB$4, MATCH($D49,'Rooms Walls and Glass'!$A$3:$A$4,0), MATCH('Unit 1 b'!AE$7,'Rooms Walls and Glass'!$D$1:$AB$1,0))=0,"",INDEX('Rooms Walls and Glass'!$D$3:$AB$4, MATCH($D49,'Rooms Walls and Glass'!$A$3:$A$4,0), MATCH('Unit 1 b'!AE$7,'Rooms Walls and Glass'!$D$1:$AB$1,0))))</f>
        <v/>
      </c>
      <c r="AF49" s="70" t="str">
        <f t="shared" ref="AF49" si="33">IF(AE49="","-",AE49*$G49)</f>
        <v>-</v>
      </c>
      <c r="AG49" s="66" t="str">
        <f>IF(AG$7="","",IF(INDEX('Rooms Walls and Glass'!$D$3:$AB$4, MATCH($D49,'Rooms Walls and Glass'!$A$3:$A$4,0), MATCH('Unit 1 b'!AG$7,'Rooms Walls and Glass'!$D$1:$AB$1,0))=0,"",INDEX('Rooms Walls and Glass'!$D$3:$AB$4, MATCH($D49,'Rooms Walls and Glass'!$A$3:$A$4,0), MATCH('Unit 1 b'!AG$7,'Rooms Walls and Glass'!$D$1:$AB$1,0))))</f>
        <v/>
      </c>
      <c r="AH49" s="70" t="str">
        <f t="shared" si="25"/>
        <v>-</v>
      </c>
      <c r="AI49" s="66" t="str">
        <f>IF(AI$7="","",IF(INDEX('Rooms Walls and Glass'!$D$3:$AB$4, MATCH($D49,'Rooms Walls and Glass'!$A$3:$A$4,0), MATCH('Unit 1 b'!AI$7,'Rooms Walls and Glass'!$D$1:$AB$1,0))=0,"",INDEX('Rooms Walls and Glass'!$D$3:$AB$4, MATCH($D49,'Rooms Walls and Glass'!$A$3:$A$4,0), MATCH('Unit 1 b'!AI$7,'Rooms Walls and Glass'!$D$1:$AB$1,0))))</f>
        <v/>
      </c>
      <c r="AJ49" s="71" t="str">
        <f t="shared" si="26"/>
        <v>-</v>
      </c>
      <c r="AK49" s="66" t="str">
        <f>IF(AK$7="","",IF(INDEX('Rooms Walls and Glass'!$D$3:$AB$4, MATCH($D49,'Rooms Walls and Glass'!$A$3:$A$4,0), MATCH('Unit 1 b'!AK$7,'Rooms Walls and Glass'!$D$1:$AB$1,0))=0,"",INDEX('Rooms Walls and Glass'!$D$3:$AB$4, MATCH($D49,'Rooms Walls and Glass'!$A$3:$A$4,0), MATCH('Unit 1 b'!AK$7,'Rooms Walls and Glass'!$D$1:$AB$1,0))))</f>
        <v/>
      </c>
      <c r="AL49" s="70" t="str">
        <f t="shared" ref="AL49" si="34">IF(AK49="","-",AK49*$G49)</f>
        <v>-</v>
      </c>
      <c r="AM49" s="66" t="str">
        <f>IF(AM$7="","",IF(INDEX('Rooms Walls and Glass'!$D$3:$AB$4, MATCH($D49,'Rooms Walls and Glass'!$A$3:$A$4,0), MATCH('Unit 1 b'!AM$7,'Rooms Walls and Glass'!$D$1:$AB$1,0))=0,"",INDEX('Rooms Walls and Glass'!$D$3:$AB$4, MATCH($D49,'Rooms Walls and Glass'!$A$3:$A$4,0), MATCH('Unit 1 b'!AM$7,'Rooms Walls and Glass'!$D$1:$AB$1,0))))</f>
        <v/>
      </c>
      <c r="AN49" s="71" t="str">
        <f t="shared" ref="AN49" si="35">IF(AM49="","-",AM49*$G49)</f>
        <v>-</v>
      </c>
    </row>
    <row r="50" spans="2:40" ht="11.25" customHeight="1" x14ac:dyDescent="0.15">
      <c r="B50" s="242" t="s">
        <v>54</v>
      </c>
      <c r="C50" s="233"/>
      <c r="D50" s="233"/>
      <c r="E50" s="233"/>
      <c r="F50" s="234"/>
      <c r="G50" s="21"/>
      <c r="H50" s="22" t="s">
        <v>57</v>
      </c>
      <c r="I50" s="73">
        <f>SUM(K50,M50,O50,Q50,U50,W50,Y50,AA50,AC50,AE50,AG50,AI50,S50,AK50,AM50)</f>
        <v>8823</v>
      </c>
      <c r="J50" s="74">
        <f>IF(I50="","-",I50*$G50)</f>
        <v>0</v>
      </c>
      <c r="K50" s="75">
        <f>SUM(K44:K46)*K6</f>
        <v>977.5</v>
      </c>
      <c r="L50" s="74">
        <f>IF(K50="","-",K50*$G50)</f>
        <v>0</v>
      </c>
      <c r="M50" s="75">
        <f>SUM(M44:M46)*M6</f>
        <v>2346</v>
      </c>
      <c r="N50" s="74">
        <f>IF(M50="","-",M50*$G50)</f>
        <v>0</v>
      </c>
      <c r="O50" s="75">
        <f>SUM(O44:O46)*O6</f>
        <v>501.5</v>
      </c>
      <c r="P50" s="74">
        <f>IF(O50="","-",O50*$G50)</f>
        <v>0</v>
      </c>
      <c r="Q50" s="75">
        <f>SUM(Q44:Q46)*Q6</f>
        <v>824.5</v>
      </c>
      <c r="R50" s="74">
        <f>IF(Q50="","-",Q50*$G50)</f>
        <v>0</v>
      </c>
      <c r="S50" s="75">
        <f>SUM(S44:S46)*S6</f>
        <v>1955</v>
      </c>
      <c r="T50" s="74">
        <f>IF(S50="","-",S50*$G50)</f>
        <v>0</v>
      </c>
      <c r="U50" s="75">
        <f>SUM(U44:U46)*U6</f>
        <v>1955</v>
      </c>
      <c r="V50" s="74">
        <f>IF(U50="","-",U50*$G50)</f>
        <v>0</v>
      </c>
      <c r="W50" s="75">
        <f>SUM(W44:W46)*W6</f>
        <v>263.5</v>
      </c>
      <c r="X50" s="74">
        <f>IF(W50="","-",W50*$G50)</f>
        <v>0</v>
      </c>
      <c r="Y50" s="75">
        <f>SUM(Y44:Y46)*Y6</f>
        <v>0</v>
      </c>
      <c r="Z50" s="74">
        <f>IF(Y50="","-",Y50*$G50)</f>
        <v>0</v>
      </c>
      <c r="AA50" s="75">
        <f>SUM(AA44:AA46)*AA6</f>
        <v>0</v>
      </c>
      <c r="AB50" s="74">
        <f>IF(AA50="","-",AA50*$G50)</f>
        <v>0</v>
      </c>
      <c r="AC50" s="75">
        <f>SUM(AC44:AC46)*AC6</f>
        <v>0</v>
      </c>
      <c r="AD50" s="74">
        <f>IF(AC50="","-",AC50*$G50)</f>
        <v>0</v>
      </c>
      <c r="AE50" s="75">
        <f>SUM(AE44:AE46)*AE6</f>
        <v>0</v>
      </c>
      <c r="AF50" s="74">
        <f>IF(AE50="","-",AE50*$G50)</f>
        <v>0</v>
      </c>
      <c r="AG50" s="75">
        <f>SUM(AG44:AG46)*AG6</f>
        <v>0</v>
      </c>
      <c r="AH50" s="74">
        <f>IF(AG50="","-",AG50*$G50)</f>
        <v>0</v>
      </c>
      <c r="AI50" s="75">
        <f>SUM(AI44:AI46)*AI6</f>
        <v>0</v>
      </c>
      <c r="AJ50" s="76">
        <f>IF(AI50="","-",AI50*$G50)</f>
        <v>0</v>
      </c>
      <c r="AK50" s="75">
        <f>SUM(AK44:AK46)*AK6</f>
        <v>0</v>
      </c>
      <c r="AL50" s="74">
        <f>IF(AK50="","-",AK50*$G50)</f>
        <v>0</v>
      </c>
      <c r="AM50" s="75">
        <f>SUM(AM44:AM46)*AM6</f>
        <v>0</v>
      </c>
      <c r="AN50" s="76">
        <f>IF(AM50="","-",AM50*$G50)</f>
        <v>0</v>
      </c>
    </row>
    <row r="51" spans="2:40" ht="11.25" customHeight="1" thickBot="1" x14ac:dyDescent="0.2">
      <c r="B51" s="219" t="s">
        <v>55</v>
      </c>
      <c r="C51" s="220"/>
      <c r="D51" s="220"/>
      <c r="E51" s="23">
        <f>Summary!H13</f>
        <v>0.25</v>
      </c>
      <c r="F51" s="24" t="s">
        <v>56</v>
      </c>
      <c r="G51" s="25">
        <f>IF(E51=0.25,0.09,0.13)</f>
        <v>0.09</v>
      </c>
      <c r="H51" s="26" t="s">
        <v>6</v>
      </c>
      <c r="I51" s="77">
        <f>SUM(K51,M51,O51,Q51,U51,W51,Y51,AA51,AC51,AE51,AG51,AI51,S51,AK51,AM51)</f>
        <v>1038</v>
      </c>
      <c r="J51" s="78">
        <f>IF(I50="","-",I50*$G51)</f>
        <v>794.06999999999994</v>
      </c>
      <c r="K51" s="79">
        <f>SUM(K44:K46)</f>
        <v>115</v>
      </c>
      <c r="L51" s="78">
        <f>K50*$G$51</f>
        <v>87.974999999999994</v>
      </c>
      <c r="M51" s="79">
        <f>SUM(M44:M46)</f>
        <v>276</v>
      </c>
      <c r="N51" s="78">
        <f>M50*$G$51</f>
        <v>211.14</v>
      </c>
      <c r="O51" s="79">
        <f>SUM(O44:O46)</f>
        <v>59</v>
      </c>
      <c r="P51" s="78">
        <f>O50*$G$51</f>
        <v>45.134999999999998</v>
      </c>
      <c r="Q51" s="79">
        <f>SUM(Q44:Q46)</f>
        <v>97</v>
      </c>
      <c r="R51" s="78">
        <f>Q50*$G$51</f>
        <v>74.204999999999998</v>
      </c>
      <c r="S51" s="79">
        <f>SUM(S44:S46)</f>
        <v>230</v>
      </c>
      <c r="T51" s="78">
        <f>S50*$G$51</f>
        <v>175.95</v>
      </c>
      <c r="U51" s="79">
        <f>SUM(U44:U46)</f>
        <v>230</v>
      </c>
      <c r="V51" s="78">
        <f>U50*$G$51</f>
        <v>175.95</v>
      </c>
      <c r="W51" s="79">
        <f>SUM(W44:W46)</f>
        <v>31</v>
      </c>
      <c r="X51" s="78">
        <f>W50*$G$51</f>
        <v>23.715</v>
      </c>
      <c r="Y51" s="79">
        <f>SUM(Y44:Y46)</f>
        <v>0</v>
      </c>
      <c r="Z51" s="78">
        <f>Y50*$G$51</f>
        <v>0</v>
      </c>
      <c r="AA51" s="79">
        <f>SUM(AA44:AA46)</f>
        <v>0</v>
      </c>
      <c r="AB51" s="78">
        <f>AA50*$G$51</f>
        <v>0</v>
      </c>
      <c r="AC51" s="79">
        <f>SUM(AC44:AC46)</f>
        <v>0</v>
      </c>
      <c r="AD51" s="78">
        <f>AC50*$G$51</f>
        <v>0</v>
      </c>
      <c r="AE51" s="79">
        <f>SUM(AE44:AE46)</f>
        <v>0</v>
      </c>
      <c r="AF51" s="78">
        <f>AE50*$G$51</f>
        <v>0</v>
      </c>
      <c r="AG51" s="79">
        <f>SUM(AG44:AG46)</f>
        <v>0</v>
      </c>
      <c r="AH51" s="78">
        <f>AG50*$G$51</f>
        <v>0</v>
      </c>
      <c r="AI51" s="79">
        <f>SUM(AI44:AI46)</f>
        <v>0</v>
      </c>
      <c r="AJ51" s="78">
        <f>AI50*$G$51</f>
        <v>0</v>
      </c>
      <c r="AK51" s="79">
        <f>SUM(AK44:AK46)</f>
        <v>0</v>
      </c>
      <c r="AL51" s="78">
        <f>AK50*$G$51</f>
        <v>0</v>
      </c>
      <c r="AM51" s="79">
        <f>SUM(AM44:AM46)</f>
        <v>0</v>
      </c>
      <c r="AN51" s="78">
        <f>AM50*$G$51</f>
        <v>0</v>
      </c>
    </row>
    <row r="52" spans="2:40" ht="11.25" customHeight="1" x14ac:dyDescent="0.15">
      <c r="B52" s="221" t="s">
        <v>58</v>
      </c>
      <c r="C52" s="222"/>
      <c r="D52" s="222"/>
      <c r="E52" s="222"/>
      <c r="F52" s="222"/>
      <c r="G52" s="222"/>
      <c r="H52" s="223"/>
      <c r="I52" s="31"/>
      <c r="J52" s="65">
        <f>SUM(J9:J51)</f>
        <v>11765.527450666665</v>
      </c>
      <c r="K52" s="80"/>
      <c r="L52" s="65">
        <f t="shared" ref="L52:AJ52" si="36">SUM(L9:L51)</f>
        <v>1333.5155973333333</v>
      </c>
      <c r="M52" s="80"/>
      <c r="N52" s="65">
        <f t="shared" si="36"/>
        <v>2774.0553599999998</v>
      </c>
      <c r="O52" s="80"/>
      <c r="P52" s="65">
        <f t="shared" si="36"/>
        <v>447.82499999999999</v>
      </c>
      <c r="Q52" s="80"/>
      <c r="R52" s="65">
        <f t="shared" si="36"/>
        <v>410.38149333333331</v>
      </c>
      <c r="S52" s="80"/>
      <c r="T52" s="65">
        <f t="shared" si="36"/>
        <v>2150.5940000000001</v>
      </c>
      <c r="U52" s="80"/>
      <c r="V52" s="65">
        <f t="shared" si="36"/>
        <v>4500.6089999999995</v>
      </c>
      <c r="W52" s="80"/>
      <c r="X52" s="65">
        <f t="shared" si="36"/>
        <v>148.547</v>
      </c>
      <c r="Y52" s="80"/>
      <c r="Z52" s="65">
        <f t="shared" si="36"/>
        <v>0</v>
      </c>
      <c r="AA52" s="80"/>
      <c r="AB52" s="65">
        <f t="shared" si="36"/>
        <v>0</v>
      </c>
      <c r="AC52" s="80"/>
      <c r="AD52" s="65">
        <f t="shared" si="36"/>
        <v>0</v>
      </c>
      <c r="AE52" s="80"/>
      <c r="AF52" s="65">
        <f t="shared" si="36"/>
        <v>0</v>
      </c>
      <c r="AG52" s="80"/>
      <c r="AH52" s="65">
        <f t="shared" si="36"/>
        <v>0</v>
      </c>
      <c r="AI52" s="80"/>
      <c r="AJ52" s="67">
        <f t="shared" si="36"/>
        <v>0</v>
      </c>
      <c r="AK52" s="80"/>
      <c r="AL52" s="65">
        <f t="shared" ref="AL52" si="37">SUM(AL9:AL51)</f>
        <v>0</v>
      </c>
      <c r="AM52" s="80"/>
      <c r="AN52" s="67">
        <f t="shared" ref="AN52" si="38">SUM(AN9:AN51)</f>
        <v>0</v>
      </c>
    </row>
    <row r="53" spans="2:40" ht="11.25" customHeight="1" thickBot="1" x14ac:dyDescent="0.2">
      <c r="B53" s="215" t="s">
        <v>59</v>
      </c>
      <c r="C53" s="216"/>
      <c r="D53" s="216"/>
      <c r="E53" s="216"/>
      <c r="F53" s="216"/>
      <c r="G53" s="27">
        <v>0.1</v>
      </c>
      <c r="H53" s="28"/>
      <c r="I53" s="81"/>
      <c r="J53" s="70">
        <f>G53*J52</f>
        <v>1176.5527450666666</v>
      </c>
      <c r="K53" s="82"/>
      <c r="L53" s="83" t="str">
        <f t="shared" si="15"/>
        <v>-</v>
      </c>
      <c r="M53" s="82"/>
      <c r="N53" s="83" t="str">
        <f t="shared" si="16"/>
        <v>-</v>
      </c>
      <c r="O53" s="82"/>
      <c r="P53" s="83" t="str">
        <f t="shared" si="17"/>
        <v>-</v>
      </c>
      <c r="Q53" s="82"/>
      <c r="R53" s="83" t="str">
        <f t="shared" si="18"/>
        <v>-</v>
      </c>
      <c r="S53" s="82"/>
      <c r="T53" s="83" t="str">
        <f t="shared" si="19"/>
        <v>-</v>
      </c>
      <c r="U53" s="82"/>
      <c r="V53" s="83" t="str">
        <f t="shared" si="20"/>
        <v>-</v>
      </c>
      <c r="W53" s="82"/>
      <c r="X53" s="83" t="str">
        <f t="shared" si="21"/>
        <v>-</v>
      </c>
      <c r="Y53" s="82"/>
      <c r="Z53" s="83" t="str">
        <f t="shared" si="22"/>
        <v>-</v>
      </c>
      <c r="AA53" s="82"/>
      <c r="AB53" s="83" t="str">
        <f t="shared" si="23"/>
        <v>-</v>
      </c>
      <c r="AC53" s="82"/>
      <c r="AD53" s="83" t="str">
        <f t="shared" ref="AD53:AD55" si="39">IF(AC53="","-",AC53*$G53)</f>
        <v>-</v>
      </c>
      <c r="AE53" s="82"/>
      <c r="AF53" s="83" t="str">
        <f t="shared" ref="AF53:AF55" si="40">IF(AE53="","-",AE53*$G53)</f>
        <v>-</v>
      </c>
      <c r="AG53" s="82"/>
      <c r="AH53" s="83" t="str">
        <f t="shared" si="25"/>
        <v>-</v>
      </c>
      <c r="AI53" s="82"/>
      <c r="AJ53" s="84" t="str">
        <f t="shared" si="26"/>
        <v>-</v>
      </c>
      <c r="AK53" s="82"/>
      <c r="AL53" s="83" t="str">
        <f t="shared" ref="AL53:AL55" si="41">IF(AK53="","-",AK53*$G53)</f>
        <v>-</v>
      </c>
      <c r="AM53" s="82"/>
      <c r="AN53" s="84" t="str">
        <f t="shared" ref="AN53:AN55" si="42">IF(AM53="","-",AM53*$G53)</f>
        <v>-</v>
      </c>
    </row>
    <row r="54" spans="2:40" ht="11.25" customHeight="1" x14ac:dyDescent="0.15">
      <c r="B54" s="224" t="s">
        <v>60</v>
      </c>
      <c r="C54" s="225"/>
      <c r="D54" s="225"/>
      <c r="E54" s="225"/>
      <c r="F54" s="225"/>
      <c r="G54" s="225"/>
      <c r="H54" s="226"/>
      <c r="I54" s="31"/>
      <c r="J54" s="65">
        <f>J53+J52</f>
        <v>12942.080195733331</v>
      </c>
      <c r="K54" s="85"/>
      <c r="L54" s="80" t="str">
        <f t="shared" si="15"/>
        <v>-</v>
      </c>
      <c r="M54" s="85"/>
      <c r="N54" s="80" t="str">
        <f t="shared" si="16"/>
        <v>-</v>
      </c>
      <c r="O54" s="85"/>
      <c r="P54" s="80" t="str">
        <f t="shared" si="17"/>
        <v>-</v>
      </c>
      <c r="Q54" s="85"/>
      <c r="R54" s="80" t="str">
        <f t="shared" si="18"/>
        <v>-</v>
      </c>
      <c r="S54" s="85"/>
      <c r="T54" s="80" t="str">
        <f t="shared" si="19"/>
        <v>-</v>
      </c>
      <c r="U54" s="85"/>
      <c r="V54" s="80" t="str">
        <f t="shared" si="20"/>
        <v>-</v>
      </c>
      <c r="W54" s="85"/>
      <c r="X54" s="80" t="str">
        <f t="shared" si="21"/>
        <v>-</v>
      </c>
      <c r="Y54" s="85"/>
      <c r="Z54" s="80" t="str">
        <f t="shared" si="22"/>
        <v>-</v>
      </c>
      <c r="AA54" s="85"/>
      <c r="AB54" s="80" t="str">
        <f t="shared" si="23"/>
        <v>-</v>
      </c>
      <c r="AC54" s="85"/>
      <c r="AD54" s="80" t="str">
        <f t="shared" si="39"/>
        <v>-</v>
      </c>
      <c r="AE54" s="85"/>
      <c r="AF54" s="80" t="str">
        <f t="shared" si="40"/>
        <v>-</v>
      </c>
      <c r="AG54" s="85"/>
      <c r="AH54" s="80" t="str">
        <f t="shared" si="25"/>
        <v>-</v>
      </c>
      <c r="AI54" s="85"/>
      <c r="AJ54" s="86" t="str">
        <f t="shared" si="26"/>
        <v>-</v>
      </c>
      <c r="AK54" s="85"/>
      <c r="AL54" s="80" t="str">
        <f t="shared" si="41"/>
        <v>-</v>
      </c>
      <c r="AM54" s="85"/>
      <c r="AN54" s="86" t="str">
        <f t="shared" si="42"/>
        <v>-</v>
      </c>
    </row>
    <row r="55" spans="2:40" ht="11.25" customHeight="1" thickBot="1" x14ac:dyDescent="0.2">
      <c r="B55" s="227" t="s">
        <v>61</v>
      </c>
      <c r="C55" s="228"/>
      <c r="D55" s="228"/>
      <c r="E55" s="228"/>
      <c r="F55" s="228"/>
      <c r="G55" s="228"/>
      <c r="H55" s="229"/>
      <c r="I55" s="41"/>
      <c r="J55" s="261">
        <f>J54/0.75/12000</f>
        <v>1.4380089106370368</v>
      </c>
      <c r="K55" s="82"/>
      <c r="L55" s="83" t="str">
        <f t="shared" si="15"/>
        <v>-</v>
      </c>
      <c r="M55" s="82"/>
      <c r="N55" s="83" t="str">
        <f t="shared" si="16"/>
        <v>-</v>
      </c>
      <c r="O55" s="82"/>
      <c r="P55" s="83" t="str">
        <f t="shared" si="17"/>
        <v>-</v>
      </c>
      <c r="Q55" s="82"/>
      <c r="R55" s="83" t="str">
        <f t="shared" si="18"/>
        <v>-</v>
      </c>
      <c r="S55" s="82"/>
      <c r="T55" s="83" t="str">
        <f t="shared" si="19"/>
        <v>-</v>
      </c>
      <c r="U55" s="82"/>
      <c r="V55" s="83" t="str">
        <f t="shared" si="20"/>
        <v>-</v>
      </c>
      <c r="W55" s="82"/>
      <c r="X55" s="83" t="str">
        <f t="shared" si="21"/>
        <v>-</v>
      </c>
      <c r="Y55" s="82"/>
      <c r="Z55" s="83" t="str">
        <f t="shared" si="22"/>
        <v>-</v>
      </c>
      <c r="AA55" s="82"/>
      <c r="AB55" s="83" t="str">
        <f t="shared" si="23"/>
        <v>-</v>
      </c>
      <c r="AC55" s="82"/>
      <c r="AD55" s="83" t="str">
        <f t="shared" si="39"/>
        <v>-</v>
      </c>
      <c r="AE55" s="82"/>
      <c r="AF55" s="83" t="str">
        <f t="shared" si="40"/>
        <v>-</v>
      </c>
      <c r="AG55" s="82"/>
      <c r="AH55" s="83" t="str">
        <f t="shared" si="25"/>
        <v>-</v>
      </c>
      <c r="AI55" s="82"/>
      <c r="AJ55" s="84" t="str">
        <f t="shared" si="26"/>
        <v>-</v>
      </c>
      <c r="AK55" s="82"/>
      <c r="AL55" s="83" t="str">
        <f t="shared" si="41"/>
        <v>-</v>
      </c>
      <c r="AM55" s="82"/>
      <c r="AN55" s="84" t="str">
        <f t="shared" si="42"/>
        <v>-</v>
      </c>
    </row>
    <row r="56" spans="2:40" ht="11.25" customHeight="1" thickBot="1" x14ac:dyDescent="0.2">
      <c r="B56" s="215" t="s">
        <v>62</v>
      </c>
      <c r="C56" s="216"/>
      <c r="D56" s="216"/>
      <c r="E56" s="30">
        <v>1.75</v>
      </c>
      <c r="F56" s="29" t="s">
        <v>63</v>
      </c>
      <c r="G56" s="217" t="s">
        <v>64</v>
      </c>
      <c r="H56" s="218"/>
      <c r="I56" s="88"/>
      <c r="J56" s="89">
        <f>E56*400</f>
        <v>700</v>
      </c>
      <c r="K56" s="90"/>
      <c r="L56" s="89">
        <f>L52/$J$52*$J$56</f>
        <v>79.338637561925964</v>
      </c>
      <c r="M56" s="90"/>
      <c r="N56" s="89">
        <f>N52/$J$52*$J$56</f>
        <v>165.04476829808172</v>
      </c>
      <c r="O56" s="90"/>
      <c r="P56" s="89">
        <f>P52/$J$52*$J$56</f>
        <v>26.643726880450018</v>
      </c>
      <c r="Q56" s="90"/>
      <c r="R56" s="89">
        <f>R52/$J$52*$J$56</f>
        <v>24.415993803750467</v>
      </c>
      <c r="S56" s="90"/>
      <c r="T56" s="89">
        <f>T52/$J$52*$J$56</f>
        <v>127.95140773010557</v>
      </c>
      <c r="U56" s="90"/>
      <c r="V56" s="89">
        <f>V52/$J$52*$J$56</f>
        <v>267.76753640751468</v>
      </c>
      <c r="W56" s="90"/>
      <c r="X56" s="89">
        <f>X52/$J$52*$J$56</f>
        <v>8.8379293181716267</v>
      </c>
      <c r="Y56" s="90"/>
      <c r="Z56" s="89">
        <f>Z52/$J$52*$J$56</f>
        <v>0</v>
      </c>
      <c r="AA56" s="90"/>
      <c r="AB56" s="89">
        <f>AB52/$J$52*$J$56</f>
        <v>0</v>
      </c>
      <c r="AC56" s="90"/>
      <c r="AD56" s="89">
        <f>AD52/$J$52*$J$56</f>
        <v>0</v>
      </c>
      <c r="AE56" s="90"/>
      <c r="AF56" s="89">
        <f>AF52/$J$52*$J$56</f>
        <v>0</v>
      </c>
      <c r="AG56" s="90"/>
      <c r="AH56" s="89">
        <f>AH52/$J$52*$J$56</f>
        <v>0</v>
      </c>
      <c r="AI56" s="90"/>
      <c r="AJ56" s="91">
        <f>AJ52/$J$52*$J$56</f>
        <v>0</v>
      </c>
      <c r="AK56" s="90"/>
      <c r="AL56" s="89">
        <f>AL52/$J$52*$J$56</f>
        <v>0</v>
      </c>
      <c r="AM56" s="90"/>
      <c r="AN56" s="91">
        <f>AN52/$J$52*$J$56</f>
        <v>0</v>
      </c>
    </row>
    <row r="57" spans="2:40" ht="3" customHeight="1" thickBot="1" x14ac:dyDescent="0.2">
      <c r="B57" s="6"/>
      <c r="C57" s="7"/>
      <c r="D57" s="7"/>
      <c r="E57" s="7"/>
      <c r="F57" s="7"/>
      <c r="G57" s="7"/>
      <c r="H57" s="7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9"/>
      <c r="AK57" s="208"/>
      <c r="AL57" s="208"/>
      <c r="AM57" s="208"/>
      <c r="AN57" s="209"/>
    </row>
    <row r="58" spans="2:40" ht="24" customHeight="1" x14ac:dyDescent="0.15">
      <c r="B58" s="248" t="s">
        <v>0</v>
      </c>
      <c r="C58" s="210"/>
      <c r="D58" s="210"/>
      <c r="E58" s="249" t="s">
        <v>71</v>
      </c>
      <c r="F58" s="249" t="s">
        <v>4</v>
      </c>
      <c r="G58" s="210" t="s">
        <v>72</v>
      </c>
      <c r="H58" s="251"/>
      <c r="I58" s="248" t="s">
        <v>29</v>
      </c>
      <c r="J58" s="210"/>
      <c r="K58" s="210" t="str">
        <f>K7</f>
        <v>Entry</v>
      </c>
      <c r="L58" s="210"/>
      <c r="M58" s="210" t="str">
        <f t="shared" ref="M58" si="43">M7</f>
        <v>Family</v>
      </c>
      <c r="N58" s="210"/>
      <c r="O58" s="210" t="str">
        <f t="shared" ref="O58" si="44">O7</f>
        <v>PS WIC</v>
      </c>
      <c r="P58" s="210"/>
      <c r="Q58" s="210" t="str">
        <f t="shared" ref="Q58" si="45">Q7</f>
        <v>PS Bath</v>
      </c>
      <c r="R58" s="210"/>
      <c r="S58" s="210" t="str">
        <f t="shared" ref="S58" si="46">S7</f>
        <v>PS Bed</v>
      </c>
      <c r="T58" s="210"/>
      <c r="U58" s="210" t="str">
        <f t="shared" ref="U58" si="47">U7</f>
        <v>Breakfast / Kitchen</v>
      </c>
      <c r="V58" s="210"/>
      <c r="W58" s="210" t="str">
        <f t="shared" ref="W58" si="48">W7</f>
        <v>Powder</v>
      </c>
      <c r="X58" s="210"/>
      <c r="Y58" s="210" t="str">
        <f t="shared" ref="Y58" si="49">Y7</f>
        <v/>
      </c>
      <c r="Z58" s="210"/>
      <c r="AA58" s="210" t="str">
        <f t="shared" ref="AA58" si="50">AA7</f>
        <v/>
      </c>
      <c r="AB58" s="210"/>
      <c r="AC58" s="210" t="str">
        <f t="shared" ref="AC58" si="51">AC7</f>
        <v/>
      </c>
      <c r="AD58" s="210"/>
      <c r="AE58" s="210" t="str">
        <f t="shared" ref="AE58" si="52">AE7</f>
        <v/>
      </c>
      <c r="AF58" s="210"/>
      <c r="AG58" s="210" t="str">
        <f t="shared" ref="AG58" si="53">AG7</f>
        <v/>
      </c>
      <c r="AH58" s="210"/>
      <c r="AI58" s="210" t="str">
        <f t="shared" ref="AI58" si="54">AI7</f>
        <v/>
      </c>
      <c r="AJ58" s="210"/>
      <c r="AK58" s="210" t="str">
        <f t="shared" ref="AK58" si="55">AK7</f>
        <v/>
      </c>
      <c r="AL58" s="210"/>
      <c r="AM58" s="210" t="str">
        <f t="shared" ref="AM58" si="56">AM7</f>
        <v/>
      </c>
      <c r="AN58" s="210"/>
    </row>
    <row r="59" spans="2:40" ht="18.75" customHeight="1" thickBot="1" x14ac:dyDescent="0.2">
      <c r="B59" s="10"/>
      <c r="C59" s="11" t="s">
        <v>1</v>
      </c>
      <c r="D59" s="11" t="s">
        <v>2</v>
      </c>
      <c r="E59" s="250"/>
      <c r="F59" s="250"/>
      <c r="G59" s="252"/>
      <c r="H59" s="253"/>
      <c r="I59" s="92" t="s">
        <v>30</v>
      </c>
      <c r="J59" s="41" t="s">
        <v>31</v>
      </c>
      <c r="K59" s="41" t="s">
        <v>30</v>
      </c>
      <c r="L59" s="41" t="s">
        <v>31</v>
      </c>
      <c r="M59" s="41" t="s">
        <v>30</v>
      </c>
      <c r="N59" s="41" t="s">
        <v>31</v>
      </c>
      <c r="O59" s="41" t="s">
        <v>30</v>
      </c>
      <c r="P59" s="41" t="s">
        <v>31</v>
      </c>
      <c r="Q59" s="41" t="s">
        <v>30</v>
      </c>
      <c r="R59" s="41" t="s">
        <v>31</v>
      </c>
      <c r="S59" s="41" t="s">
        <v>30</v>
      </c>
      <c r="T59" s="41" t="s">
        <v>31</v>
      </c>
      <c r="U59" s="41" t="s">
        <v>30</v>
      </c>
      <c r="V59" s="41" t="s">
        <v>31</v>
      </c>
      <c r="W59" s="41" t="s">
        <v>30</v>
      </c>
      <c r="X59" s="41" t="s">
        <v>31</v>
      </c>
      <c r="Y59" s="41" t="s">
        <v>30</v>
      </c>
      <c r="Z59" s="41" t="s">
        <v>31</v>
      </c>
      <c r="AA59" s="41" t="s">
        <v>30</v>
      </c>
      <c r="AB59" s="41" t="s">
        <v>31</v>
      </c>
      <c r="AC59" s="41" t="s">
        <v>30</v>
      </c>
      <c r="AD59" s="41" t="s">
        <v>31</v>
      </c>
      <c r="AE59" s="41" t="s">
        <v>30</v>
      </c>
      <c r="AF59" s="41" t="s">
        <v>31</v>
      </c>
      <c r="AG59" s="41" t="s">
        <v>30</v>
      </c>
      <c r="AH59" s="41" t="s">
        <v>31</v>
      </c>
      <c r="AI59" s="41" t="s">
        <v>30</v>
      </c>
      <c r="AJ59" s="93" t="s">
        <v>31</v>
      </c>
      <c r="AK59" s="41" t="s">
        <v>30</v>
      </c>
      <c r="AL59" s="41" t="s">
        <v>31</v>
      </c>
      <c r="AM59" s="41" t="s">
        <v>30</v>
      </c>
      <c r="AN59" s="93" t="s">
        <v>31</v>
      </c>
    </row>
    <row r="60" spans="2:40" ht="11.25" customHeight="1" thickBot="1" x14ac:dyDescent="0.2">
      <c r="B60" s="212" t="s">
        <v>77</v>
      </c>
      <c r="C60" s="13" t="s">
        <v>7</v>
      </c>
      <c r="D60" s="13"/>
      <c r="E60" s="13">
        <f>Summary!$N$13</f>
        <v>54</v>
      </c>
      <c r="F60" s="13">
        <f>Summary!N32</f>
        <v>0.35</v>
      </c>
      <c r="G60" s="14">
        <f>F60*E60</f>
        <v>18.899999999999999</v>
      </c>
      <c r="H60" s="32" t="s">
        <v>6</v>
      </c>
      <c r="I60" s="94">
        <f>SUMIF(C9:$C$36,C60,I9:$I$36)</f>
        <v>126</v>
      </c>
      <c r="J60" s="65">
        <f>IF(I60="","-",I60*$G60)</f>
        <v>2381.3999999999996</v>
      </c>
      <c r="K60" s="31">
        <f>IF(SUMIF($C$9:$C$18,$C60,K9:K$18)=0,"",SUMIF($C$9:$C$18,$C60,K$9:K$18))</f>
        <v>6</v>
      </c>
      <c r="L60" s="65">
        <f t="shared" ref="L60:L65" si="57">IF(K60="","-",K60*$G60)</f>
        <v>113.39999999999999</v>
      </c>
      <c r="M60" s="8"/>
      <c r="N60" s="65" t="str">
        <f t="shared" ref="N60:N65" si="58">IF(M60="","-",M60*$G60)</f>
        <v>-</v>
      </c>
      <c r="O60" s="31" t="str">
        <f>IF(SUMIF($C$9:$C$18,$C60,O9:O$18)=0,"",SUMIF($C$9:$C$18,$C60,O$9:O$18))</f>
        <v/>
      </c>
      <c r="P60" s="65" t="str">
        <f t="shared" ref="P60:P65" si="59">IF(O60="","-",O60*$G60)</f>
        <v>-</v>
      </c>
      <c r="Q60" s="31">
        <f>IF(SUMIF($C$9:$C$18,$C60,Q9:Q$18)=0,"",SUMIF($C$9:$C$18,$C60,Q$9:Q$18))</f>
        <v>3</v>
      </c>
      <c r="R60" s="65">
        <f t="shared" ref="R60:R62" si="60">IF(Q60="","-",Q60*$G60)</f>
        <v>56.699999999999996</v>
      </c>
      <c r="S60" s="31">
        <f>IF(SUMIF($C$9:$C$18,$C60,S9:S$18)=0,"",SUMIF($C$9:$C$18,$C60,S$9:S$18))</f>
        <v>36</v>
      </c>
      <c r="T60" s="65">
        <f t="shared" ref="T60:T62" si="61">IF(S60="","-",S60*$G60)</f>
        <v>680.4</v>
      </c>
      <c r="U60" s="31">
        <f>IF(SUMIF($C$9:$C$18,$C60,U9:U$18)=0,"",SUMIF($C$9:$C$18,$C60,U$9:U$18))</f>
        <v>45</v>
      </c>
      <c r="V60" s="65">
        <f t="shared" ref="V60:V62" si="62">IF(U60="","-",U60*$G60)</f>
        <v>850.49999999999989</v>
      </c>
      <c r="W60" s="31" t="str">
        <f>IF(SUMIF($C$9:$C$18,$C60,W9:W$18)=0,"",SUMIF($C$9:$C$18,$C60,W$9:W$18))</f>
        <v/>
      </c>
      <c r="X60" s="65" t="str">
        <f t="shared" ref="X60:X62" si="63">IF(W60="","-",W60*$G60)</f>
        <v>-</v>
      </c>
      <c r="Y60" s="31" t="str">
        <f>IF(SUMIF($C$9:$C$18,$C60,Y9:Y$18)=0,"",SUMIF($C$9:$C$18,$C60,Y$9:Y$18))</f>
        <v/>
      </c>
      <c r="Z60" s="65" t="str">
        <f t="shared" ref="Z60:Z62" si="64">IF(Y60="","-",Y60*$G60)</f>
        <v>-</v>
      </c>
      <c r="AA60" s="31" t="str">
        <f>IF(SUMIF($C$9:$C$18,$C60,AA9:AA$18)=0,"",SUMIF($C$9:$C$18,$C60,AA$9:AA$18))</f>
        <v/>
      </c>
      <c r="AB60" s="65" t="str">
        <f t="shared" ref="AB60:AB62" si="65">IF(AA60="","-",AA60*$G60)</f>
        <v>-</v>
      </c>
      <c r="AC60" s="31" t="str">
        <f>IF(SUMIF($C$9:$C$18,$C60,AC9:AC$18)=0,"",SUMIF($C$9:$C$18,$C60,AC$9:AC$18))</f>
        <v/>
      </c>
      <c r="AD60" s="65" t="str">
        <f t="shared" ref="AD60:AD62" si="66">IF(AC60="","-",AC60*$G60)</f>
        <v>-</v>
      </c>
      <c r="AE60" s="31" t="str">
        <f>IF(SUMIF($C$9:$C$18,$C60,AE9:AE$18)=0,"",SUMIF($C$9:$C$18,$C60,AE$9:AE$18))</f>
        <v/>
      </c>
      <c r="AF60" s="65" t="str">
        <f t="shared" ref="AF60:AF62" si="67">IF(AE60="","-",AE60*$G60)</f>
        <v>-</v>
      </c>
      <c r="AG60" s="31" t="str">
        <f>IF(SUMIF($C$9:$C$18,$C60,AG9:AG$18)=0,"",SUMIF($C$9:$C$18,$C60,AG$9:AG$18))</f>
        <v/>
      </c>
      <c r="AH60" s="65" t="str">
        <f t="shared" ref="AH60:AH62" si="68">IF(AG60="","-",AG60*$G60)</f>
        <v>-</v>
      </c>
      <c r="AI60" s="31" t="str">
        <f>IF(SUMIF($C$9:$C$18,$C60,AI9:AI$18)=0,"",SUMIF($C$9:$C$18,$C60,AI$9:AI$18))</f>
        <v/>
      </c>
      <c r="AJ60" s="65" t="str">
        <f t="shared" ref="AJ60:AJ62" si="69">IF(AI60="","-",AI60*$G60)</f>
        <v>-</v>
      </c>
      <c r="AK60" s="31" t="str">
        <f>IF(SUMIF($C$9:$C$18,$C60,AK9:AK$18)=0,"",SUMIF($C$9:$C$18,$C60,AK$9:AK$18))</f>
        <v/>
      </c>
      <c r="AL60" s="65" t="str">
        <f t="shared" ref="AL60:AL62" si="70">IF(AK60="","-",AK60*$G60)</f>
        <v>-</v>
      </c>
      <c r="AM60" s="31" t="str">
        <f>IF(SUMIF($C$9:$C$18,$C60,AM9:AM$18)=0,"",SUMIF($C$9:$C$18,$C60,AM$9:AM$18))</f>
        <v/>
      </c>
      <c r="AN60" s="65" t="str">
        <f t="shared" ref="AN60:AN62" si="71">IF(AM60="","-",AM60*$G60)</f>
        <v>-</v>
      </c>
    </row>
    <row r="61" spans="2:40" ht="11.25" customHeight="1" thickBot="1" x14ac:dyDescent="0.2">
      <c r="B61" s="214"/>
      <c r="C61" s="16" t="s">
        <v>65</v>
      </c>
      <c r="D61" s="16"/>
      <c r="E61" s="13">
        <f>Summary!$N$13</f>
        <v>54</v>
      </c>
      <c r="F61" s="16">
        <v>0</v>
      </c>
      <c r="G61" s="14">
        <f t="shared" ref="G61:G73" si="72">F61*E61</f>
        <v>0</v>
      </c>
      <c r="H61" s="33" t="s">
        <v>6</v>
      </c>
      <c r="I61" s="94">
        <f>SUMIF(C10:$C$46,C61,I10:$I$46)</f>
        <v>0</v>
      </c>
      <c r="J61" s="65">
        <f t="shared" ref="J61:J73" si="73">IF(I61="","-",I61*$G61)</f>
        <v>0</v>
      </c>
      <c r="K61" s="31" t="str">
        <f>IF(SUMIF($C$9:$C$18,$C61,K9:K$18)=0,"",SUMIF($C$9:$C$18,$C61,K$9:K$18))</f>
        <v/>
      </c>
      <c r="L61" s="65" t="str">
        <f t="shared" si="57"/>
        <v>-</v>
      </c>
      <c r="M61" s="8"/>
      <c r="N61" s="65" t="str">
        <f t="shared" si="58"/>
        <v>-</v>
      </c>
      <c r="O61" s="31" t="str">
        <f ca="1">IF(SUMIF($C$9:$C$18,$C61,O10:O$18)=0,"",SUMIF($C$9:$C$18,$C61,O$9:O$18))</f>
        <v/>
      </c>
      <c r="P61" s="65" t="str">
        <f t="shared" ca="1" si="59"/>
        <v>-</v>
      </c>
      <c r="Q61" s="31" t="str">
        <f ca="1">IF(SUMIF($C$9:$C$18,$C61,Q10:Q$18)=0,"",SUMIF($C$9:$C$18,$C61,Q$9:Q$18))</f>
        <v/>
      </c>
      <c r="R61" s="65" t="str">
        <f t="shared" ca="1" si="60"/>
        <v>-</v>
      </c>
      <c r="S61" s="31" t="str">
        <f ca="1">IF(SUMIF($C$9:$C$18,$C61,S10:S$18)=0,"",SUMIF($C$9:$C$18,$C61,S$9:S$18))</f>
        <v/>
      </c>
      <c r="T61" s="65" t="str">
        <f t="shared" ca="1" si="61"/>
        <v>-</v>
      </c>
      <c r="U61" s="31" t="str">
        <f ca="1">IF(SUMIF($C$9:$C$18,$C61,U10:U$18)=0,"",SUMIF($C$9:$C$18,$C61,U$9:U$18))</f>
        <v/>
      </c>
      <c r="V61" s="65" t="str">
        <f t="shared" ca="1" si="62"/>
        <v>-</v>
      </c>
      <c r="W61" s="31" t="str">
        <f ca="1">IF(SUMIF($C$9:$C$18,$C61,W10:W$18)=0,"",SUMIF($C$9:$C$18,$C61,W$9:W$18))</f>
        <v/>
      </c>
      <c r="X61" s="65" t="str">
        <f t="shared" ca="1" si="63"/>
        <v>-</v>
      </c>
      <c r="Y61" s="31" t="str">
        <f ca="1">IF(SUMIF($C$9:$C$18,$C61,Y10:Y$18)=0,"",SUMIF($C$9:$C$18,$C61,Y$9:Y$18))</f>
        <v/>
      </c>
      <c r="Z61" s="65" t="str">
        <f t="shared" ca="1" si="64"/>
        <v>-</v>
      </c>
      <c r="AA61" s="31" t="str">
        <f ca="1">IF(SUMIF($C$9:$C$18,$C61,AA10:AA$18)=0,"",SUMIF($C$9:$C$18,$C61,AA$9:AA$18))</f>
        <v/>
      </c>
      <c r="AB61" s="65" t="str">
        <f t="shared" ca="1" si="65"/>
        <v>-</v>
      </c>
      <c r="AC61" s="31" t="str">
        <f ca="1">IF(SUMIF($C$9:$C$18,$C61,AC10:AC$18)=0,"",SUMIF($C$9:$C$18,$C61,AC$9:AC$18))</f>
        <v/>
      </c>
      <c r="AD61" s="65" t="str">
        <f t="shared" ca="1" si="66"/>
        <v>-</v>
      </c>
      <c r="AE61" s="31" t="str">
        <f ca="1">IF(SUMIF($C$9:$C$18,$C61,AE10:AE$18)=0,"",SUMIF($C$9:$C$18,$C61,AE$9:AE$18))</f>
        <v/>
      </c>
      <c r="AF61" s="65" t="str">
        <f t="shared" ca="1" si="67"/>
        <v>-</v>
      </c>
      <c r="AG61" s="31" t="str">
        <f ca="1">IF(SUMIF($C$9:$C$18,$C61,AG10:AG$18)=0,"",SUMIF($C$9:$C$18,$C61,AG$9:AG$18))</f>
        <v/>
      </c>
      <c r="AH61" s="65" t="str">
        <f t="shared" ca="1" si="68"/>
        <v>-</v>
      </c>
      <c r="AI61" s="31" t="str">
        <f ca="1">IF(SUMIF($C$9:$C$18,$C61,AI10:AI$18)=0,"",SUMIF($C$9:$C$18,$C61,AI$9:AI$18))</f>
        <v/>
      </c>
      <c r="AJ61" s="65" t="str">
        <f t="shared" ca="1" si="69"/>
        <v>-</v>
      </c>
      <c r="AK61" s="31" t="str">
        <f ca="1">IF(SUMIF($C$9:$C$18,$C61,AK10:AK$18)=0,"",SUMIF($C$9:$C$18,$C61,AK$9:AK$18))</f>
        <v/>
      </c>
      <c r="AL61" s="65" t="str">
        <f t="shared" ca="1" si="70"/>
        <v>-</v>
      </c>
      <c r="AM61" s="31" t="str">
        <f ca="1">IF(SUMIF($C$9:$C$18,$C61,AM10:AM$18)=0,"",SUMIF($C$9:$C$18,$C61,AM$9:AM$18))</f>
        <v/>
      </c>
      <c r="AN61" s="65" t="str">
        <f t="shared" ca="1" si="71"/>
        <v>-</v>
      </c>
    </row>
    <row r="62" spans="2:40" ht="11.25" customHeight="1" thickBot="1" x14ac:dyDescent="0.2">
      <c r="B62" s="213"/>
      <c r="C62" s="18" t="s">
        <v>66</v>
      </c>
      <c r="D62" s="18"/>
      <c r="E62" s="13">
        <f>Summary!$N$13</f>
        <v>54</v>
      </c>
      <c r="F62" s="18">
        <v>0</v>
      </c>
      <c r="G62" s="14">
        <f t="shared" si="72"/>
        <v>0</v>
      </c>
      <c r="H62" s="34" t="s">
        <v>6</v>
      </c>
      <c r="I62" s="94">
        <f>SUMIF(C11:$C$46,C62,I11:$I$46)</f>
        <v>0</v>
      </c>
      <c r="J62" s="65">
        <f t="shared" si="73"/>
        <v>0</v>
      </c>
      <c r="K62" s="31" t="str">
        <f>IF(SUMIF($C$9:$C$18,$C62,K9:K$18)=0,"",SUMIF($C$9:$C$18,$C62,K$9:K$18))</f>
        <v/>
      </c>
      <c r="L62" s="65" t="str">
        <f t="shared" si="57"/>
        <v>-</v>
      </c>
      <c r="M62" s="8"/>
      <c r="N62" s="65" t="str">
        <f t="shared" si="58"/>
        <v>-</v>
      </c>
      <c r="O62" s="31" t="str">
        <f ca="1">IF(SUMIF($C$9:$C$18,$C62,O11:O$18)=0,"",SUMIF($C$9:$C$18,$C62,O$9:O$18))</f>
        <v/>
      </c>
      <c r="P62" s="65" t="str">
        <f t="shared" ca="1" si="59"/>
        <v>-</v>
      </c>
      <c r="Q62" s="31" t="str">
        <f ca="1">IF(SUMIF($C$9:$C$18,$C62,Q11:Q$18)=0,"",SUMIF($C$9:$C$18,$C62,Q$9:Q$18))</f>
        <v/>
      </c>
      <c r="R62" s="65" t="str">
        <f t="shared" ca="1" si="60"/>
        <v>-</v>
      </c>
      <c r="S62" s="31" t="str">
        <f ca="1">IF(SUMIF($C$9:$C$18,$C62,S11:S$18)=0,"",SUMIF($C$9:$C$18,$C62,S$9:S$18))</f>
        <v/>
      </c>
      <c r="T62" s="65" t="str">
        <f t="shared" ca="1" si="61"/>
        <v>-</v>
      </c>
      <c r="U62" s="31" t="str">
        <f ca="1">IF(SUMIF($C$9:$C$18,$C62,U11:U$18)=0,"",SUMIF($C$9:$C$18,$C62,U$9:U$18))</f>
        <v/>
      </c>
      <c r="V62" s="65" t="str">
        <f t="shared" ca="1" si="62"/>
        <v>-</v>
      </c>
      <c r="W62" s="31" t="str">
        <f ca="1">IF(SUMIF($C$9:$C$18,$C62,W11:W$18)=0,"",SUMIF($C$9:$C$18,$C62,W$9:W$18))</f>
        <v/>
      </c>
      <c r="X62" s="65" t="str">
        <f t="shared" ca="1" si="63"/>
        <v>-</v>
      </c>
      <c r="Y62" s="31" t="str">
        <f ca="1">IF(SUMIF($C$9:$C$18,$C62,Y11:Y$18)=0,"",SUMIF($C$9:$C$18,$C62,Y$9:Y$18))</f>
        <v/>
      </c>
      <c r="Z62" s="65" t="str">
        <f t="shared" ca="1" si="64"/>
        <v>-</v>
      </c>
      <c r="AA62" s="31" t="str">
        <f ca="1">IF(SUMIF($C$9:$C$18,$C62,AA11:AA$18)=0,"",SUMIF($C$9:$C$18,$C62,AA$9:AA$18))</f>
        <v/>
      </c>
      <c r="AB62" s="65" t="str">
        <f t="shared" ca="1" si="65"/>
        <v>-</v>
      </c>
      <c r="AC62" s="31" t="str">
        <f ca="1">IF(SUMIF($C$9:$C$18,$C62,AC11:AC$18)=0,"",SUMIF($C$9:$C$18,$C62,AC$9:AC$18))</f>
        <v/>
      </c>
      <c r="AD62" s="65" t="str">
        <f t="shared" ca="1" si="66"/>
        <v>-</v>
      </c>
      <c r="AE62" s="31" t="str">
        <f ca="1">IF(SUMIF($C$9:$C$18,$C62,AE11:AE$18)=0,"",SUMIF($C$9:$C$18,$C62,AE$9:AE$18))</f>
        <v/>
      </c>
      <c r="AF62" s="65" t="str">
        <f t="shared" ca="1" si="67"/>
        <v>-</v>
      </c>
      <c r="AG62" s="31" t="str">
        <f ca="1">IF(SUMIF($C$9:$C$18,$C62,AG11:AG$18)=0,"",SUMIF($C$9:$C$18,$C62,AG$9:AG$18))</f>
        <v/>
      </c>
      <c r="AH62" s="65" t="str">
        <f t="shared" ca="1" si="68"/>
        <v>-</v>
      </c>
      <c r="AI62" s="31" t="str">
        <f ca="1">IF(SUMIF($C$9:$C$18,$C62,AI11:AI$18)=0,"",SUMIF($C$9:$C$18,$C62,AI$9:AI$18))</f>
        <v/>
      </c>
      <c r="AJ62" s="65" t="str">
        <f t="shared" ca="1" si="69"/>
        <v>-</v>
      </c>
      <c r="AK62" s="31" t="str">
        <f ca="1">IF(SUMIF($C$9:$C$18,$C62,AK11:AK$18)=0,"",SUMIF($C$9:$C$18,$C62,AK$9:AK$18))</f>
        <v/>
      </c>
      <c r="AL62" s="65" t="str">
        <f t="shared" ca="1" si="70"/>
        <v>-</v>
      </c>
      <c r="AM62" s="31" t="str">
        <f ca="1">IF(SUMIF($C$9:$C$18,$C62,AM11:AM$18)=0,"",SUMIF($C$9:$C$18,$C62,AM$9:AM$18))</f>
        <v/>
      </c>
      <c r="AN62" s="65" t="str">
        <f t="shared" ca="1" si="71"/>
        <v>-</v>
      </c>
    </row>
    <row r="63" spans="2:40" ht="11.25" customHeight="1" thickBot="1" x14ac:dyDescent="0.2">
      <c r="B63" s="212" t="s">
        <v>37</v>
      </c>
      <c r="C63" s="13" t="s">
        <v>33</v>
      </c>
      <c r="D63" s="13"/>
      <c r="E63" s="13">
        <f>Summary!$N$13</f>
        <v>54</v>
      </c>
      <c r="F63" s="14">
        <f>INDEX(Summary!$F$19:$F$30,MATCH('Unit 1 b'!C63,Summary!$D$19:$D$30,0))</f>
        <v>0.5</v>
      </c>
      <c r="G63" s="14">
        <f t="shared" si="72"/>
        <v>27</v>
      </c>
      <c r="H63" s="32" t="s">
        <v>6</v>
      </c>
      <c r="I63" s="94">
        <f>SUMIF(C12:$C$46,C63,I12:$I$46)</f>
        <v>24.7</v>
      </c>
      <c r="J63" s="65">
        <f t="shared" si="73"/>
        <v>666.9</v>
      </c>
      <c r="K63" s="31">
        <f>IF(SUMIF($C$19:$C$20,$C$63,K$19:K$20)=0,"",SUMIF($C$19:$C$20,$C$63,K$19:K$20))</f>
        <v>16.7</v>
      </c>
      <c r="L63" s="65">
        <f t="shared" si="57"/>
        <v>450.9</v>
      </c>
      <c r="M63" s="31" t="str">
        <f>IF(SUMIF($C$19:$C$20,$C$63,M$19:M$20)=0,"",SUMIF($C$19:$C$20,$C$63,M$19:M$20))</f>
        <v/>
      </c>
      <c r="N63" s="65" t="str">
        <f t="shared" si="58"/>
        <v>-</v>
      </c>
      <c r="O63" s="31" t="str">
        <f>IF(SUMIF($C$19:$C$20,$C$63,O$19:O$20)=0,"",SUMIF($C$19:$C$20,$C$63,O$19:O$20))</f>
        <v/>
      </c>
      <c r="P63" s="65" t="str">
        <f t="shared" si="59"/>
        <v>-</v>
      </c>
      <c r="Q63" s="31" t="str">
        <f>IF(SUMIF($C$19:$C$20,$C$63,Q$19:Q$20)=0,"",SUMIF($C$19:$C$20,$C$63,Q$19:Q$20))</f>
        <v/>
      </c>
      <c r="R63" s="65" t="str">
        <f>IF(Q63="","-",Q63*$G63)</f>
        <v>-</v>
      </c>
      <c r="S63" s="31" t="str">
        <f>IF(SUMIF($C$19:$C$20,$C$63,S$19:S$20)=0,"",SUMIF($C$19:$C$20,$C$63,S$19:S$20))</f>
        <v/>
      </c>
      <c r="T63" s="65" t="str">
        <f>IF(S63="","-",S63*$G63)</f>
        <v>-</v>
      </c>
      <c r="U63" s="31">
        <f>IF(SUMIF($C$19:$C$20,$C$63,U$19:U$20)=0,"",SUMIF($C$19:$C$20,$C$63,U$19:U$20))</f>
        <v>8</v>
      </c>
      <c r="V63" s="65">
        <f>IF(U63="","-",U63*$G63)</f>
        <v>216</v>
      </c>
      <c r="W63" s="31" t="str">
        <f>IF(SUMIF($C$19:$C$20,$C$63,W$19:W$20)=0,"",SUMIF($C$19:$C$20,$C$63,W$19:W$20))</f>
        <v/>
      </c>
      <c r="X63" s="65" t="str">
        <f>IF(W63="","-",W63*$G63)</f>
        <v>-</v>
      </c>
      <c r="Y63" s="31" t="str">
        <f>IF(SUMIF($C$19:$C$20,$C$63,Y$19:Y$20)=0,"",SUMIF($C$19:$C$20,$C$63,Y$19:Y$20))</f>
        <v/>
      </c>
      <c r="Z63" s="65" t="str">
        <f>IF(Y63="","-",Y63*$G63)</f>
        <v>-</v>
      </c>
      <c r="AA63" s="31" t="str">
        <f>IF(SUMIF($C$19:$C$20,$C$63,AA$19:AA$20)=0,"",SUMIF($C$19:$C$20,$C$63,AA$19:AA$20))</f>
        <v/>
      </c>
      <c r="AB63" s="65" t="str">
        <f>IF(AA63="","-",AA63*$G63)</f>
        <v>-</v>
      </c>
      <c r="AC63" s="31" t="str">
        <f>IF(SUMIF($C$19:$C$20,$C$63,AC$19:AC$20)=0,"",SUMIF($C$19:$C$20,$C$63,AC$19:AC$20))</f>
        <v/>
      </c>
      <c r="AD63" s="65" t="str">
        <f>IF(AC63="","-",AC63*$G63)</f>
        <v>-</v>
      </c>
      <c r="AE63" s="31" t="str">
        <f>IF(SUMIF($C$19:$C$20,$C$63,AE$19:AE$20)=0,"",SUMIF($C$19:$C$20,$C$63,AE$19:AE$20))</f>
        <v/>
      </c>
      <c r="AF63" s="65" t="str">
        <f>IF(AE63="","-",AE63*$G63)</f>
        <v>-</v>
      </c>
      <c r="AG63" s="31" t="str">
        <f>IF(SUMIF($C$19:$C$20,$C$63,AG$19:AG$20)=0,"",SUMIF($C$19:$C$20,$C$63,AG$19:AG$20))</f>
        <v/>
      </c>
      <c r="AH63" s="65" t="str">
        <f>IF(AG63="","-",AG63*$G63)</f>
        <v>-</v>
      </c>
      <c r="AI63" s="31" t="str">
        <f>IF(SUMIF($C$19:$C$20,$C$63,AI$19:AI$20)=0,"",SUMIF($C$19:$C$20,$C$63,AI$19:AI$20))</f>
        <v/>
      </c>
      <c r="AJ63" s="65" t="str">
        <f>IF(AI63="","-",AI63*$G63)</f>
        <v>-</v>
      </c>
      <c r="AK63" s="31" t="str">
        <f>IF(SUMIF($C$19:$C$20,$C$63,AK$19:AK$20)=0,"",SUMIF($C$19:$C$20,$C$63,AK$19:AK$20))</f>
        <v/>
      </c>
      <c r="AL63" s="65" t="str">
        <f>IF(AK63="","-",AK63*$G63)</f>
        <v>-</v>
      </c>
      <c r="AM63" s="31" t="str">
        <f>IF(SUMIF($C$19:$C$20,$C$63,AM$19:AM$20)=0,"",SUMIF($C$19:$C$20,$C$63,AM$19:AM$20))</f>
        <v/>
      </c>
      <c r="AN63" s="65" t="str">
        <f>IF(AM63="","-",AM63*$G63)</f>
        <v>-</v>
      </c>
    </row>
    <row r="64" spans="2:40" ht="11.25" customHeight="1" thickBot="1" x14ac:dyDescent="0.2">
      <c r="B64" s="213"/>
      <c r="C64" s="18" t="s">
        <v>34</v>
      </c>
      <c r="D64" s="18"/>
      <c r="E64" s="13">
        <f>Summary!$N$13</f>
        <v>54</v>
      </c>
      <c r="F64" s="14">
        <f>INDEX(Summary!$F$19:$F$30,MATCH('Unit 1 b'!C64,Summary!$D$19:$D$30,0))</f>
        <v>0.5</v>
      </c>
      <c r="G64" s="14">
        <f t="shared" si="72"/>
        <v>27</v>
      </c>
      <c r="H64" s="34" t="s">
        <v>6</v>
      </c>
      <c r="I64" s="94">
        <f>SUMIF(C13:$C$46,C64,I13:$I$46)</f>
        <v>17.8</v>
      </c>
      <c r="J64" s="65">
        <f t="shared" si="73"/>
        <v>480.6</v>
      </c>
      <c r="K64" s="31">
        <f>IF(SUMIF($C$19:$C$20,$C$64,K$19:K$20)=0,"",SUMIF($C$19:$C$20,$C$64,K$19:K$20))</f>
        <v>17.8</v>
      </c>
      <c r="L64" s="65">
        <f t="shared" si="57"/>
        <v>480.6</v>
      </c>
      <c r="M64" s="31" t="str">
        <f>IF(SUMIF($C$19:$C$20,$C$64,M$19:M$20)=0,"",SUMIF($C$19:$C$20,$C$64,M$19:M$20))</f>
        <v/>
      </c>
      <c r="N64" s="65" t="str">
        <f t="shared" si="58"/>
        <v>-</v>
      </c>
      <c r="O64" s="31" t="str">
        <f>IF(SUMIF($C$19:$C$20,$C$64,O$19:O$20)=0,"",SUMIF($C$19:$C$20,$C$64,O$19:O$20))</f>
        <v/>
      </c>
      <c r="P64" s="65" t="str">
        <f t="shared" si="59"/>
        <v>-</v>
      </c>
      <c r="Q64" s="31" t="str">
        <f>IF(SUMIF($C$19:$C$20,$C$64,Q$19:Q$20)=0,"",SUMIF($C$19:$C$20,$C$64,Q$19:Q$20))</f>
        <v/>
      </c>
      <c r="R64" s="65" t="str">
        <f>IF(Q64="","-",Q64*$G64)</f>
        <v>-</v>
      </c>
      <c r="S64" s="31" t="str">
        <f>IF(SUMIF($C$19:$C$20,$C$64,S$19:S$20)=0,"",SUMIF($C$19:$C$20,$C$64,S$19:S$20))</f>
        <v/>
      </c>
      <c r="T64" s="65" t="str">
        <f>IF(S64="","-",S64*$G64)</f>
        <v>-</v>
      </c>
      <c r="U64" s="31" t="str">
        <f>IF(SUMIF($C$19:$C$20,$C$64,U$19:U$20)=0,"",SUMIF($C$19:$C$20,$C$64,U$19:U$20))</f>
        <v/>
      </c>
      <c r="V64" s="65" t="str">
        <f>IF(U64="","-",U64*$G64)</f>
        <v>-</v>
      </c>
      <c r="W64" s="31" t="str">
        <f>IF(SUMIF($C$19:$C$20,$C$64,W$19:W$20)=0,"",SUMIF($C$19:$C$20,$C$64,W$19:W$20))</f>
        <v/>
      </c>
      <c r="X64" s="65" t="str">
        <f>IF(W64="","-",W64*$G64)</f>
        <v>-</v>
      </c>
      <c r="Y64" s="31" t="str">
        <f>IF(SUMIF($C$19:$C$20,$C$64,Y$19:Y$20)=0,"",SUMIF($C$19:$C$20,$C$64,Y$19:Y$20))</f>
        <v/>
      </c>
      <c r="Z64" s="65" t="str">
        <f>IF(Y64="","-",Y64*$G64)</f>
        <v>-</v>
      </c>
      <c r="AA64" s="31" t="str">
        <f>IF(SUMIF($C$19:$C$20,$C$64,AA$19:AA$20)=0,"",SUMIF($C$19:$C$20,$C$64,AA$19:AA$20))</f>
        <v/>
      </c>
      <c r="AB64" s="65" t="str">
        <f>IF(AA64="","-",AA64*$G64)</f>
        <v>-</v>
      </c>
      <c r="AC64" s="31" t="str">
        <f>IF(SUMIF($C$19:$C$20,$C$64,AC$19:AC$20)=0,"",SUMIF($C$19:$C$20,$C$64,AC$19:AC$20))</f>
        <v/>
      </c>
      <c r="AD64" s="65" t="str">
        <f>IF(AC64="","-",AC64*$G64)</f>
        <v>-</v>
      </c>
      <c r="AE64" s="31" t="str">
        <f>IF(SUMIF($C$19:$C$20,$C$64,AE$19:AE$20)=0,"",SUMIF($C$19:$C$20,$C$64,AE$19:AE$20))</f>
        <v/>
      </c>
      <c r="AF64" s="65" t="str">
        <f>IF(AE64="","-",AE64*$G64)</f>
        <v>-</v>
      </c>
      <c r="AG64" s="31" t="str">
        <f>IF(SUMIF($C$19:$C$20,$C$64,AG$19:AG$20)=0,"",SUMIF($C$19:$C$20,$C$64,AG$19:AG$20))</f>
        <v/>
      </c>
      <c r="AH64" s="65" t="str">
        <f>IF(AG64="","-",AG64*$G64)</f>
        <v>-</v>
      </c>
      <c r="AI64" s="31" t="str">
        <f>IF(SUMIF($C$19:$C$20,$C$64,AI$19:AI$20)=0,"",SUMIF($C$19:$C$20,$C$64,AI$19:AI$20))</f>
        <v/>
      </c>
      <c r="AJ64" s="65" t="str">
        <f>IF(AI64="","-",AI64*$G64)</f>
        <v>-</v>
      </c>
      <c r="AK64" s="31" t="str">
        <f>IF(SUMIF($C$19:$C$20,$C$64,AK$19:AK$20)=0,"",SUMIF($C$19:$C$20,$C$64,AK$19:AK$20))</f>
        <v/>
      </c>
      <c r="AL64" s="65" t="str">
        <f>IF(AK64="","-",AK64*$G64)</f>
        <v>-</v>
      </c>
      <c r="AM64" s="31" t="str">
        <f>IF(SUMIF($C$19:$C$20,$C$64,AM$19:AM$20)=0,"",SUMIF($C$19:$C$20,$C$64,AM$19:AM$20))</f>
        <v/>
      </c>
      <c r="AN64" s="65" t="str">
        <f>IF(AM64="","-",AM64*$G64)</f>
        <v>-</v>
      </c>
    </row>
    <row r="65" spans="2:40" ht="11.25" customHeight="1" thickBot="1" x14ac:dyDescent="0.2">
      <c r="B65" s="212" t="s">
        <v>83</v>
      </c>
      <c r="C65" s="13" t="s">
        <v>38</v>
      </c>
      <c r="D65" s="13"/>
      <c r="E65" s="13">
        <f>Summary!$N$13</f>
        <v>54</v>
      </c>
      <c r="F65" s="14">
        <f>INDEX(Summary!$F$19:$F$30,MATCH('Unit 1 b'!C65,Summary!$D$19:$D$30,0))</f>
        <v>7.6999999999999999E-2</v>
      </c>
      <c r="G65" s="14">
        <f t="shared" si="72"/>
        <v>4.1580000000000004</v>
      </c>
      <c r="H65" s="32" t="s">
        <v>6</v>
      </c>
      <c r="I65" s="94">
        <f>SUMIF(C21:$C$36,C65,I21:$I$36)</f>
        <v>918</v>
      </c>
      <c r="J65" s="65">
        <f t="shared" si="73"/>
        <v>3817.0440000000003</v>
      </c>
      <c r="K65" s="31">
        <f>IF(SUMIF($C$19:$C$36,$C65,K$19:K$36)=0,"",SUMIF($C$19:$C$36,$C65,K$19:K$36))</f>
        <v>183</v>
      </c>
      <c r="L65" s="65">
        <f t="shared" si="57"/>
        <v>760.9140000000001</v>
      </c>
      <c r="M65" s="31">
        <f>IF(SUMIF($C$19:$C$36,$C65,M$19:M$36)=0,"",SUMIF($C$19:$C$36,$C65,M$19:M$36))</f>
        <v>94</v>
      </c>
      <c r="N65" s="65">
        <f t="shared" si="58"/>
        <v>390.85200000000003</v>
      </c>
      <c r="O65" s="31">
        <f>IF(SUMIF($C$19:$C$36,$C65,O$19:O$36)=0,"",SUMIF($C$19:$C$36,$C65,O$19:O$36))</f>
        <v>50</v>
      </c>
      <c r="P65" s="65">
        <f t="shared" si="59"/>
        <v>207.9</v>
      </c>
      <c r="Q65" s="31">
        <f>IF(SUMIF($C$19:$C$36,$C65,Q$19:Q$36)=0,"",SUMIF($C$19:$C$36,$C65,Q$19:Q$36))</f>
        <v>78</v>
      </c>
      <c r="R65" s="65">
        <f>IF(Q65="","-",Q65*$G65)</f>
        <v>324.32400000000001</v>
      </c>
      <c r="S65" s="31">
        <f>IF(SUMIF($C$19:$C$36,$C65,S$19:S$36)=0,"",SUMIF($C$19:$C$36,$C65,S$19:S$36))</f>
        <v>237</v>
      </c>
      <c r="T65" s="65">
        <f>IF(S65="","-",S65*$G65)</f>
        <v>985.44600000000014</v>
      </c>
      <c r="U65" s="31">
        <f>IF(SUMIF($C$19:$C$36,$C65,U$19:U$36)=0,"",SUMIF($C$19:$C$36,$C65,U$19:U$36))</f>
        <v>228</v>
      </c>
      <c r="V65" s="65">
        <f>IF(U65="","-",U65*$G65)</f>
        <v>948.02400000000011</v>
      </c>
      <c r="W65" s="31">
        <f>IF(SUMIF($C$19:$C$36,$C65,W$19:W$36)=0,"",SUMIF($C$19:$C$36,$C65,W$19:W$36))</f>
        <v>48</v>
      </c>
      <c r="X65" s="65">
        <f>IF(W65="","-",W65*$G65)</f>
        <v>199.584</v>
      </c>
      <c r="Y65" s="31" t="str">
        <f>IF(SUMIF($C$19:$C$36,$C65,Y$19:Y$36)=0,"",SUMIF($C$19:$C$36,$C65,Y$19:Y$36))</f>
        <v/>
      </c>
      <c r="Z65" s="65" t="str">
        <f>IF(Y65="","-",Y65*$G65)</f>
        <v>-</v>
      </c>
      <c r="AA65" s="31" t="str">
        <f>IF(SUMIF($C$19:$C$36,$C65,AA$19:AA$36)=0,"",SUMIF($C$19:$C$36,$C65,AA$19:AA$36))</f>
        <v/>
      </c>
      <c r="AB65" s="65" t="str">
        <f>IF(AA65="","-",AA65*$G65)</f>
        <v>-</v>
      </c>
      <c r="AC65" s="31" t="str">
        <f>IF(SUMIF($C$19:$C$36,$C65,AC$19:AC$36)=0,"",SUMIF($C$19:$C$36,$C65,AC$19:AC$36))</f>
        <v/>
      </c>
      <c r="AD65" s="65" t="str">
        <f>IF(AC65="","-",AC65*$G65)</f>
        <v>-</v>
      </c>
      <c r="AE65" s="31" t="str">
        <f>IF(SUMIF($C$19:$C$36,$C65,AE$19:AE$36)=0,"",SUMIF($C$19:$C$36,$C65,AE$19:AE$36))</f>
        <v/>
      </c>
      <c r="AF65" s="65" t="str">
        <f>IF(AE65="","-",AE65*$G65)</f>
        <v>-</v>
      </c>
      <c r="AG65" s="31" t="str">
        <f>IF(SUMIF($C$19:$C$36,$C65,AG$19:AG$36)=0,"",SUMIF($C$19:$C$36,$C65,AG$19:AG$36))</f>
        <v/>
      </c>
      <c r="AH65" s="65" t="str">
        <f>IF(AG65="","-",AG65*$G65)</f>
        <v>-</v>
      </c>
      <c r="AI65" s="31" t="str">
        <f>IF(SUMIF($C$19:$C$36,$C65,AI$19:AI$36)=0,"",SUMIF($C$19:$C$36,$C65,AI$19:AI$36))</f>
        <v/>
      </c>
      <c r="AJ65" s="65" t="str">
        <f>IF(AI65="","-",AI65*$G65)</f>
        <v>-</v>
      </c>
      <c r="AK65" s="31" t="str">
        <f>IF(SUMIF($C$19:$C$36,$C65,AK$19:AK$36)=0,"",SUMIF($C$19:$C$36,$C65,AK$19:AK$36))</f>
        <v/>
      </c>
      <c r="AL65" s="65" t="str">
        <f>IF(AK65="","-",AK65*$G65)</f>
        <v>-</v>
      </c>
      <c r="AM65" s="31" t="str">
        <f>IF(SUMIF($C$19:$C$36,$C65,AM$19:AM$36)=0,"",SUMIF($C$19:$C$36,$C65,AM$19:AM$36))</f>
        <v/>
      </c>
      <c r="AN65" s="65" t="str">
        <f>IF(AM65="","-",AM65*$G65)</f>
        <v>-</v>
      </c>
    </row>
    <row r="66" spans="2:40" ht="11.25" customHeight="1" thickBot="1" x14ac:dyDescent="0.2">
      <c r="B66" s="214"/>
      <c r="C66" s="16" t="s">
        <v>39</v>
      </c>
      <c r="D66" s="16"/>
      <c r="E66" s="13">
        <f>Summary!$N$13</f>
        <v>54</v>
      </c>
      <c r="F66" s="14">
        <f>INDEX(Summary!$F$19:$F$30,MATCH('Unit 1 b'!C66,Summary!$D$19:$D$30,0))</f>
        <v>6.7000000000000004E-2</v>
      </c>
      <c r="G66" s="14">
        <f t="shared" si="72"/>
        <v>3.6180000000000003</v>
      </c>
      <c r="H66" s="33" t="s">
        <v>6</v>
      </c>
      <c r="I66" s="94">
        <f>SUMIF(C15:$C$46,C66,I15:$I$46)</f>
        <v>0</v>
      </c>
      <c r="J66" s="65">
        <f t="shared" si="73"/>
        <v>0</v>
      </c>
      <c r="K66" s="31" t="str">
        <f t="shared" ref="K66:AM66" si="74">IF(SUMIF($C$19:$C$36,$C66,K$19:K$36)=0,"",SUMIF($C$19:$C$36,$C66,K$19:K$36))</f>
        <v/>
      </c>
      <c r="L66" s="65" t="str">
        <f t="shared" ref="L66:AN69" si="75">IF(K66="","-",K66*$G66)</f>
        <v>-</v>
      </c>
      <c r="M66" s="31" t="str">
        <f t="shared" si="74"/>
        <v/>
      </c>
      <c r="N66" s="65" t="str">
        <f t="shared" ref="N66:N67" si="76">IF(M66="","-",M66*$G66)</f>
        <v>-</v>
      </c>
      <c r="O66" s="31" t="str">
        <f t="shared" si="74"/>
        <v/>
      </c>
      <c r="P66" s="65" t="str">
        <f t="shared" ref="P66:P67" si="77">IF(O66="","-",O66*$G66)</f>
        <v>-</v>
      </c>
      <c r="Q66" s="31" t="str">
        <f t="shared" si="74"/>
        <v/>
      </c>
      <c r="R66" s="65" t="str">
        <f t="shared" ref="R66:R67" si="78">IF(Q66="","-",Q66*$G66)</f>
        <v>-</v>
      </c>
      <c r="S66" s="31" t="str">
        <f t="shared" si="74"/>
        <v/>
      </c>
      <c r="T66" s="65" t="str">
        <f t="shared" ref="T66:T67" si="79">IF(S66="","-",S66*$G66)</f>
        <v>-</v>
      </c>
      <c r="U66" s="31" t="str">
        <f t="shared" si="74"/>
        <v/>
      </c>
      <c r="V66" s="65" t="str">
        <f t="shared" ref="V66:V67" si="80">IF(U66="","-",U66*$G66)</f>
        <v>-</v>
      </c>
      <c r="W66" s="31" t="str">
        <f t="shared" si="74"/>
        <v/>
      </c>
      <c r="X66" s="65" t="str">
        <f t="shared" ref="X66:X67" si="81">IF(W66="","-",W66*$G66)</f>
        <v>-</v>
      </c>
      <c r="Y66" s="31" t="str">
        <f t="shared" si="74"/>
        <v/>
      </c>
      <c r="Z66" s="65" t="str">
        <f t="shared" ref="Z66:Z67" si="82">IF(Y66="","-",Y66*$G66)</f>
        <v>-</v>
      </c>
      <c r="AA66" s="31" t="str">
        <f t="shared" si="74"/>
        <v/>
      </c>
      <c r="AB66" s="65" t="str">
        <f t="shared" ref="AB66:AB67" si="83">IF(AA66="","-",AA66*$G66)</f>
        <v>-</v>
      </c>
      <c r="AC66" s="31" t="str">
        <f t="shared" si="74"/>
        <v/>
      </c>
      <c r="AD66" s="65" t="str">
        <f t="shared" ref="AD66:AD67" si="84">IF(AC66="","-",AC66*$G66)</f>
        <v>-</v>
      </c>
      <c r="AE66" s="31" t="str">
        <f t="shared" si="74"/>
        <v/>
      </c>
      <c r="AF66" s="65" t="str">
        <f t="shared" ref="AF66:AF67" si="85">IF(AE66="","-",AE66*$G66)</f>
        <v>-</v>
      </c>
      <c r="AG66" s="31" t="str">
        <f t="shared" si="74"/>
        <v/>
      </c>
      <c r="AH66" s="65" t="str">
        <f t="shared" ref="AH66:AH67" si="86">IF(AG66="","-",AG66*$G66)</f>
        <v>-</v>
      </c>
      <c r="AI66" s="31" t="str">
        <f t="shared" si="74"/>
        <v/>
      </c>
      <c r="AJ66" s="65" t="str">
        <f t="shared" ref="AJ66:AJ67" si="87">IF(AI66="","-",AI66*$G66)</f>
        <v>-</v>
      </c>
      <c r="AK66" s="31" t="str">
        <f t="shared" si="74"/>
        <v/>
      </c>
      <c r="AL66" s="65" t="str">
        <f t="shared" ref="AL66:AL67" si="88">IF(AK66="","-",AK66*$G66)</f>
        <v>-</v>
      </c>
      <c r="AM66" s="31" t="str">
        <f t="shared" si="74"/>
        <v/>
      </c>
      <c r="AN66" s="65" t="str">
        <f t="shared" ref="AN66:AN67" si="89">IF(AM66="","-",AM66*$G66)</f>
        <v>-</v>
      </c>
    </row>
    <row r="67" spans="2:40" ht="11.25" customHeight="1" thickBot="1" x14ac:dyDescent="0.2">
      <c r="B67" s="214"/>
      <c r="C67" s="16" t="s">
        <v>40</v>
      </c>
      <c r="D67" s="16"/>
      <c r="E67" s="13">
        <f>Summary!$N$13</f>
        <v>54</v>
      </c>
      <c r="F67" s="14">
        <f>INDEX(Summary!$F$19:$F$30,MATCH('Unit 1 b'!C67,Summary!$D$19:$D$30,0))</f>
        <v>5.2999999999999999E-2</v>
      </c>
      <c r="G67" s="14">
        <f t="shared" si="72"/>
        <v>2.8620000000000001</v>
      </c>
      <c r="H67" s="33" t="s">
        <v>6</v>
      </c>
      <c r="I67" s="94">
        <f>SUMIF(C16:$C$46,C67,I16:$I$46)</f>
        <v>0</v>
      </c>
      <c r="J67" s="65">
        <f t="shared" si="73"/>
        <v>0</v>
      </c>
      <c r="K67" s="31" t="str">
        <f>IF(SUMIF($C$19:$C$41,$C67,K$19:K$41)=0,"",SUMIF($C$19:$C$41,$C67,K$19:K$41))</f>
        <v/>
      </c>
      <c r="L67" s="65" t="str">
        <f t="shared" si="75"/>
        <v>-</v>
      </c>
      <c r="M67" s="31" t="str">
        <f>IF(SUMIF($C$19:$C$41,$C67,M$19:M$41)=0,"",SUMIF($C$19:$C$41,$C67,M$19:M$41))</f>
        <v/>
      </c>
      <c r="N67" s="65" t="str">
        <f t="shared" si="76"/>
        <v>-</v>
      </c>
      <c r="O67" s="31" t="str">
        <f>IF(SUMIF($C$19:$C$41,$C67,O$19:O$41)=0,"",SUMIF($C$19:$C$41,$C67,O$19:O$41))</f>
        <v/>
      </c>
      <c r="P67" s="65" t="str">
        <f t="shared" si="77"/>
        <v>-</v>
      </c>
      <c r="Q67" s="31" t="str">
        <f>IF(SUMIF($C$19:$C$41,$C67,Q$19:Q$41)=0,"",SUMIF($C$19:$C$41,$C67,Q$19:Q$41))</f>
        <v/>
      </c>
      <c r="R67" s="65" t="str">
        <f t="shared" si="78"/>
        <v>-</v>
      </c>
      <c r="S67" s="31" t="str">
        <f>IF(SUMIF($C$19:$C$41,$C67,S$19:S$41)=0,"",SUMIF($C$19:$C$41,$C67,S$19:S$41))</f>
        <v/>
      </c>
      <c r="T67" s="65" t="str">
        <f t="shared" si="79"/>
        <v>-</v>
      </c>
      <c r="U67" s="31" t="str">
        <f>IF(SUMIF($C$19:$C$41,$C67,U$19:U$41)=0,"",SUMIF($C$19:$C$41,$C67,U$19:U$41))</f>
        <v/>
      </c>
      <c r="V67" s="65" t="str">
        <f t="shared" si="80"/>
        <v>-</v>
      </c>
      <c r="W67" s="31" t="str">
        <f>IF(SUMIF($C$19:$C$41,$C67,W$19:W$41)=0,"",SUMIF($C$19:$C$41,$C67,W$19:W$41))</f>
        <v/>
      </c>
      <c r="X67" s="65" t="str">
        <f t="shared" si="81"/>
        <v>-</v>
      </c>
      <c r="Y67" s="31" t="str">
        <f>IF(SUMIF($C$19:$C$41,$C67,Y$19:Y$41)=0,"",SUMIF($C$19:$C$41,$C67,Y$19:Y$41))</f>
        <v/>
      </c>
      <c r="Z67" s="65" t="str">
        <f t="shared" si="82"/>
        <v>-</v>
      </c>
      <c r="AA67" s="31" t="str">
        <f>IF(SUMIF($C$19:$C$41,$C67,AA$19:AA$41)=0,"",SUMIF($C$19:$C$41,$C67,AA$19:AA$41))</f>
        <v/>
      </c>
      <c r="AB67" s="65" t="str">
        <f t="shared" si="83"/>
        <v>-</v>
      </c>
      <c r="AC67" s="31" t="str">
        <f>IF(SUMIF($C$19:$C$41,$C67,AC$19:AC$41)=0,"",SUMIF($C$19:$C$41,$C67,AC$19:AC$41))</f>
        <v/>
      </c>
      <c r="AD67" s="65" t="str">
        <f t="shared" si="84"/>
        <v>-</v>
      </c>
      <c r="AE67" s="31" t="str">
        <f>IF(SUMIF($C$19:$C$41,$C67,AE$19:AE$41)=0,"",SUMIF($C$19:$C$41,$C67,AE$19:AE$41))</f>
        <v/>
      </c>
      <c r="AF67" s="65" t="str">
        <f t="shared" si="85"/>
        <v>-</v>
      </c>
      <c r="AG67" s="31" t="str">
        <f>IF(SUMIF($C$19:$C$41,$C67,AG$19:AG$41)=0,"",SUMIF($C$19:$C$41,$C67,AG$19:AG$41))</f>
        <v/>
      </c>
      <c r="AH67" s="65" t="str">
        <f t="shared" si="86"/>
        <v>-</v>
      </c>
      <c r="AI67" s="31" t="str">
        <f>IF(SUMIF($C$19:$C$41,$C67,AI$19:AI$41)=0,"",SUMIF($C$19:$C$41,$C67,AI$19:AI$41))</f>
        <v/>
      </c>
      <c r="AJ67" s="65" t="str">
        <f t="shared" si="87"/>
        <v>-</v>
      </c>
      <c r="AK67" s="31" t="str">
        <f>IF(SUMIF($C$19:$C$41,$C67,AK$19:AK$41)=0,"",SUMIF($C$19:$C$41,$C67,AK$19:AK$41))</f>
        <v/>
      </c>
      <c r="AL67" s="65" t="str">
        <f t="shared" si="88"/>
        <v>-</v>
      </c>
      <c r="AM67" s="31" t="str">
        <f>IF(SUMIF($C$19:$C$41,$C67,AM$19:AM$41)=0,"",SUMIF($C$19:$C$41,$C67,AM$19:AM$41))</f>
        <v/>
      </c>
      <c r="AN67" s="65" t="str">
        <f t="shared" si="89"/>
        <v>-</v>
      </c>
    </row>
    <row r="68" spans="2:40" ht="11.25" customHeight="1" thickBot="1" x14ac:dyDescent="0.2">
      <c r="B68" s="214"/>
      <c r="C68" s="16" t="s">
        <v>38</v>
      </c>
      <c r="D68" s="16" t="s">
        <v>46</v>
      </c>
      <c r="E68" s="16">
        <v>27</v>
      </c>
      <c r="F68" s="14">
        <f>INDEX(Summary!$F$19:$F$30,MATCH('Unit 1 b'!C68,Summary!$D$19:$D$30,0))</f>
        <v>7.6999999999999999E-2</v>
      </c>
      <c r="G68" s="14">
        <f t="shared" si="72"/>
        <v>2.0790000000000002</v>
      </c>
      <c r="H68" s="33" t="s">
        <v>6</v>
      </c>
      <c r="I68" s="94">
        <f>SUMIF(C38:$C$39,C68,I38:$I$39)</f>
        <v>306</v>
      </c>
      <c r="J68" s="65">
        <f t="shared" si="73"/>
        <v>636.17400000000009</v>
      </c>
      <c r="K68" s="31">
        <f>IF(SUM(K38:K39)=0,"",SUM(K38:K39))</f>
        <v>130</v>
      </c>
      <c r="L68" s="65">
        <f t="shared" si="75"/>
        <v>270.27000000000004</v>
      </c>
      <c r="M68" s="31">
        <f>IF(SUM(M38:M39)=0,"",SUM(M38:M39))</f>
        <v>81</v>
      </c>
      <c r="N68" s="65">
        <f t="shared" si="75"/>
        <v>168.399</v>
      </c>
      <c r="O68" s="31">
        <f>IF(SUM(O38:O39)=0,"",SUM(O38:O39))</f>
        <v>95</v>
      </c>
      <c r="P68" s="65">
        <f t="shared" si="75"/>
        <v>197.50500000000002</v>
      </c>
      <c r="Q68" s="31" t="str">
        <f>IF(SUM(Q38:Q39)=0,"",SUM(Q38:Q39))</f>
        <v/>
      </c>
      <c r="R68" s="65" t="str">
        <f t="shared" si="75"/>
        <v>-</v>
      </c>
      <c r="S68" s="31" t="str">
        <f>IF(SUM(S38:S39)=0,"",SUM(S38:S39))</f>
        <v/>
      </c>
      <c r="T68" s="65" t="str">
        <f t="shared" si="75"/>
        <v>-</v>
      </c>
      <c r="U68" s="31" t="str">
        <f>IF(SUM(U38:U39)=0,"",SUM(U38:U39))</f>
        <v/>
      </c>
      <c r="V68" s="65" t="str">
        <f t="shared" si="75"/>
        <v>-</v>
      </c>
      <c r="W68" s="31" t="str">
        <f>IF(SUM(W38:W39)=0,"",SUM(W38:W39))</f>
        <v/>
      </c>
      <c r="X68" s="65" t="str">
        <f t="shared" si="75"/>
        <v>-</v>
      </c>
      <c r="Y68" s="31" t="str">
        <f>IF(SUM(Y38:Y39)=0,"",SUM(Y38:Y39))</f>
        <v/>
      </c>
      <c r="Z68" s="65" t="str">
        <f t="shared" si="75"/>
        <v>-</v>
      </c>
      <c r="AA68" s="31" t="str">
        <f>IF(SUM(AA38:AA39)=0,"",SUM(AA38:AA39))</f>
        <v/>
      </c>
      <c r="AB68" s="65" t="str">
        <f t="shared" si="75"/>
        <v>-</v>
      </c>
      <c r="AC68" s="31" t="str">
        <f>IF(SUM(AC38:AC39)=0,"",SUM(AC38:AC39))</f>
        <v/>
      </c>
      <c r="AD68" s="65" t="str">
        <f t="shared" si="75"/>
        <v>-</v>
      </c>
      <c r="AE68" s="31" t="str">
        <f>IF(SUM(AE38:AE39)=0,"",SUM(AE38:AE39))</f>
        <v/>
      </c>
      <c r="AF68" s="65" t="str">
        <f t="shared" si="75"/>
        <v>-</v>
      </c>
      <c r="AG68" s="31" t="str">
        <f>IF(SUM(AG38:AG39)=0,"",SUM(AG38:AG39))</f>
        <v/>
      </c>
      <c r="AH68" s="65" t="str">
        <f t="shared" si="75"/>
        <v>-</v>
      </c>
      <c r="AI68" s="31" t="str">
        <f>IF(SUM(AI38:AI39)=0,"",SUM(AI38:AI39))</f>
        <v/>
      </c>
      <c r="AJ68" s="65" t="str">
        <f t="shared" si="75"/>
        <v>-</v>
      </c>
      <c r="AK68" s="31" t="str">
        <f>IF(SUM(AK38:AK39)=0,"",SUM(AK38:AK39))</f>
        <v/>
      </c>
      <c r="AL68" s="65" t="str">
        <f t="shared" si="75"/>
        <v>-</v>
      </c>
      <c r="AM68" s="31" t="str">
        <f>IF(SUM(AM38:AM39)=0,"",SUM(AM38:AM39))</f>
        <v/>
      </c>
      <c r="AN68" s="65" t="str">
        <f t="shared" si="75"/>
        <v>-</v>
      </c>
    </row>
    <row r="69" spans="2:40" ht="11.25" customHeight="1" thickBot="1" x14ac:dyDescent="0.2">
      <c r="B69" s="213"/>
      <c r="C69" s="18" t="s">
        <v>39</v>
      </c>
      <c r="D69" s="18" t="s">
        <v>45</v>
      </c>
      <c r="E69" s="18">
        <v>27</v>
      </c>
      <c r="F69" s="14">
        <f>INDEX(Summary!$F$19:$F$30,MATCH('Unit 1 b'!C69,Summary!$D$19:$D$30,0))</f>
        <v>6.7000000000000004E-2</v>
      </c>
      <c r="G69" s="14">
        <f t="shared" si="72"/>
        <v>1.8090000000000002</v>
      </c>
      <c r="H69" s="34" t="s">
        <v>6</v>
      </c>
      <c r="I69" s="94">
        <f>SUMIF(C37:$C$41,C69,I37:$I$41)</f>
        <v>0</v>
      </c>
      <c r="J69" s="65">
        <f t="shared" si="73"/>
        <v>0</v>
      </c>
      <c r="K69" s="31" t="str">
        <f>IF(K37="","",K37)</f>
        <v/>
      </c>
      <c r="L69" s="65" t="str">
        <f t="shared" si="75"/>
        <v>-</v>
      </c>
      <c r="M69" s="31" t="str">
        <f>IF(M37="","",M37)</f>
        <v/>
      </c>
      <c r="N69" s="65" t="str">
        <f t="shared" si="75"/>
        <v>-</v>
      </c>
      <c r="O69" s="31" t="str">
        <f>IF(O37="","",O37)</f>
        <v/>
      </c>
      <c r="P69" s="65" t="str">
        <f t="shared" si="75"/>
        <v>-</v>
      </c>
      <c r="Q69" s="31" t="str">
        <f>IF(Q37="","",Q37)</f>
        <v/>
      </c>
      <c r="R69" s="65" t="str">
        <f t="shared" si="75"/>
        <v>-</v>
      </c>
      <c r="S69" s="31" t="str">
        <f>IF(S37="","",S37)</f>
        <v/>
      </c>
      <c r="T69" s="65" t="str">
        <f t="shared" si="75"/>
        <v>-</v>
      </c>
      <c r="U69" s="31" t="str">
        <f>IF(U37="","",U37)</f>
        <v/>
      </c>
      <c r="V69" s="65" t="str">
        <f t="shared" si="75"/>
        <v>-</v>
      </c>
      <c r="W69" s="31" t="str">
        <f>IF(W37="","",W37)</f>
        <v/>
      </c>
      <c r="X69" s="65" t="str">
        <f t="shared" si="75"/>
        <v>-</v>
      </c>
      <c r="Y69" s="31" t="str">
        <f>IF(Y37="","",Y37)</f>
        <v/>
      </c>
      <c r="Z69" s="65" t="str">
        <f t="shared" si="75"/>
        <v>-</v>
      </c>
      <c r="AA69" s="31" t="str">
        <f>IF(AA37="","",AA37)</f>
        <v/>
      </c>
      <c r="AB69" s="65" t="str">
        <f t="shared" si="75"/>
        <v>-</v>
      </c>
      <c r="AC69" s="31" t="str">
        <f>IF(AC37="","",AC37)</f>
        <v/>
      </c>
      <c r="AD69" s="65" t="str">
        <f t="shared" si="75"/>
        <v>-</v>
      </c>
      <c r="AE69" s="31" t="str">
        <f>IF(AE37="","",AE37)</f>
        <v/>
      </c>
      <c r="AF69" s="65" t="str">
        <f t="shared" si="75"/>
        <v>-</v>
      </c>
      <c r="AG69" s="31" t="str">
        <f>IF(AG37="","",AG37)</f>
        <v/>
      </c>
      <c r="AH69" s="65" t="str">
        <f t="shared" si="75"/>
        <v>-</v>
      </c>
      <c r="AI69" s="31" t="str">
        <f>IF(AI37="","",AI37)</f>
        <v/>
      </c>
      <c r="AJ69" s="65" t="str">
        <f t="shared" si="75"/>
        <v>-</v>
      </c>
      <c r="AK69" s="31" t="str">
        <f>IF(AK37="","",AK37)</f>
        <v/>
      </c>
      <c r="AL69" s="65" t="str">
        <f t="shared" si="75"/>
        <v>-</v>
      </c>
      <c r="AM69" s="31" t="str">
        <f>IF(AM37="","",AM37)</f>
        <v/>
      </c>
      <c r="AN69" s="65" t="str">
        <f t="shared" si="75"/>
        <v>-</v>
      </c>
    </row>
    <row r="70" spans="2:40" ht="11.25" customHeight="1" thickBot="1" x14ac:dyDescent="0.2">
      <c r="B70" s="212" t="s">
        <v>81</v>
      </c>
      <c r="C70" s="13" t="s">
        <v>41</v>
      </c>
      <c r="D70" s="13"/>
      <c r="E70" s="13">
        <f>Summary!$N$13</f>
        <v>54</v>
      </c>
      <c r="F70" s="14">
        <f>INDEX(Summary!$F$19:$F$30,MATCH('Unit 1 b'!C70,Summary!$D$19:$D$30,0))</f>
        <v>2.5999999999999999E-2</v>
      </c>
      <c r="G70" s="14">
        <f t="shared" si="72"/>
        <v>1.4039999999999999</v>
      </c>
      <c r="H70" s="32" t="s">
        <v>6</v>
      </c>
      <c r="I70" s="94">
        <f>SUMIF(C19:$C$46,C70,I19:$I$46)</f>
        <v>0</v>
      </c>
      <c r="J70" s="65">
        <f t="shared" si="73"/>
        <v>0</v>
      </c>
      <c r="K70" s="31" t="str">
        <f>IF(SUMIF($C$9:$C$46,$C70,K$9:K$46)=0,"",SUMIF($C$9:$C$46,$C70,K$9:K$46))</f>
        <v/>
      </c>
      <c r="L70" s="65" t="str">
        <f>IF(K70="","-",K70*$G70)</f>
        <v>-</v>
      </c>
      <c r="M70" s="31" t="str">
        <f>IF(SUMIF($C$9:$C$46,$C70,M$9:M$46)=0,"",SUMIF($C$9:$C$46,$C70,M$9:M$46))</f>
        <v/>
      </c>
      <c r="N70" s="65" t="str">
        <f>IF(M70="","-",M70*$G70)</f>
        <v>-</v>
      </c>
      <c r="O70" s="31" t="str">
        <f>IF(SUMIF($C$9:$C$46,$C70,O$9:O$46)=0,"",SUMIF($C$9:$C$46,$C70,O$9:O$46))</f>
        <v/>
      </c>
      <c r="P70" s="65" t="str">
        <f>IF(O70="","-",O70*$G70)</f>
        <v>-</v>
      </c>
      <c r="Q70" s="31" t="str">
        <f>IF(SUMIF($C$9:$C$46,$C70,Q$9:Q$46)=0,"",SUMIF($C$9:$C$46,$C70,Q$9:Q$46))</f>
        <v/>
      </c>
      <c r="R70" s="65" t="str">
        <f>IF(Q70="","-",Q70*$G70)</f>
        <v>-</v>
      </c>
      <c r="S70" s="31" t="str">
        <f>IF(SUMIF($C$9:$C$46,$C70,S$9:S$46)=0,"",SUMIF($C$9:$C$46,$C70,S$9:S$46))</f>
        <v/>
      </c>
      <c r="T70" s="65" t="str">
        <f>IF(S70="","-",S70*$G70)</f>
        <v>-</v>
      </c>
      <c r="U70" s="31" t="str">
        <f>IF(SUMIF($C$9:$C$46,$C70,U$9:U$46)=0,"",SUMIF($C$9:$C$46,$C70,U$9:U$46))</f>
        <v/>
      </c>
      <c r="V70" s="65" t="str">
        <f>IF(U70="","-",U70*$G70)</f>
        <v>-</v>
      </c>
      <c r="W70" s="31" t="str">
        <f>IF(SUMIF($C$9:$C$46,$C70,W$9:W$46)=0,"",SUMIF($C$9:$C$46,$C70,W$9:W$46))</f>
        <v/>
      </c>
      <c r="X70" s="65" t="str">
        <f>IF(W70="","-",W70*$G70)</f>
        <v>-</v>
      </c>
      <c r="Y70" s="31" t="str">
        <f>IF(SUMIF($C$9:$C$46,$C70,Y$9:Y$46)=0,"",SUMIF($C$9:$C$46,$C70,Y$9:Y$46))</f>
        <v/>
      </c>
      <c r="Z70" s="65" t="str">
        <f>IF(Y70="","-",Y70*$G70)</f>
        <v>-</v>
      </c>
      <c r="AA70" s="31" t="str">
        <f>IF(SUMIF($C$9:$C$46,$C70,AA$9:AA$46)=0,"",SUMIF($C$9:$C$46,$C70,AA$9:AA$46))</f>
        <v/>
      </c>
      <c r="AB70" s="65" t="str">
        <f>IF(AA70="","-",AA70*$G70)</f>
        <v>-</v>
      </c>
      <c r="AC70" s="31" t="str">
        <f>IF(SUMIF($C$9:$C$46,$C70,AC$9:AC$46)=0,"",SUMIF($C$9:$C$46,$C70,AC$9:AC$46))</f>
        <v/>
      </c>
      <c r="AD70" s="65" t="str">
        <f>IF(AC70="","-",AC70*$G70)</f>
        <v>-</v>
      </c>
      <c r="AE70" s="31" t="str">
        <f>IF(SUMIF($C$9:$C$46,$C70,AE$9:AE$46)=0,"",SUMIF($C$9:$C$46,$C70,AE$9:AE$46))</f>
        <v/>
      </c>
      <c r="AF70" s="65" t="str">
        <f>IF(AE70="","-",AE70*$G70)</f>
        <v>-</v>
      </c>
      <c r="AG70" s="31" t="str">
        <f>IF(SUMIF($C$9:$C$46,$C70,AG$9:AG$46)=0,"",SUMIF($C$9:$C$46,$C70,AG$9:AG$46))</f>
        <v/>
      </c>
      <c r="AH70" s="65" t="str">
        <f>IF(AG70="","-",AG70*$G70)</f>
        <v>-</v>
      </c>
      <c r="AI70" s="31" t="str">
        <f>IF(SUMIF($C$9:$C$46,$C70,AI$9:AI$46)=0,"",SUMIF($C$9:$C$46,$C70,AI$9:AI$46))</f>
        <v/>
      </c>
      <c r="AJ70" s="65" t="str">
        <f>IF(AI70="","-",AI70*$G70)</f>
        <v>-</v>
      </c>
      <c r="AK70" s="31" t="str">
        <f>IF(SUMIF($C$9:$C$46,$C70,AK$9:AK$46)=0,"",SUMIF($C$9:$C$46,$C70,AK$9:AK$46))</f>
        <v/>
      </c>
      <c r="AL70" s="65" t="str">
        <f>IF(AK70="","-",AK70*$G70)</f>
        <v>-</v>
      </c>
      <c r="AM70" s="31" t="str">
        <f>IF(SUMIF($C$9:$C$46,$C70,AM$9:AM$46)=0,"",SUMIF($C$9:$C$46,$C70,AM$9:AM$46))</f>
        <v/>
      </c>
      <c r="AN70" s="65" t="str">
        <f>IF(AM70="","-",AM70*$G70)</f>
        <v>-</v>
      </c>
    </row>
    <row r="71" spans="2:40" ht="11.25" customHeight="1" thickBot="1" x14ac:dyDescent="0.2">
      <c r="B71" s="213"/>
      <c r="C71" s="18" t="s">
        <v>42</v>
      </c>
      <c r="D71" s="18"/>
      <c r="E71" s="13">
        <f>Summary!$N$13</f>
        <v>54</v>
      </c>
      <c r="F71" s="14">
        <f>INDEX(Summary!$F$19:$F$30,MATCH('Unit 1 b'!C71,Summary!$D$19:$D$30,0))</f>
        <v>0.26</v>
      </c>
      <c r="G71" s="14">
        <f t="shared" si="72"/>
        <v>14.040000000000001</v>
      </c>
      <c r="H71" s="34" t="s">
        <v>6</v>
      </c>
      <c r="I71" s="94">
        <f>SUMIF(C20:$C$46,C71,I20:$I$46)</f>
        <v>0</v>
      </c>
      <c r="J71" s="65">
        <f t="shared" si="73"/>
        <v>0</v>
      </c>
      <c r="K71" s="31" t="str">
        <f t="shared" ref="K71:K73" si="90">IF(SUMIF($C$9:$C$46,$C71,K$9:K$46)=0,"",SUMIF($C$9:$C$46,$C71,K$9:K$46))</f>
        <v/>
      </c>
      <c r="L71" s="65" t="str">
        <f t="shared" ref="L71:N73" si="91">IF(K71="","-",K71*$G71)</f>
        <v>-</v>
      </c>
      <c r="M71" s="31" t="str">
        <f t="shared" ref="M71:AM73" si="92">IF(SUMIF($C$9:$C$46,$C71,M$9:M$46)=0,"",SUMIF($C$9:$C$46,$C71,M$9:M$46))</f>
        <v/>
      </c>
      <c r="N71" s="65" t="str">
        <f t="shared" si="91"/>
        <v>-</v>
      </c>
      <c r="O71" s="31" t="str">
        <f t="shared" si="92"/>
        <v/>
      </c>
      <c r="P71" s="65" t="str">
        <f t="shared" ref="P71:P73" si="93">IF(O71="","-",O71*$G71)</f>
        <v>-</v>
      </c>
      <c r="Q71" s="31" t="str">
        <f t="shared" si="92"/>
        <v/>
      </c>
      <c r="R71" s="65" t="str">
        <f t="shared" ref="R71:R73" si="94">IF(Q71="","-",Q71*$G71)</f>
        <v>-</v>
      </c>
      <c r="S71" s="31" t="str">
        <f t="shared" si="92"/>
        <v/>
      </c>
      <c r="T71" s="65" t="str">
        <f t="shared" ref="T71:T73" si="95">IF(S71="","-",S71*$G71)</f>
        <v>-</v>
      </c>
      <c r="U71" s="31" t="str">
        <f t="shared" si="92"/>
        <v/>
      </c>
      <c r="V71" s="65" t="str">
        <f t="shared" ref="V71:V73" si="96">IF(U71="","-",U71*$G71)</f>
        <v>-</v>
      </c>
      <c r="W71" s="31" t="str">
        <f t="shared" si="92"/>
        <v/>
      </c>
      <c r="X71" s="65" t="str">
        <f t="shared" ref="X71:X73" si="97">IF(W71="","-",W71*$G71)</f>
        <v>-</v>
      </c>
      <c r="Y71" s="31" t="str">
        <f t="shared" si="92"/>
        <v/>
      </c>
      <c r="Z71" s="65" t="str">
        <f t="shared" ref="Z71:Z73" si="98">IF(Y71="","-",Y71*$G71)</f>
        <v>-</v>
      </c>
      <c r="AA71" s="31" t="str">
        <f t="shared" si="92"/>
        <v/>
      </c>
      <c r="AB71" s="65" t="str">
        <f t="shared" ref="AB71:AB73" si="99">IF(AA71="","-",AA71*$G71)</f>
        <v>-</v>
      </c>
      <c r="AC71" s="31" t="str">
        <f t="shared" si="92"/>
        <v/>
      </c>
      <c r="AD71" s="65" t="str">
        <f t="shared" ref="AD71:AD73" si="100">IF(AC71="","-",AC71*$G71)</f>
        <v>-</v>
      </c>
      <c r="AE71" s="31" t="str">
        <f t="shared" si="92"/>
        <v/>
      </c>
      <c r="AF71" s="65" t="str">
        <f t="shared" ref="AF71:AF73" si="101">IF(AE71="","-",AE71*$G71)</f>
        <v>-</v>
      </c>
      <c r="AG71" s="31" t="str">
        <f t="shared" si="92"/>
        <v/>
      </c>
      <c r="AH71" s="65" t="str">
        <f t="shared" ref="AH71:AH73" si="102">IF(AG71="","-",AG71*$G71)</f>
        <v>-</v>
      </c>
      <c r="AI71" s="31" t="str">
        <f t="shared" si="92"/>
        <v/>
      </c>
      <c r="AJ71" s="65" t="str">
        <f t="shared" ref="AJ71:AJ73" si="103">IF(AI71="","-",AI71*$G71)</f>
        <v>-</v>
      </c>
      <c r="AK71" s="31" t="str">
        <f t="shared" si="92"/>
        <v/>
      </c>
      <c r="AL71" s="65" t="str">
        <f t="shared" ref="AL71:AL73" si="104">IF(AK71="","-",AK71*$G71)</f>
        <v>-</v>
      </c>
      <c r="AM71" s="31" t="str">
        <f t="shared" si="92"/>
        <v/>
      </c>
      <c r="AN71" s="65" t="str">
        <f t="shared" ref="AN71:AN73" si="105">IF(AM71="","-",AM71*$G71)</f>
        <v>-</v>
      </c>
    </row>
    <row r="72" spans="2:40" ht="11.25" customHeight="1" thickBot="1" x14ac:dyDescent="0.2">
      <c r="B72" s="212" t="s">
        <v>82</v>
      </c>
      <c r="C72" s="13" t="s">
        <v>43</v>
      </c>
      <c r="D72" s="13"/>
      <c r="E72" s="13">
        <f>Summary!$N$13</f>
        <v>54</v>
      </c>
      <c r="F72" s="14">
        <f>INDEX(Summary!$F$19:$F$30,MATCH('Unit 1 b'!C72,Summary!$D$19:$D$30,0))</f>
        <v>5.2999999999999999E-2</v>
      </c>
      <c r="G72" s="14">
        <f t="shared" si="72"/>
        <v>2.8620000000000001</v>
      </c>
      <c r="H72" s="32" t="s">
        <v>6</v>
      </c>
      <c r="I72" s="94">
        <f>SUMIF(C21:$C$46,C72,I21:$I$46)</f>
        <v>0</v>
      </c>
      <c r="J72" s="65">
        <f t="shared" si="73"/>
        <v>0</v>
      </c>
      <c r="K72" s="31" t="str">
        <f t="shared" si="90"/>
        <v/>
      </c>
      <c r="L72" s="65" t="str">
        <f t="shared" si="91"/>
        <v>-</v>
      </c>
      <c r="M72" s="31" t="str">
        <f t="shared" si="92"/>
        <v/>
      </c>
      <c r="N72" s="65" t="str">
        <f t="shared" si="91"/>
        <v>-</v>
      </c>
      <c r="O72" s="31" t="str">
        <f t="shared" si="92"/>
        <v/>
      </c>
      <c r="P72" s="65" t="str">
        <f t="shared" si="93"/>
        <v>-</v>
      </c>
      <c r="Q72" s="31" t="str">
        <f t="shared" si="92"/>
        <v/>
      </c>
      <c r="R72" s="65" t="str">
        <f t="shared" si="94"/>
        <v>-</v>
      </c>
      <c r="S72" s="31" t="str">
        <f t="shared" si="92"/>
        <v/>
      </c>
      <c r="T72" s="65" t="str">
        <f t="shared" si="95"/>
        <v>-</v>
      </c>
      <c r="U72" s="31" t="str">
        <f t="shared" si="92"/>
        <v/>
      </c>
      <c r="V72" s="65" t="str">
        <f t="shared" si="96"/>
        <v>-</v>
      </c>
      <c r="W72" s="31" t="str">
        <f t="shared" si="92"/>
        <v/>
      </c>
      <c r="X72" s="65" t="str">
        <f t="shared" si="97"/>
        <v>-</v>
      </c>
      <c r="Y72" s="31" t="str">
        <f t="shared" si="92"/>
        <v/>
      </c>
      <c r="Z72" s="65" t="str">
        <f t="shared" si="98"/>
        <v>-</v>
      </c>
      <c r="AA72" s="31" t="str">
        <f t="shared" si="92"/>
        <v/>
      </c>
      <c r="AB72" s="65" t="str">
        <f t="shared" si="99"/>
        <v>-</v>
      </c>
      <c r="AC72" s="31" t="str">
        <f t="shared" si="92"/>
        <v/>
      </c>
      <c r="AD72" s="65" t="str">
        <f t="shared" si="100"/>
        <v>-</v>
      </c>
      <c r="AE72" s="31" t="str">
        <f t="shared" si="92"/>
        <v/>
      </c>
      <c r="AF72" s="65" t="str">
        <f t="shared" si="101"/>
        <v>-</v>
      </c>
      <c r="AG72" s="31" t="str">
        <f t="shared" si="92"/>
        <v/>
      </c>
      <c r="AH72" s="65" t="str">
        <f t="shared" si="102"/>
        <v>-</v>
      </c>
      <c r="AI72" s="31" t="str">
        <f t="shared" si="92"/>
        <v/>
      </c>
      <c r="AJ72" s="65" t="str">
        <f t="shared" si="103"/>
        <v>-</v>
      </c>
      <c r="AK72" s="31" t="str">
        <f t="shared" si="92"/>
        <v/>
      </c>
      <c r="AL72" s="65" t="str">
        <f t="shared" si="104"/>
        <v>-</v>
      </c>
      <c r="AM72" s="31" t="str">
        <f t="shared" si="92"/>
        <v/>
      </c>
      <c r="AN72" s="65" t="str">
        <f t="shared" si="105"/>
        <v>-</v>
      </c>
    </row>
    <row r="73" spans="2:40" ht="11.25" customHeight="1" thickBot="1" x14ac:dyDescent="0.2">
      <c r="B73" s="213"/>
      <c r="C73" s="18" t="s">
        <v>44</v>
      </c>
      <c r="D73" s="18" t="s">
        <v>52</v>
      </c>
      <c r="E73" s="18">
        <v>27</v>
      </c>
      <c r="F73" s="14">
        <f>INDEX(Summary!$F$19:$F$30,MATCH('Unit 1 b'!C73,Summary!$D$19:$D$30,0))</f>
        <v>0.1</v>
      </c>
      <c r="G73" s="14">
        <f t="shared" si="72"/>
        <v>2.7</v>
      </c>
      <c r="H73" s="32" t="s">
        <v>6</v>
      </c>
      <c r="I73" s="94">
        <f>SUMIF(C22:$C$46,C73,I22:$I$46)</f>
        <v>1038</v>
      </c>
      <c r="J73" s="65">
        <f t="shared" si="73"/>
        <v>2802.6000000000004</v>
      </c>
      <c r="K73" s="31">
        <f t="shared" si="90"/>
        <v>115</v>
      </c>
      <c r="L73" s="65">
        <f t="shared" si="91"/>
        <v>310.5</v>
      </c>
      <c r="M73" s="31">
        <f t="shared" si="92"/>
        <v>276</v>
      </c>
      <c r="N73" s="65">
        <f t="shared" si="91"/>
        <v>745.2</v>
      </c>
      <c r="O73" s="31">
        <f t="shared" si="92"/>
        <v>59</v>
      </c>
      <c r="P73" s="65">
        <f t="shared" si="93"/>
        <v>159.30000000000001</v>
      </c>
      <c r="Q73" s="31">
        <f t="shared" si="92"/>
        <v>97</v>
      </c>
      <c r="R73" s="65">
        <f t="shared" si="94"/>
        <v>261.90000000000003</v>
      </c>
      <c r="S73" s="31">
        <f t="shared" si="92"/>
        <v>230</v>
      </c>
      <c r="T73" s="65">
        <f t="shared" si="95"/>
        <v>621</v>
      </c>
      <c r="U73" s="31">
        <f t="shared" si="92"/>
        <v>230</v>
      </c>
      <c r="V73" s="65">
        <f t="shared" si="96"/>
        <v>621</v>
      </c>
      <c r="W73" s="31">
        <f t="shared" si="92"/>
        <v>31</v>
      </c>
      <c r="X73" s="65">
        <f t="shared" si="97"/>
        <v>83.7</v>
      </c>
      <c r="Y73" s="31" t="str">
        <f t="shared" si="92"/>
        <v/>
      </c>
      <c r="Z73" s="65" t="str">
        <f t="shared" si="98"/>
        <v>-</v>
      </c>
      <c r="AA73" s="31" t="str">
        <f t="shared" si="92"/>
        <v/>
      </c>
      <c r="AB73" s="65" t="str">
        <f t="shared" si="99"/>
        <v>-</v>
      </c>
      <c r="AC73" s="31" t="str">
        <f t="shared" si="92"/>
        <v/>
      </c>
      <c r="AD73" s="65" t="str">
        <f t="shared" si="100"/>
        <v>-</v>
      </c>
      <c r="AE73" s="31" t="str">
        <f t="shared" si="92"/>
        <v/>
      </c>
      <c r="AF73" s="65" t="str">
        <f t="shared" si="101"/>
        <v>-</v>
      </c>
      <c r="AG73" s="31" t="str">
        <f t="shared" si="92"/>
        <v/>
      </c>
      <c r="AH73" s="65" t="str">
        <f t="shared" si="102"/>
        <v>-</v>
      </c>
      <c r="AI73" s="31" t="str">
        <f t="shared" si="92"/>
        <v/>
      </c>
      <c r="AJ73" s="65" t="str">
        <f t="shared" si="103"/>
        <v>-</v>
      </c>
      <c r="AK73" s="31" t="str">
        <f t="shared" si="92"/>
        <v/>
      </c>
      <c r="AL73" s="65" t="str">
        <f t="shared" si="104"/>
        <v>-</v>
      </c>
      <c r="AM73" s="31" t="str">
        <f t="shared" si="92"/>
        <v/>
      </c>
      <c r="AN73" s="65" t="str">
        <f t="shared" si="105"/>
        <v>-</v>
      </c>
    </row>
    <row r="74" spans="2:40" ht="11.25" customHeight="1" x14ac:dyDescent="0.15">
      <c r="B74" s="224" t="s">
        <v>67</v>
      </c>
      <c r="C74" s="225"/>
      <c r="D74" s="226"/>
      <c r="E74" s="19">
        <f>Summary!H13</f>
        <v>0.25</v>
      </c>
      <c r="F74" s="19" t="s">
        <v>56</v>
      </c>
      <c r="G74" s="19">
        <f>IF(E74=0.25,0.24,0.35)</f>
        <v>0.24</v>
      </c>
      <c r="H74" s="32" t="s">
        <v>6</v>
      </c>
      <c r="I74" s="95">
        <f>SUM(K74,M74,O74,Q74,S74,U74,W74,Y74,AA74,AC74,AE74,AG74,AI74)</f>
        <v>1038</v>
      </c>
      <c r="J74" s="74">
        <f>I50*G74</f>
        <v>2117.52</v>
      </c>
      <c r="K74" s="96">
        <f>SUM(K72:K73)</f>
        <v>115</v>
      </c>
      <c r="L74" s="96">
        <f>$G$74*K$50</f>
        <v>234.6</v>
      </c>
      <c r="M74" s="96">
        <f>SUM(M72:M73)</f>
        <v>276</v>
      </c>
      <c r="N74" s="96">
        <f>$G$74*M$50</f>
        <v>563.04</v>
      </c>
      <c r="O74" s="96">
        <f>SUM(O72:O73)</f>
        <v>59</v>
      </c>
      <c r="P74" s="96">
        <f>$G$74*O$50</f>
        <v>120.36</v>
      </c>
      <c r="Q74" s="96">
        <f>SUM(Q72:Q73)</f>
        <v>97</v>
      </c>
      <c r="R74" s="96">
        <f>$G$74*Q$50</f>
        <v>197.88</v>
      </c>
      <c r="S74" s="96">
        <f>SUM(S72:S73)</f>
        <v>230</v>
      </c>
      <c r="T74" s="96">
        <f>$G$74*S$50</f>
        <v>469.2</v>
      </c>
      <c r="U74" s="96">
        <f>SUM(U72:U73)</f>
        <v>230</v>
      </c>
      <c r="V74" s="96">
        <f>$G$74*U$50</f>
        <v>469.2</v>
      </c>
      <c r="W74" s="96">
        <f>SUM(W72:W73)</f>
        <v>31</v>
      </c>
      <c r="X74" s="96">
        <f>$G$74*W$50</f>
        <v>63.239999999999995</v>
      </c>
      <c r="Y74" s="96">
        <f>SUM(Y72:Y73)</f>
        <v>0</v>
      </c>
      <c r="Z74" s="96">
        <f>$G$74*Y$50</f>
        <v>0</v>
      </c>
      <c r="AA74" s="96">
        <f>SUM(AA72:AA73)</f>
        <v>0</v>
      </c>
      <c r="AB74" s="96">
        <f>$G$74*AA$50</f>
        <v>0</v>
      </c>
      <c r="AC74" s="96">
        <f>SUM(AC72:AC73)</f>
        <v>0</v>
      </c>
      <c r="AD74" s="96">
        <f>$G$74*AC$50</f>
        <v>0</v>
      </c>
      <c r="AE74" s="96">
        <f>SUM(AE72:AE73)</f>
        <v>0</v>
      </c>
      <c r="AF74" s="96">
        <f>$G$74*AE$50</f>
        <v>0</v>
      </c>
      <c r="AG74" s="96">
        <f>SUM(AG72:AG73)</f>
        <v>0</v>
      </c>
      <c r="AH74" s="96">
        <f>$G$74*AG$50</f>
        <v>0</v>
      </c>
      <c r="AI74" s="96">
        <f>SUM(AI72:AI73)</f>
        <v>0</v>
      </c>
      <c r="AJ74" s="96">
        <f>$G$74*AI$50</f>
        <v>0</v>
      </c>
      <c r="AK74" s="96">
        <f>SUM(AK72:AK73)</f>
        <v>0</v>
      </c>
      <c r="AL74" s="96">
        <f>$G$74*AK$50</f>
        <v>0</v>
      </c>
      <c r="AM74" s="96">
        <f>SUM(AM72:AM73)</f>
        <v>0</v>
      </c>
      <c r="AN74" s="96">
        <f>$G$74*AM$50</f>
        <v>0</v>
      </c>
    </row>
    <row r="75" spans="2:40" ht="11.25" customHeight="1" x14ac:dyDescent="0.15">
      <c r="B75" s="219" t="s">
        <v>68</v>
      </c>
      <c r="C75" s="220"/>
      <c r="D75" s="220"/>
      <c r="E75" s="220"/>
      <c r="F75" s="220"/>
      <c r="G75" s="220"/>
      <c r="H75" s="241"/>
      <c r="I75" s="97"/>
      <c r="J75" s="68">
        <f>SUM(J60:J74)</f>
        <v>12902.238000000001</v>
      </c>
      <c r="K75" s="98"/>
      <c r="L75" s="68">
        <f>IF(SUM(L60:L74)=0,"",SUM(L60:L74))</f>
        <v>2621.1840000000002</v>
      </c>
      <c r="M75" s="99"/>
      <c r="N75" s="68">
        <f>IF(SUM(N60:N74)=0,"",SUM(N60:N74))</f>
        <v>1867.491</v>
      </c>
      <c r="O75" s="99"/>
      <c r="P75" s="68">
        <f ca="1">IF(SUM(P60:P74)=0,"",SUM(P60:P74))</f>
        <v>685.06500000000005</v>
      </c>
      <c r="Q75" s="99"/>
      <c r="R75" s="68">
        <f ca="1">IF(SUM(R60:R74)=0,"",SUM(R60:R74))</f>
        <v>840.80399999999997</v>
      </c>
      <c r="S75" s="99"/>
      <c r="T75" s="68">
        <f ca="1">IF(SUM(T60:T74)=0,"",SUM(T60:T74))</f>
        <v>2756.0459999999998</v>
      </c>
      <c r="U75" s="99"/>
      <c r="V75" s="68">
        <f ca="1">IF(SUM(V60:V74)=0,"",SUM(V60:V74))</f>
        <v>3104.7240000000002</v>
      </c>
      <c r="W75" s="99"/>
      <c r="X75" s="68">
        <f ca="1">IF(SUM(X60:X74)=0,"",SUM(X60:X74))</f>
        <v>346.524</v>
      </c>
      <c r="Y75" s="99"/>
      <c r="Z75" s="68" t="str">
        <f ca="1">IF(SUM(Z60:Z74)=0,"",SUM(Z60:Z74))</f>
        <v/>
      </c>
      <c r="AA75" s="99"/>
      <c r="AB75" s="68" t="str">
        <f ca="1">IF(SUM(AB60:AB74)=0,"",SUM(AB60:AB74))</f>
        <v/>
      </c>
      <c r="AC75" s="99"/>
      <c r="AD75" s="68" t="str">
        <f ca="1">IF(SUM(AD60:AD74)=0,"",SUM(AD60:AD74))</f>
        <v/>
      </c>
      <c r="AE75" s="99"/>
      <c r="AF75" s="68" t="str">
        <f ca="1">IF(SUM(AF60:AF74)=0,"",SUM(AF60:AF74))</f>
        <v/>
      </c>
      <c r="AG75" s="99"/>
      <c r="AH75" s="68" t="str">
        <f ca="1">IF(SUM(AH60:AH74)=0,"",SUM(AH60:AH74))</f>
        <v/>
      </c>
      <c r="AI75" s="99"/>
      <c r="AJ75" s="68" t="str">
        <f ca="1">IF(SUM(AJ60:AJ74)=0,"",SUM(AJ60:AJ74))</f>
        <v/>
      </c>
      <c r="AK75" s="99"/>
      <c r="AL75" s="68" t="str">
        <f ca="1">IF(SUM(AL60:AL74)=0,"",SUM(AL60:AL74))</f>
        <v/>
      </c>
      <c r="AM75" s="99"/>
      <c r="AN75" s="68" t="str">
        <f ca="1">IF(SUM(AN60:AN74)=0,"",SUM(AN60:AN74))</f>
        <v/>
      </c>
    </row>
    <row r="76" spans="2:40" ht="11.25" customHeight="1" x14ac:dyDescent="0.15">
      <c r="B76" s="242" t="s">
        <v>59</v>
      </c>
      <c r="C76" s="233"/>
      <c r="D76" s="233"/>
      <c r="E76" s="233"/>
      <c r="F76" s="233"/>
      <c r="G76" s="35">
        <v>15</v>
      </c>
      <c r="H76" s="36" t="s">
        <v>73</v>
      </c>
      <c r="I76" s="97"/>
      <c r="J76" s="68">
        <f>J75*G76/100</f>
        <v>1935.3357000000001</v>
      </c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</row>
    <row r="77" spans="2:40" ht="11.25" customHeight="1" x14ac:dyDescent="0.15">
      <c r="B77" s="107" t="s">
        <v>69</v>
      </c>
      <c r="C77" s="108"/>
      <c r="D77" s="108"/>
      <c r="E77" s="108" t="s">
        <v>216</v>
      </c>
      <c r="F77" s="108"/>
      <c r="G77" s="110">
        <f>J77/0.95/12000</f>
        <v>1.301541552631579</v>
      </c>
      <c r="H77" s="109" t="s">
        <v>149</v>
      </c>
      <c r="I77" s="97"/>
      <c r="J77" s="68">
        <f>SUM(J75:J76)</f>
        <v>14837.573700000001</v>
      </c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</row>
    <row r="78" spans="2:40" ht="11.25" customHeight="1" x14ac:dyDescent="0.15">
      <c r="B78" s="243" t="s">
        <v>70</v>
      </c>
      <c r="C78" s="244"/>
      <c r="D78" s="244"/>
      <c r="E78" s="244"/>
      <c r="F78" s="244"/>
      <c r="G78" s="244"/>
      <c r="H78" s="245"/>
      <c r="I78" s="97"/>
      <c r="J78" s="100">
        <f>J77/3413</f>
        <v>4.3473699677702902</v>
      </c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</row>
    <row r="79" spans="2:40" ht="11.25" customHeight="1" thickBot="1" x14ac:dyDescent="0.2">
      <c r="B79" s="236" t="s">
        <v>62</v>
      </c>
      <c r="C79" s="237"/>
      <c r="D79" s="237"/>
      <c r="E79" s="37">
        <v>5</v>
      </c>
      <c r="F79" s="38" t="s">
        <v>74</v>
      </c>
      <c r="G79" s="246" t="s">
        <v>75</v>
      </c>
      <c r="H79" s="247"/>
      <c r="I79" s="97"/>
      <c r="J79" s="68">
        <f>E56*400</f>
        <v>700</v>
      </c>
      <c r="K79" s="98"/>
      <c r="L79" s="68">
        <f>IF(L75="","",L75/$J$75*$J$79)</f>
        <v>142.21011889565204</v>
      </c>
      <c r="M79" s="98"/>
      <c r="N79" s="68">
        <f>IF(N75="","",N75/$J$75*$J$79)</f>
        <v>101.31914323701049</v>
      </c>
      <c r="O79" s="98"/>
      <c r="P79" s="68">
        <f ca="1">IF(P75="","",P75/$J$75*$J$79)</f>
        <v>37.167621617272914</v>
      </c>
      <c r="Q79" s="98"/>
      <c r="R79" s="68">
        <f ca="1">IF(R75="","",R75/$J$75*$J$79)</f>
        <v>45.617109217796163</v>
      </c>
      <c r="S79" s="98"/>
      <c r="T79" s="68">
        <f ca="1">IF(T75="","",T75/$J$75*$J$79)</f>
        <v>149.52694253508574</v>
      </c>
      <c r="U79" s="98"/>
      <c r="V79" s="68">
        <f ca="1">IF(V75="","",V75/$J$75*$J$79)</f>
        <v>168.44417224360609</v>
      </c>
      <c r="W79" s="98"/>
      <c r="X79" s="68">
        <f ca="1">IF(X75="","",X75/$J$75*$J$79)</f>
        <v>18.800366262039191</v>
      </c>
      <c r="Y79" s="98"/>
      <c r="Z79" s="68" t="str">
        <f ca="1">IF(Z75="","",Z75/$J$75*$J$79)</f>
        <v/>
      </c>
      <c r="AA79" s="98"/>
      <c r="AB79" s="68" t="str">
        <f ca="1">IF(AB75="","",AB75/$J$75*$J$79)</f>
        <v/>
      </c>
      <c r="AC79" s="98"/>
      <c r="AD79" s="68" t="str">
        <f ca="1">IF(AD75="","",AD75/$J$75*$J$79)</f>
        <v/>
      </c>
      <c r="AE79" s="98"/>
      <c r="AF79" s="68" t="str">
        <f ca="1">IF(AF75="","",AF75/$J$75*$J$79)</f>
        <v/>
      </c>
      <c r="AG79" s="98"/>
      <c r="AH79" s="68" t="str">
        <f ca="1">IF(AH75="","",AH75/$J$75*$J$79)</f>
        <v/>
      </c>
      <c r="AI79" s="98"/>
      <c r="AJ79" s="68" t="str">
        <f ca="1">IF(AJ75="","",AJ75/$J$75*$J$79)</f>
        <v/>
      </c>
      <c r="AK79" s="98"/>
      <c r="AL79" s="68" t="str">
        <f ca="1">IF(AL75="","",AL75/$J$75*$J$79)</f>
        <v/>
      </c>
      <c r="AM79" s="98"/>
      <c r="AN79" s="68" t="str">
        <f ca="1">IF(AN75="","",AN75/$J$75*$J$79)</f>
        <v/>
      </c>
    </row>
    <row r="80" spans="2:40" x14ac:dyDescent="0.15">
      <c r="J80" s="39"/>
    </row>
    <row r="81" spans="10:10" x14ac:dyDescent="0.15">
      <c r="J81" s="39"/>
    </row>
    <row r="82" spans="10:10" x14ac:dyDescent="0.15">
      <c r="J82" s="39"/>
    </row>
    <row r="83" spans="10:10" x14ac:dyDescent="0.15">
      <c r="J83" s="39"/>
    </row>
    <row r="84" spans="10:10" x14ac:dyDescent="0.15">
      <c r="J84" s="39"/>
    </row>
    <row r="85" spans="10:10" x14ac:dyDescent="0.15">
      <c r="J85" s="39"/>
    </row>
    <row r="86" spans="10:10" x14ac:dyDescent="0.15">
      <c r="J86" s="39"/>
    </row>
  </sheetData>
  <mergeCells count="107">
    <mergeCell ref="N1:R1"/>
    <mergeCell ref="T1:V1"/>
    <mergeCell ref="N2:R2"/>
    <mergeCell ref="Q3:R3"/>
    <mergeCell ref="T3:V3"/>
    <mergeCell ref="I6:J6"/>
    <mergeCell ref="K6:L6"/>
    <mergeCell ref="M6:N6"/>
    <mergeCell ref="O6:P6"/>
    <mergeCell ref="Q6:R6"/>
    <mergeCell ref="AE6:AF6"/>
    <mergeCell ref="AG6:AH6"/>
    <mergeCell ref="AI6:AJ6"/>
    <mergeCell ref="AK6:AL6"/>
    <mergeCell ref="AM6:AN6"/>
    <mergeCell ref="B7:D7"/>
    <mergeCell ref="E7:E8"/>
    <mergeCell ref="F7:F8"/>
    <mergeCell ref="G7:H8"/>
    <mergeCell ref="I7:J7"/>
    <mergeCell ref="S6:T6"/>
    <mergeCell ref="U6:V6"/>
    <mergeCell ref="W6:X6"/>
    <mergeCell ref="Y6:Z6"/>
    <mergeCell ref="AA6:AB6"/>
    <mergeCell ref="AC6:AD6"/>
    <mergeCell ref="AK7:AL7"/>
    <mergeCell ref="AM7:AN7"/>
    <mergeCell ref="B29:B36"/>
    <mergeCell ref="B37:B41"/>
    <mergeCell ref="B42:B43"/>
    <mergeCell ref="B44:B46"/>
    <mergeCell ref="B47:B49"/>
    <mergeCell ref="D47:F47"/>
    <mergeCell ref="D48:F48"/>
    <mergeCell ref="D49:F49"/>
    <mergeCell ref="AI7:AJ7"/>
    <mergeCell ref="B9:B18"/>
    <mergeCell ref="B19:B20"/>
    <mergeCell ref="B21:B28"/>
    <mergeCell ref="W7:X7"/>
    <mergeCell ref="Y7:Z7"/>
    <mergeCell ref="AA7:AB7"/>
    <mergeCell ref="AC7:AD7"/>
    <mergeCell ref="AE7:AF7"/>
    <mergeCell ref="AG7:AH7"/>
    <mergeCell ref="K7:L7"/>
    <mergeCell ref="M7:N7"/>
    <mergeCell ref="O7:P7"/>
    <mergeCell ref="Q7:R7"/>
    <mergeCell ref="S7:T7"/>
    <mergeCell ref="U7:V7"/>
    <mergeCell ref="B56:D56"/>
    <mergeCell ref="G56:H56"/>
    <mergeCell ref="I57:J57"/>
    <mergeCell ref="K57:L57"/>
    <mergeCell ref="M57:N57"/>
    <mergeCell ref="O57:P57"/>
    <mergeCell ref="B50:F50"/>
    <mergeCell ref="B51:D51"/>
    <mergeCell ref="B52:H52"/>
    <mergeCell ref="B53:F53"/>
    <mergeCell ref="B54:H54"/>
    <mergeCell ref="B55:H55"/>
    <mergeCell ref="AG57:AH57"/>
    <mergeCell ref="AI57:AJ57"/>
    <mergeCell ref="AK57:AL57"/>
    <mergeCell ref="AM57:AN57"/>
    <mergeCell ref="Q57:R57"/>
    <mergeCell ref="S57:T57"/>
    <mergeCell ref="U57:V57"/>
    <mergeCell ref="W57:X57"/>
    <mergeCell ref="Y57:Z57"/>
    <mergeCell ref="AA57:AB57"/>
    <mergeCell ref="W58:X58"/>
    <mergeCell ref="B58:D58"/>
    <mergeCell ref="E58:E59"/>
    <mergeCell ref="F58:F59"/>
    <mergeCell ref="G58:H59"/>
    <mergeCell ref="I58:J58"/>
    <mergeCell ref="K58:L58"/>
    <mergeCell ref="AC57:AD57"/>
    <mergeCell ref="AE57:AF57"/>
    <mergeCell ref="B72:B73"/>
    <mergeCell ref="B74:D74"/>
    <mergeCell ref="B75:H75"/>
    <mergeCell ref="B76:F76"/>
    <mergeCell ref="B78:H78"/>
    <mergeCell ref="B79:D79"/>
    <mergeCell ref="G79:H79"/>
    <mergeCell ref="AK58:AL58"/>
    <mergeCell ref="AM58:AN58"/>
    <mergeCell ref="B60:B62"/>
    <mergeCell ref="B63:B64"/>
    <mergeCell ref="B65:B69"/>
    <mergeCell ref="B70:B71"/>
    <mergeCell ref="Y58:Z58"/>
    <mergeCell ref="AA58:AB58"/>
    <mergeCell ref="AC58:AD58"/>
    <mergeCell ref="AE58:AF58"/>
    <mergeCell ref="AG58:AH58"/>
    <mergeCell ref="AI58:AJ58"/>
    <mergeCell ref="M58:N58"/>
    <mergeCell ref="O58:P58"/>
    <mergeCell ref="Q58:R58"/>
    <mergeCell ref="S58:T58"/>
    <mergeCell ref="U58:V58"/>
  </mergeCells>
  <pageMargins left="0.7" right="0.7" top="0.75" bottom="0.75" header="0.3" footer="0.3"/>
  <pageSetup scale="5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9FAFEF-D130-4C02-9198-C1A04026D947}">
          <x14:formula1>
            <xm:f>'Glass CLF Calculation'!$A$41:$A$48</xm:f>
          </x14:formula1>
          <xm:sqref>Q3:R3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208D-7B78-4672-9E5F-78B1D962BE44}">
  <sheetPr>
    <pageSetUpPr fitToPage="1"/>
  </sheetPr>
  <dimension ref="B1:AN86"/>
  <sheetViews>
    <sheetView zoomScale="115" zoomScaleNormal="115" workbookViewId="0">
      <pane ySplit="7" topLeftCell="A29" activePane="bottomLeft" state="frozen"/>
      <selection activeCell="J9" sqref="J9:P9"/>
      <selection pane="bottomLeft" activeCell="Q3" sqref="Q3:R3"/>
    </sheetView>
  </sheetViews>
  <sheetFormatPr baseColWidth="10" defaultColWidth="9.1640625" defaultRowHeight="11" x14ac:dyDescent="0.15"/>
  <cols>
    <col min="1" max="1" width="2" style="1" customWidth="1"/>
    <col min="2" max="2" width="2.5" style="1" customWidth="1"/>
    <col min="3" max="3" width="4.5" style="1" bestFit="1" customWidth="1"/>
    <col min="4" max="4" width="7.83203125" style="1" customWidth="1"/>
    <col min="5" max="5" width="4.6640625" style="1" customWidth="1"/>
    <col min="6" max="6" width="5.33203125" style="1" customWidth="1"/>
    <col min="7" max="7" width="6.5" style="1" customWidth="1"/>
    <col min="8" max="8" width="9.1640625" style="1" customWidth="1"/>
    <col min="9" max="9" width="5.5" style="1" customWidth="1"/>
    <col min="10" max="10" width="5.83203125" style="1" customWidth="1"/>
    <col min="11" max="40" width="5.1640625" style="1" customWidth="1"/>
    <col min="41" max="16384" width="9.1640625" style="1"/>
  </cols>
  <sheetData>
    <row r="1" spans="2:40" x14ac:dyDescent="0.15">
      <c r="B1" s="1" t="s">
        <v>85</v>
      </c>
      <c r="E1" s="1" t="str">
        <f>Summary!F3</f>
        <v>Carillon</v>
      </c>
      <c r="M1" s="2" t="s">
        <v>87</v>
      </c>
      <c r="N1" s="235">
        <v>42998</v>
      </c>
      <c r="O1" s="235"/>
      <c r="P1" s="235"/>
      <c r="Q1" s="235"/>
      <c r="R1" s="235"/>
      <c r="T1" s="211" t="s">
        <v>93</v>
      </c>
      <c r="U1" s="211"/>
      <c r="V1" s="211"/>
      <c r="W1" s="5">
        <f>Summary!G10</f>
        <v>8.5</v>
      </c>
    </row>
    <row r="2" spans="2:40" x14ac:dyDescent="0.15">
      <c r="B2" s="1" t="s">
        <v>84</v>
      </c>
      <c r="E2" s="1" t="str">
        <f>Summary!F4</f>
        <v>Lawrenceville, GA</v>
      </c>
      <c r="M2" s="2" t="s">
        <v>88</v>
      </c>
      <c r="N2" s="228"/>
      <c r="O2" s="228"/>
      <c r="P2" s="228"/>
      <c r="Q2" s="228"/>
      <c r="R2" s="228"/>
    </row>
    <row r="3" spans="2:40" x14ac:dyDescent="0.15">
      <c r="B3" s="1" t="s">
        <v>2</v>
      </c>
      <c r="E3" s="1" t="str">
        <f>Summary!F5</f>
        <v>Millhaven GL</v>
      </c>
      <c r="M3" s="2" t="s">
        <v>89</v>
      </c>
      <c r="N3" s="4" t="s">
        <v>91</v>
      </c>
      <c r="O3" s="4"/>
      <c r="P3" s="4"/>
      <c r="Q3" s="230" t="s">
        <v>241</v>
      </c>
      <c r="R3" s="230"/>
      <c r="T3" s="211" t="s">
        <v>94</v>
      </c>
      <c r="U3" s="211"/>
      <c r="V3" s="211"/>
      <c r="W3" s="5">
        <v>1</v>
      </c>
    </row>
    <row r="4" spans="2:40" ht="12" customHeight="1" x14ac:dyDescent="0.15">
      <c r="E4" s="1" t="s">
        <v>86</v>
      </c>
      <c r="F4" s="2"/>
      <c r="G4" s="3">
        <f>SUM(I44:I46)</f>
        <v>0</v>
      </c>
      <c r="H4" s="2" t="s">
        <v>54</v>
      </c>
      <c r="I4" s="3">
        <f>I50</f>
        <v>0</v>
      </c>
      <c r="J4" s="2" t="s">
        <v>92</v>
      </c>
      <c r="K4" s="106">
        <f>G4/E56</f>
        <v>0</v>
      </c>
      <c r="M4" s="2" t="s">
        <v>90</v>
      </c>
      <c r="N4" s="4">
        <v>14</v>
      </c>
    </row>
    <row r="5" spans="2:40" ht="5.25" customHeight="1" thickBot="1" x14ac:dyDescent="0.2"/>
    <row r="6" spans="2:40" ht="13.5" customHeight="1" x14ac:dyDescent="0.15">
      <c r="B6" s="6"/>
      <c r="C6" s="7"/>
      <c r="D6" s="7"/>
      <c r="E6" s="7"/>
      <c r="F6" s="7"/>
      <c r="G6" s="7"/>
      <c r="H6" s="7"/>
      <c r="I6" s="259" t="s">
        <v>32</v>
      </c>
      <c r="J6" s="259"/>
      <c r="K6" s="205">
        <f>$W$1</f>
        <v>8.5</v>
      </c>
      <c r="L6" s="205"/>
      <c r="M6" s="205">
        <f t="shared" ref="M6" si="0">$W$1</f>
        <v>8.5</v>
      </c>
      <c r="N6" s="205"/>
      <c r="O6" s="205">
        <f t="shared" ref="O6" si="1">$W$1</f>
        <v>8.5</v>
      </c>
      <c r="P6" s="205"/>
      <c r="Q6" s="205">
        <f t="shared" ref="Q6" si="2">$W$1</f>
        <v>8.5</v>
      </c>
      <c r="R6" s="205"/>
      <c r="S6" s="205">
        <f t="shared" ref="S6" si="3">$W$1</f>
        <v>8.5</v>
      </c>
      <c r="T6" s="205"/>
      <c r="U6" s="205">
        <f t="shared" ref="U6" si="4">$W$1</f>
        <v>8.5</v>
      </c>
      <c r="V6" s="205"/>
      <c r="W6" s="205">
        <f t="shared" ref="W6" si="5">$W$1</f>
        <v>8.5</v>
      </c>
      <c r="X6" s="205"/>
      <c r="Y6" s="205">
        <f t="shared" ref="Y6" si="6">$W$1</f>
        <v>8.5</v>
      </c>
      <c r="Z6" s="205"/>
      <c r="AA6" s="205">
        <f t="shared" ref="AA6" si="7">$W$1</f>
        <v>8.5</v>
      </c>
      <c r="AB6" s="205"/>
      <c r="AC6" s="205">
        <f t="shared" ref="AC6" si="8">$W$1</f>
        <v>8.5</v>
      </c>
      <c r="AD6" s="205"/>
      <c r="AE6" s="205">
        <f t="shared" ref="AE6" si="9">$W$1</f>
        <v>8.5</v>
      </c>
      <c r="AF6" s="205"/>
      <c r="AG6" s="205">
        <f t="shared" ref="AG6:AK6" si="10">$W$1</f>
        <v>8.5</v>
      </c>
      <c r="AH6" s="205"/>
      <c r="AI6" s="205">
        <f t="shared" ref="AI6" si="11">$W$1</f>
        <v>8.5</v>
      </c>
      <c r="AJ6" s="205"/>
      <c r="AK6" s="205">
        <f t="shared" si="10"/>
        <v>8.5</v>
      </c>
      <c r="AL6" s="205"/>
      <c r="AM6" s="205">
        <f t="shared" ref="AM6" si="12">$W$1</f>
        <v>8.5</v>
      </c>
      <c r="AN6" s="205"/>
    </row>
    <row r="7" spans="2:40" s="9" customFormat="1" ht="36" customHeight="1" x14ac:dyDescent="0.2">
      <c r="B7" s="254" t="s">
        <v>0</v>
      </c>
      <c r="C7" s="255"/>
      <c r="D7" s="255"/>
      <c r="E7" s="256" t="s">
        <v>3</v>
      </c>
      <c r="F7" s="256" t="s">
        <v>4</v>
      </c>
      <c r="G7" s="255" t="s">
        <v>5</v>
      </c>
      <c r="H7" s="206"/>
      <c r="I7" s="255" t="s">
        <v>29</v>
      </c>
      <c r="J7" s="255"/>
      <c r="K7" s="255" t="str" cm="1">
        <f t="array" ref="K7">IFERROR(INDEX('Rooms Walls and Glass'!$D$7:$AB$7,MATCH(0,IF('Unit 2 a'!$Q$3='Rooms Walls and Glass'!$D$2:$AB$2,COUNTIF($E$1:$E1,'Rooms Walls and Glass'!E7:AB$7),""),0)),"")</f>
        <v/>
      </c>
      <c r="L7" s="255"/>
      <c r="M7" s="255" t="str" cm="1">
        <f t="array" ref="M7">IFERROR(INDEX('Rooms Walls and Glass'!$D$7:$AB$7,MATCH(0,IF('Unit 2 a'!$Q$3='Rooms Walls and Glass'!$D$2:$AB$2,COUNTIF(K7,'Rooms Walls and Glass'!D$7:$AB$7),""),0)),"")</f>
        <v/>
      </c>
      <c r="N7" s="255"/>
      <c r="O7" s="206" t="str" cm="1">
        <f t="array" ref="O7">IFERROR(INDEX('Rooms Walls and Glass'!$D$7:$AB$7,MATCH(0,IF('Unit 2 a'!$Q$3='Rooms Walls and Glass'!$D$2:$AB$2,COUNTIF(K7:M7,'Rooms Walls and Glass'!D$7:$AB$7),""),0)),"")</f>
        <v/>
      </c>
      <c r="P7" s="207"/>
      <c r="Q7" s="206" t="str" cm="1">
        <f t="array" ref="Q7">IFERROR(INDEX('Rooms Walls and Glass'!$D$7:$AB$7,MATCH(0,IF('Unit 2 a'!$Q$3='Rooms Walls and Glass'!$D$2:$AB$2,COUNTIF($K$7:O$7,'Rooms Walls and Glass'!D$7:$AB$7),""),0)),"")</f>
        <v/>
      </c>
      <c r="R7" s="207"/>
      <c r="S7" s="206" t="str" cm="1">
        <f t="array" ref="S7">IFERROR(INDEX('Rooms Walls and Glass'!$D$7:$AB$7,MATCH(0,IF('Unit 2 a'!$Q$3='Rooms Walls and Glass'!$D$2:$AB$2,COUNTIF($K$7:R$7,'Rooms Walls and Glass'!$D$7:$AB$7),""),0)),"")</f>
        <v/>
      </c>
      <c r="T7" s="207"/>
      <c r="U7" s="206" t="str" cm="1">
        <f t="array" ref="U7">IFERROR(INDEX('Rooms Walls and Glass'!$D$7:$AB$7,MATCH(0,IF('Unit 2 a'!$Q$3='Rooms Walls and Glass'!$D$2:$AB$2,COUNTIF($K$7:T$7,'Rooms Walls and Glass'!$D$7:$AB$7),""),0)),"")</f>
        <v/>
      </c>
      <c r="V7" s="207"/>
      <c r="W7" s="206" t="str" cm="1">
        <f t="array" ref="W7">IFERROR(INDEX('Rooms Walls and Glass'!$D$7:$AB$7,MATCH(0,IF('Unit 2 a'!$Q$3='Rooms Walls and Glass'!$D$2:$AB$2,COUNTIF($K$7:V$7,'Rooms Walls and Glass'!$D$7:$AB$7),""),0)),"")</f>
        <v/>
      </c>
      <c r="X7" s="207"/>
      <c r="Y7" s="206" t="str" cm="1">
        <f t="array" ref="Y7">IFERROR(INDEX('Rooms Walls and Glass'!$D$7:$AB$7,MATCH(0,IF('Unit 2 a'!$Q$3='Rooms Walls and Glass'!$D$2:$AB$2,COUNTIF($K$7:X$7,'Rooms Walls and Glass'!$D$7:$AB$7),""),0)),"")</f>
        <v/>
      </c>
      <c r="Z7" s="207"/>
      <c r="AA7" s="206" t="str" cm="1">
        <f t="array" ref="AA7">IFERROR(INDEX('Rooms Walls and Glass'!$D$7:$AB$7,MATCH(0,IF('Unit 2 a'!$Q$3='Rooms Walls and Glass'!$D$2:$AB$2,COUNTIF($K$7:Z$7,'Rooms Walls and Glass'!$D$7:$AB$7),""),0)),"")</f>
        <v/>
      </c>
      <c r="AB7" s="207"/>
      <c r="AC7" s="206" t="str" cm="1">
        <f t="array" ref="AC7">IFERROR(INDEX('Rooms Walls and Glass'!$D$7:$AB$7,MATCH(0,IF('Unit 2 a'!$Q$3='Rooms Walls and Glass'!$D$2:$AB$2,COUNTIF($K$7:AB$7,'Rooms Walls and Glass'!$D$7:$AB$7),""),0)),"")</f>
        <v/>
      </c>
      <c r="AD7" s="207"/>
      <c r="AE7" s="206" t="str" cm="1">
        <f t="array" ref="AE7">IFERROR(INDEX('Rooms Walls and Glass'!$D$7:$AB$7,MATCH(0,IF('Unit 2 a'!$Q$3='Rooms Walls and Glass'!$D$2:$AB$2,COUNTIF($K$7:AD$7,'Rooms Walls and Glass'!$D$7:$AB$7),""),0)),"")</f>
        <v/>
      </c>
      <c r="AF7" s="207"/>
      <c r="AG7" s="206" t="str" cm="1">
        <f t="array" ref="AG7">IFERROR(INDEX('Rooms Walls and Glass'!$D$7:$AB$7,MATCH(0,IF('Unit 2 a'!$Q$3='Rooms Walls and Glass'!$D$2:$AB$2,COUNTIF($K$7:AF$7,'Rooms Walls and Glass'!$D$7:$AB$7),""),0)),"")</f>
        <v/>
      </c>
      <c r="AH7" s="207"/>
      <c r="AI7" s="206" t="str" cm="1">
        <f t="array" ref="AI7">IFERROR(INDEX('Rooms Walls and Glass'!$D$7:$AB$7,MATCH(0,IF('Unit 2 a'!$Q$3='Rooms Walls and Glass'!$D$2:$AB$2,COUNTIF($K$7:AH$7,'Rooms Walls and Glass'!$D$7:$AB$7),""),0)),"")</f>
        <v/>
      </c>
      <c r="AJ7" s="207"/>
      <c r="AK7" s="206" t="str" cm="1">
        <f t="array" ref="AK7">IFERROR(INDEX('Rooms Walls and Glass'!$D$7:$AB$7,MATCH(0,IF('Unit 2 a'!$Q$3='Rooms Walls and Glass'!$D$2:$AB$2,COUNTIF($K$7:AJ$7,'Rooms Walls and Glass'!$D$7:$AB$7),""),0)),"")</f>
        <v/>
      </c>
      <c r="AL7" s="207"/>
      <c r="AM7" s="206" t="str" cm="1">
        <f t="array" ref="AM7">IFERROR(INDEX('Rooms Walls and Glass'!$D$7:$AB$7,MATCH(0,IF('Unit 2 a'!$Q$3='Rooms Walls and Glass'!$D$2:$AB$2,COUNTIF($K$7:AL$7,'Rooms Walls and Glass'!$D$7:$AB$7),""),0)),"")</f>
        <v/>
      </c>
      <c r="AN7" s="207"/>
    </row>
    <row r="8" spans="2:40" ht="11.25" customHeight="1" thickBot="1" x14ac:dyDescent="0.2">
      <c r="B8" s="40"/>
      <c r="C8" s="18" t="s">
        <v>1</v>
      </c>
      <c r="D8" s="18" t="s">
        <v>2</v>
      </c>
      <c r="E8" s="257"/>
      <c r="F8" s="257"/>
      <c r="G8" s="258"/>
      <c r="H8" s="258"/>
      <c r="I8" s="18" t="s">
        <v>30</v>
      </c>
      <c r="J8" s="18" t="s">
        <v>31</v>
      </c>
      <c r="K8" s="18" t="s">
        <v>30</v>
      </c>
      <c r="L8" s="18" t="s">
        <v>31</v>
      </c>
      <c r="M8" s="18" t="s">
        <v>30</v>
      </c>
      <c r="N8" s="18" t="s">
        <v>31</v>
      </c>
      <c r="O8" s="18" t="s">
        <v>30</v>
      </c>
      <c r="P8" s="18" t="s">
        <v>31</v>
      </c>
      <c r="Q8" s="18" t="s">
        <v>30</v>
      </c>
      <c r="R8" s="18" t="s">
        <v>31</v>
      </c>
      <c r="S8" s="18" t="s">
        <v>30</v>
      </c>
      <c r="T8" s="18" t="s">
        <v>31</v>
      </c>
      <c r="U8" s="18" t="s">
        <v>30</v>
      </c>
      <c r="V8" s="18" t="s">
        <v>31</v>
      </c>
      <c r="W8" s="18" t="s">
        <v>30</v>
      </c>
      <c r="X8" s="18" t="s">
        <v>31</v>
      </c>
      <c r="Y8" s="18" t="s">
        <v>30</v>
      </c>
      <c r="Z8" s="18" t="s">
        <v>31</v>
      </c>
      <c r="AA8" s="18" t="s">
        <v>30</v>
      </c>
      <c r="AB8" s="18" t="s">
        <v>31</v>
      </c>
      <c r="AC8" s="18" t="s">
        <v>30</v>
      </c>
      <c r="AD8" s="18" t="s">
        <v>31</v>
      </c>
      <c r="AE8" s="18" t="s">
        <v>30</v>
      </c>
      <c r="AF8" s="18" t="s">
        <v>31</v>
      </c>
      <c r="AG8" s="18" t="s">
        <v>30</v>
      </c>
      <c r="AH8" s="18" t="s">
        <v>31</v>
      </c>
      <c r="AI8" s="18" t="s">
        <v>30</v>
      </c>
      <c r="AJ8" s="34" t="s">
        <v>31</v>
      </c>
      <c r="AK8" s="18" t="s">
        <v>30</v>
      </c>
      <c r="AL8" s="18" t="s">
        <v>31</v>
      </c>
      <c r="AM8" s="18" t="s">
        <v>30</v>
      </c>
      <c r="AN8" s="34" t="s">
        <v>31</v>
      </c>
    </row>
    <row r="9" spans="2:40" ht="11.25" customHeight="1" thickBot="1" x14ac:dyDescent="0.2">
      <c r="B9" s="212" t="s">
        <v>77</v>
      </c>
      <c r="C9" s="12" t="s">
        <v>7</v>
      </c>
      <c r="D9" s="13" t="str">
        <f>'Rooms Walls and Glass'!A8</f>
        <v>NorthWest</v>
      </c>
      <c r="E9" s="13" t="s">
        <v>8</v>
      </c>
      <c r="F9" s="13" t="s">
        <v>9</v>
      </c>
      <c r="G9" s="103">
        <f>INDEX('Glass CLF Calculation'!$A$4:$G$11,MATCH('Unit 2 a'!D9,'Glass CLF Calculation'!$A$4:$A$11,0),7)</f>
        <v>18.306648888888887</v>
      </c>
      <c r="H9" s="13" t="s">
        <v>6</v>
      </c>
      <c r="I9" s="65">
        <f>SUM(K9,M9,O9,Q9,U9,W9,Y9,AA9,AC9,AE9,AG9,AI9,S9,AK9,AM9)</f>
        <v>0</v>
      </c>
      <c r="J9" s="65">
        <f>IF(I9="","-",I9*$G9)</f>
        <v>0</v>
      </c>
      <c r="K9" s="66" t="str">
        <f>IF(K$7="","",IF(INDEX('Rooms Walls and Glass'!$D$3:$AB$17, MATCH($D9,'Rooms Walls and Glass'!$A$3:$A$17,0), MATCH('Unit 2 a'!K$7,'Rooms Walls and Glass'!$D$1:$AB$1,0))=0,"",INDEX('Rooms Walls and Glass'!$D$3:$AB$17, MATCH($D9,'Rooms Walls and Glass'!$A$3:$A$17,0), MATCH('Unit 2 a'!K$7,'Rooms Walls and Glass'!$D$1:$AB$1,0))))</f>
        <v/>
      </c>
      <c r="L9" s="65" t="str">
        <f>IF(K9="","-",K9*$G9)</f>
        <v>-</v>
      </c>
      <c r="M9" s="66" t="str">
        <f>IF(M$7="","",IF(INDEX('Rooms Walls and Glass'!$D$3:$AB$17, MATCH($D9,'Rooms Walls and Glass'!$A$3:$A$17,0), MATCH('Unit 2 a'!M$7,'Rooms Walls and Glass'!$D$1:$AB$1,0))=0,"",INDEX('Rooms Walls and Glass'!$D$3:$AB$17, MATCH($D9,'Rooms Walls and Glass'!$A$3:$A$17,0), MATCH('Unit 2 a'!M$7,'Rooms Walls and Glass'!$D$1:$AB$1,0))))</f>
        <v/>
      </c>
      <c r="N9" s="65" t="str">
        <f>IF(M9="","-",M9*$G9)</f>
        <v>-</v>
      </c>
      <c r="O9" s="66" t="str">
        <f>IF(O$7="","",IF(INDEX('Rooms Walls and Glass'!$D$3:$AB$17, MATCH($D9,'Rooms Walls and Glass'!$A$3:$A$17,0), MATCH('Unit 2 a'!O$7,'Rooms Walls and Glass'!$D$1:$AB$1,0))=0,"",INDEX('Rooms Walls and Glass'!$D$3:$AB$17, MATCH($D9,'Rooms Walls and Glass'!$A$3:$A$17,0), MATCH('Unit 2 a'!O$7,'Rooms Walls and Glass'!$D$1:$AB$1,0))))</f>
        <v/>
      </c>
      <c r="P9" s="65" t="str">
        <f>IF(O9="","-",O9*$G9)</f>
        <v>-</v>
      </c>
      <c r="Q9" s="66" t="str">
        <f>IF(Q$7="","",IF(INDEX('Rooms Walls and Glass'!$D$3:$AB$17, MATCH($D9,'Rooms Walls and Glass'!$A$3:$A$17,0), MATCH('Unit 2 a'!Q$7,'Rooms Walls and Glass'!$D$1:$AB$1,0))=0,"",INDEX('Rooms Walls and Glass'!$D$3:$AB$17, MATCH($D9,'Rooms Walls and Glass'!$A$3:$A$17,0), MATCH('Unit 2 a'!Q$7,'Rooms Walls and Glass'!$D$1:$AB$1,0))))</f>
        <v/>
      </c>
      <c r="R9" s="65" t="str">
        <f>IF(Q9="","-",Q9*$G9)</f>
        <v>-</v>
      </c>
      <c r="S9" s="66" t="str">
        <f>IF(S$7="","",IF(INDEX('Rooms Walls and Glass'!$D$3:$AB$17, MATCH($D9,'Rooms Walls and Glass'!$A$3:$A$17,0), MATCH('Unit 2 a'!S$7,'Rooms Walls and Glass'!$D$1:$AB$1,0))=0,"",INDEX('Rooms Walls and Glass'!$D$3:$AB$17, MATCH($D9,'Rooms Walls and Glass'!$A$3:$A$17,0), MATCH('Unit 2 a'!S$7,'Rooms Walls and Glass'!$D$1:$AB$1,0))))</f>
        <v/>
      </c>
      <c r="T9" s="65" t="str">
        <f>IF(S9="","-",S9*$G9)</f>
        <v>-</v>
      </c>
      <c r="U9" s="66" t="str">
        <f>IF(U$7="","",IF(INDEX('Rooms Walls and Glass'!$D$3:$AB$17, MATCH($D9,'Rooms Walls and Glass'!$A$3:$A$17,0), MATCH('Unit 2 a'!U$7,'Rooms Walls and Glass'!$D$1:$AB$1,0))=0,"",INDEX('Rooms Walls and Glass'!$D$3:$AB$17, MATCH($D9,'Rooms Walls and Glass'!$A$3:$A$17,0), MATCH('Unit 2 a'!U$7,'Rooms Walls and Glass'!$D$1:$AB$1,0))))</f>
        <v/>
      </c>
      <c r="V9" s="65" t="str">
        <f>IF(U9="","-",U9*$G9)</f>
        <v>-</v>
      </c>
      <c r="W9" s="66" t="str">
        <f>IF(W$7="","",IF(INDEX('Rooms Walls and Glass'!$D$3:$AB$17, MATCH($D9,'Rooms Walls and Glass'!$A$3:$A$17,0), MATCH('Unit 2 a'!W$7,'Rooms Walls and Glass'!$D$1:$AB$1,0))=0,"",INDEX('Rooms Walls and Glass'!$D$3:$AB$17, MATCH($D9,'Rooms Walls and Glass'!$A$3:$A$17,0), MATCH('Unit 2 a'!W$7,'Rooms Walls and Glass'!$D$1:$AB$1,0))))</f>
        <v/>
      </c>
      <c r="X9" s="65" t="str">
        <f>IF(W9="","-",W9*$G9)</f>
        <v>-</v>
      </c>
      <c r="Y9" s="66" t="str">
        <f>IF(Y$7="","",IF(INDEX('Rooms Walls and Glass'!$D$3:$AB$17, MATCH($D9,'Rooms Walls and Glass'!$A$3:$A$17,0), MATCH('Unit 2 a'!Y$7,'Rooms Walls and Glass'!$D$1:$AB$1,0))=0,"",INDEX('Rooms Walls and Glass'!$D$3:$AB$17, MATCH($D9,'Rooms Walls and Glass'!$A$3:$A$17,0), MATCH('Unit 2 a'!Y$7,'Rooms Walls and Glass'!$D$1:$AB$1,0))))</f>
        <v/>
      </c>
      <c r="Z9" s="65" t="str">
        <f>IF(Y9="","-",Y9*$G9)</f>
        <v>-</v>
      </c>
      <c r="AA9" s="66" t="str">
        <f>IF(AA$7="","",IF(INDEX('Rooms Walls and Glass'!$D$3:$AB$17, MATCH($D9,'Rooms Walls and Glass'!$A$3:$A$17,0), MATCH('Unit 2 a'!AA$7,'Rooms Walls and Glass'!$D$1:$AB$1,0))=0,"",INDEX('Rooms Walls and Glass'!$D$3:$AB$17, MATCH($D9,'Rooms Walls and Glass'!$A$3:$A$17,0), MATCH('Unit 2 a'!AA$7,'Rooms Walls and Glass'!$D$1:$AB$1,0))))</f>
        <v/>
      </c>
      <c r="AB9" s="65" t="str">
        <f>IF(AA9="","-",AA9*$G9)</f>
        <v>-</v>
      </c>
      <c r="AC9" s="66" t="str">
        <f>IF(AC$7="","",IF(INDEX('Rooms Walls and Glass'!$D$3:$AB$17, MATCH($D9,'Rooms Walls and Glass'!$A$3:$A$17,0), MATCH('Unit 2 a'!AC$7,'Rooms Walls and Glass'!$D$1:$AB$1,0))=0,"",INDEX('Rooms Walls and Glass'!$D$3:$AB$17, MATCH($D9,'Rooms Walls and Glass'!$A$3:$A$17,0), MATCH('Unit 2 a'!AC$7,'Rooms Walls and Glass'!$D$1:$AB$1,0))))</f>
        <v/>
      </c>
      <c r="AD9" s="65" t="str">
        <f>IF(AC9="","-",AC9*$G9)</f>
        <v>-</v>
      </c>
      <c r="AE9" s="66" t="str">
        <f>IF(AE$7="","",IF(INDEX('Rooms Walls and Glass'!$D$3:$AB$17, MATCH($D9,'Rooms Walls and Glass'!$A$3:$A$17,0), MATCH('Unit 2 a'!AE$7,'Rooms Walls and Glass'!$D$1:$AB$1,0))=0,"",INDEX('Rooms Walls and Glass'!$D$3:$AB$17, MATCH($D9,'Rooms Walls and Glass'!$A$3:$A$17,0), MATCH('Unit 2 a'!AE$7,'Rooms Walls and Glass'!$D$1:$AB$1,0))))</f>
        <v/>
      </c>
      <c r="AF9" s="65" t="str">
        <f>IF(AE9="","-",AE9*$G9)</f>
        <v>-</v>
      </c>
      <c r="AG9" s="66" t="str">
        <f>IF(AG$7="","",IF(INDEX('Rooms Walls and Glass'!$D$3:$AB$17, MATCH($D9,'Rooms Walls and Glass'!$A$3:$A$17,0), MATCH('Unit 2 a'!AG$7,'Rooms Walls and Glass'!$D$1:$AB$1,0))=0,"",INDEX('Rooms Walls and Glass'!$D$3:$AB$17, MATCH($D9,'Rooms Walls and Glass'!$A$3:$A$17,0), MATCH('Unit 2 a'!AG$7,'Rooms Walls and Glass'!$D$1:$AB$1,0))))</f>
        <v/>
      </c>
      <c r="AH9" s="65" t="str">
        <f>IF(AG9="","-",AG9*$G9)</f>
        <v>-</v>
      </c>
      <c r="AI9" s="66" t="str">
        <f>IF(AI$7="","",IF(INDEX('Rooms Walls and Glass'!$D$3:$AB$17, MATCH($D9,'Rooms Walls and Glass'!$A$3:$A$17,0), MATCH('Unit 2 a'!AI$7,'Rooms Walls and Glass'!$D$1:$AB$1,0))=0,"",INDEX('Rooms Walls and Glass'!$D$3:$AB$17, MATCH($D9,'Rooms Walls and Glass'!$A$3:$A$17,0), MATCH('Unit 2 a'!AI$7,'Rooms Walls and Glass'!$D$1:$AB$1,0))))</f>
        <v/>
      </c>
      <c r="AJ9" s="67" t="str">
        <f>IF(AI9="","-",AI9*$G9)</f>
        <v>-</v>
      </c>
      <c r="AK9" s="66" t="str">
        <f>IF(AK$7="","",IF(INDEX('Rooms Walls and Glass'!$D$3:$AB$17, MATCH($D9,'Rooms Walls and Glass'!$A$3:$A$17,0), MATCH('Unit 2 a'!AK$7,'Rooms Walls and Glass'!$D$1:$AB$1,0))=0,"",INDEX('Rooms Walls and Glass'!$D$3:$AB$17, MATCH($D9,'Rooms Walls and Glass'!$A$3:$A$17,0), MATCH('Unit 2 a'!AK$7,'Rooms Walls and Glass'!$D$1:$AB$1,0))))</f>
        <v/>
      </c>
      <c r="AL9" s="65" t="str">
        <f>IF(AK9="","-",AK9*$G9)</f>
        <v>-</v>
      </c>
      <c r="AM9" s="66" t="str">
        <f>IF(AM$7="","",IF(INDEX('Rooms Walls and Glass'!$D$3:$AB$17, MATCH($D9,'Rooms Walls and Glass'!$A$3:$A$17,0), MATCH('Unit 2 a'!AM$7,'Rooms Walls and Glass'!$D$1:$AB$1,0))=0,"",INDEX('Rooms Walls and Glass'!$D$3:$AB$17, MATCH($D9,'Rooms Walls and Glass'!$A$3:$A$17,0), MATCH('Unit 2 a'!AM$7,'Rooms Walls and Glass'!$D$1:$AB$1,0))))</f>
        <v/>
      </c>
      <c r="AN9" s="67" t="str">
        <f>IF(AM9="","-",AM9*$G9)</f>
        <v>-</v>
      </c>
    </row>
    <row r="10" spans="2:40" ht="11.25" customHeight="1" thickBot="1" x14ac:dyDescent="0.2">
      <c r="B10" s="214"/>
      <c r="C10" s="15" t="s">
        <v>7</v>
      </c>
      <c r="D10" s="13" t="str">
        <f>'Rooms Walls and Glass'!A9</f>
        <v>North</v>
      </c>
      <c r="E10" s="16"/>
      <c r="F10" s="16" t="s">
        <v>10</v>
      </c>
      <c r="G10" s="103">
        <f>INDEX('Glass CLF Calculation'!$A$4:$G$11,MATCH('Unit 2 a'!D10,'Glass CLF Calculation'!$A$4:$A$11,0),7)</f>
        <v>6.2012662222222215</v>
      </c>
      <c r="H10" s="16" t="s">
        <v>6</v>
      </c>
      <c r="I10" s="65">
        <f t="shared" ref="I10:I46" si="13">SUM(K10,M10,O10,Q10,U10,W10,Y10,AA10,AC10,AE10,AG10,AI10,S10,AK10,AM10)</f>
        <v>0</v>
      </c>
      <c r="J10" s="68">
        <f t="shared" ref="J10:J49" si="14">IF(I10="","-",I10*$G10)</f>
        <v>0</v>
      </c>
      <c r="K10" s="66" t="str">
        <f>IF(K$7="","",IF(INDEX('Rooms Walls and Glass'!$D$3:$AB$17, MATCH($D10,'Rooms Walls and Glass'!$A$3:$A$17,0), MATCH('Unit 2 a'!K$7,'Rooms Walls and Glass'!$D$1:$AB$1,0))=0,"",INDEX('Rooms Walls and Glass'!$D$3:$AB$17, MATCH($D10,'Rooms Walls and Glass'!$A$3:$A$17,0), MATCH('Unit 2 a'!K$7,'Rooms Walls and Glass'!$D$1:$AB$1,0))))</f>
        <v/>
      </c>
      <c r="L10" s="68" t="str">
        <f t="shared" ref="L10:L55" si="15">IF(K10="","-",K10*$G10)</f>
        <v>-</v>
      </c>
      <c r="M10" s="66" t="str">
        <f>IF(M$7="","",IF(INDEX('Rooms Walls and Glass'!$D$3:$AB$17, MATCH($D10,'Rooms Walls and Glass'!$A$3:$A$17,0), MATCH('Unit 2 a'!M$7,'Rooms Walls and Glass'!$D$1:$AB$1,0))=0,"",INDEX('Rooms Walls and Glass'!$D$3:$AB$17, MATCH($D10,'Rooms Walls and Glass'!$A$3:$A$17,0), MATCH('Unit 2 a'!M$7,'Rooms Walls and Glass'!$D$1:$AB$1,0))))</f>
        <v/>
      </c>
      <c r="N10" s="68" t="str">
        <f t="shared" ref="N10:N55" si="16">IF(M10="","-",M10*$G10)</f>
        <v>-</v>
      </c>
      <c r="O10" s="66" t="str">
        <f>IF(O$7="","",IF(INDEX('Rooms Walls and Glass'!$D$3:$AB$17, MATCH($D10,'Rooms Walls and Glass'!$A$3:$A$17,0), MATCH('Unit 2 a'!O$7,'Rooms Walls and Glass'!$D$1:$AB$1,0))=0,"",INDEX('Rooms Walls and Glass'!$D$3:$AB$17, MATCH($D10,'Rooms Walls and Glass'!$A$3:$A$17,0), MATCH('Unit 2 a'!O$7,'Rooms Walls and Glass'!$D$1:$AB$1,0))))</f>
        <v/>
      </c>
      <c r="P10" s="68" t="str">
        <f t="shared" ref="P10:P55" si="17">IF(O10="","-",O10*$G10)</f>
        <v>-</v>
      </c>
      <c r="Q10" s="66" t="str">
        <f>IF(Q$7="","",IF(INDEX('Rooms Walls and Glass'!$D$3:$AB$17, MATCH($D10,'Rooms Walls and Glass'!$A$3:$A$17,0), MATCH('Unit 2 a'!Q$7,'Rooms Walls and Glass'!$D$1:$AB$1,0))=0,"",INDEX('Rooms Walls and Glass'!$D$3:$AB$17, MATCH($D10,'Rooms Walls and Glass'!$A$3:$A$17,0), MATCH('Unit 2 a'!Q$7,'Rooms Walls and Glass'!$D$1:$AB$1,0))))</f>
        <v/>
      </c>
      <c r="R10" s="68" t="str">
        <f t="shared" ref="R10:R55" si="18">IF(Q10="","-",Q10*$G10)</f>
        <v>-</v>
      </c>
      <c r="S10" s="66" t="str">
        <f>IF(S$7="","",IF(INDEX('Rooms Walls and Glass'!$D$3:$AB$17, MATCH($D10,'Rooms Walls and Glass'!$A$3:$A$17,0), MATCH('Unit 2 a'!S$7,'Rooms Walls and Glass'!$D$1:$AB$1,0))=0,"",INDEX('Rooms Walls and Glass'!$D$3:$AB$17, MATCH($D10,'Rooms Walls and Glass'!$A$3:$A$17,0), MATCH('Unit 2 a'!S$7,'Rooms Walls and Glass'!$D$1:$AB$1,0))))</f>
        <v/>
      </c>
      <c r="T10" s="68" t="str">
        <f t="shared" ref="T10:T55" si="19">IF(S10="","-",S10*$G10)</f>
        <v>-</v>
      </c>
      <c r="U10" s="66" t="str">
        <f>IF(U$7="","",IF(INDEX('Rooms Walls and Glass'!$D$3:$AB$17, MATCH($D10,'Rooms Walls and Glass'!$A$3:$A$17,0), MATCH('Unit 2 a'!U$7,'Rooms Walls and Glass'!$D$1:$AB$1,0))=0,"",INDEX('Rooms Walls and Glass'!$D$3:$AB$17, MATCH($D10,'Rooms Walls and Glass'!$A$3:$A$17,0), MATCH('Unit 2 a'!U$7,'Rooms Walls and Glass'!$D$1:$AB$1,0))))</f>
        <v/>
      </c>
      <c r="V10" s="68" t="str">
        <f t="shared" ref="V10:V55" si="20">IF(U10="","-",U10*$G10)</f>
        <v>-</v>
      </c>
      <c r="W10" s="66" t="str">
        <f>IF(W$7="","",IF(INDEX('Rooms Walls and Glass'!$D$3:$AB$17, MATCH($D10,'Rooms Walls and Glass'!$A$3:$A$17,0), MATCH('Unit 2 a'!W$7,'Rooms Walls and Glass'!$D$1:$AB$1,0))=0,"",INDEX('Rooms Walls and Glass'!$D$3:$AB$17, MATCH($D10,'Rooms Walls and Glass'!$A$3:$A$17,0), MATCH('Unit 2 a'!W$7,'Rooms Walls and Glass'!$D$1:$AB$1,0))))</f>
        <v/>
      </c>
      <c r="X10" s="68" t="str">
        <f t="shared" ref="X10:X55" si="21">IF(W10="","-",W10*$G10)</f>
        <v>-</v>
      </c>
      <c r="Y10" s="66" t="str">
        <f>IF(Y$7="","",IF(INDEX('Rooms Walls and Glass'!$D$3:$AB$17, MATCH($D10,'Rooms Walls and Glass'!$A$3:$A$17,0), MATCH('Unit 2 a'!Y$7,'Rooms Walls and Glass'!$D$1:$AB$1,0))=0,"",INDEX('Rooms Walls and Glass'!$D$3:$AB$17, MATCH($D10,'Rooms Walls and Glass'!$A$3:$A$17,0), MATCH('Unit 2 a'!Y$7,'Rooms Walls and Glass'!$D$1:$AB$1,0))))</f>
        <v/>
      </c>
      <c r="Z10" s="68" t="str">
        <f t="shared" ref="Z10:Z55" si="22">IF(Y10="","-",Y10*$G10)</f>
        <v>-</v>
      </c>
      <c r="AA10" s="66" t="str">
        <f>IF(AA$7="","",IF(INDEX('Rooms Walls and Glass'!$D$3:$AB$17, MATCH($D10,'Rooms Walls and Glass'!$A$3:$A$17,0), MATCH('Unit 2 a'!AA$7,'Rooms Walls and Glass'!$D$1:$AB$1,0))=0,"",INDEX('Rooms Walls and Glass'!$D$3:$AB$17, MATCH($D10,'Rooms Walls and Glass'!$A$3:$A$17,0), MATCH('Unit 2 a'!AA$7,'Rooms Walls and Glass'!$D$1:$AB$1,0))))</f>
        <v/>
      </c>
      <c r="AB10" s="68" t="str">
        <f t="shared" ref="AB10:AB55" si="23">IF(AA10="","-",AA10*$G10)</f>
        <v>-</v>
      </c>
      <c r="AC10" s="66" t="str">
        <f>IF(AC$7="","",IF(INDEX('Rooms Walls and Glass'!$D$3:$AB$17, MATCH($D10,'Rooms Walls and Glass'!$A$3:$A$17,0), MATCH('Unit 2 a'!AC$7,'Rooms Walls and Glass'!$D$1:$AB$1,0))=0,"",INDEX('Rooms Walls and Glass'!$D$3:$AB$17, MATCH($D10,'Rooms Walls and Glass'!$A$3:$A$17,0), MATCH('Unit 2 a'!AC$7,'Rooms Walls and Glass'!$D$1:$AB$1,0))))</f>
        <v/>
      </c>
      <c r="AD10" s="68" t="str">
        <f t="shared" ref="AD10:AF25" si="24">IF(AC10="","-",AC10*$G10)</f>
        <v>-</v>
      </c>
      <c r="AE10" s="66" t="str">
        <f>IF(AE$7="","",IF(INDEX('Rooms Walls and Glass'!$D$3:$AB$17, MATCH($D10,'Rooms Walls and Glass'!$A$3:$A$17,0), MATCH('Unit 2 a'!AE$7,'Rooms Walls and Glass'!$D$1:$AB$1,0))=0,"",INDEX('Rooms Walls and Glass'!$D$3:$AB$17, MATCH($D10,'Rooms Walls and Glass'!$A$3:$A$17,0), MATCH('Unit 2 a'!AE$7,'Rooms Walls and Glass'!$D$1:$AB$1,0))))</f>
        <v/>
      </c>
      <c r="AF10" s="68" t="str">
        <f t="shared" si="24"/>
        <v>-</v>
      </c>
      <c r="AG10" s="66" t="str">
        <f>IF(AG$7="","",IF(INDEX('Rooms Walls and Glass'!$D$3:$AB$17, MATCH($D10,'Rooms Walls and Glass'!$A$3:$A$17,0), MATCH('Unit 2 a'!AG$7,'Rooms Walls and Glass'!$D$1:$AB$1,0))=0,"",INDEX('Rooms Walls and Glass'!$D$3:$AB$17, MATCH($D10,'Rooms Walls and Glass'!$A$3:$A$17,0), MATCH('Unit 2 a'!AG$7,'Rooms Walls and Glass'!$D$1:$AB$1,0))))</f>
        <v/>
      </c>
      <c r="AH10" s="68" t="str">
        <f t="shared" ref="AH10:AH55" si="25">IF(AG10="","-",AG10*$G10)</f>
        <v>-</v>
      </c>
      <c r="AI10" s="66" t="str">
        <f>IF(AI$7="","",IF(INDEX('Rooms Walls and Glass'!$D$3:$AB$17, MATCH($D10,'Rooms Walls and Glass'!$A$3:$A$17,0), MATCH('Unit 2 a'!AI$7,'Rooms Walls and Glass'!$D$1:$AB$1,0))=0,"",INDEX('Rooms Walls and Glass'!$D$3:$AB$17, MATCH($D10,'Rooms Walls and Glass'!$A$3:$A$17,0), MATCH('Unit 2 a'!AI$7,'Rooms Walls and Glass'!$D$1:$AB$1,0))))</f>
        <v/>
      </c>
      <c r="AJ10" s="69" t="str">
        <f t="shared" ref="AJ10:AJ55" si="26">IF(AI10="","-",AI10*$G10)</f>
        <v>-</v>
      </c>
      <c r="AK10" s="66" t="str">
        <f>IF(AK$7="","",IF(INDEX('Rooms Walls and Glass'!$D$3:$AB$17, MATCH($D10,'Rooms Walls and Glass'!$A$3:$A$17,0), MATCH('Unit 2 a'!AK$7,'Rooms Walls and Glass'!$D$1:$AB$1,0))=0,"",INDEX('Rooms Walls and Glass'!$D$3:$AB$17, MATCH($D10,'Rooms Walls and Glass'!$A$3:$A$17,0), MATCH('Unit 2 a'!AK$7,'Rooms Walls and Glass'!$D$1:$AB$1,0))))</f>
        <v/>
      </c>
      <c r="AL10" s="68" t="str">
        <f t="shared" ref="AL10:AL47" si="27">IF(AK10="","-",AK10*$G10)</f>
        <v>-</v>
      </c>
      <c r="AM10" s="66" t="str">
        <f>IF(AM$7="","",IF(INDEX('Rooms Walls and Glass'!$D$3:$AB$17, MATCH($D10,'Rooms Walls and Glass'!$A$3:$A$17,0), MATCH('Unit 2 a'!AM$7,'Rooms Walls and Glass'!$D$1:$AB$1,0))=0,"",INDEX('Rooms Walls and Glass'!$D$3:$AB$17, MATCH($D10,'Rooms Walls and Glass'!$A$3:$A$17,0), MATCH('Unit 2 a'!AM$7,'Rooms Walls and Glass'!$D$1:$AB$1,0))))</f>
        <v/>
      </c>
      <c r="AN10" s="69" t="str">
        <f t="shared" ref="AN10:AN47" si="28">IF(AM10="","-",AM10*$G10)</f>
        <v>-</v>
      </c>
    </row>
    <row r="11" spans="2:40" ht="11.25" customHeight="1" thickBot="1" x14ac:dyDescent="0.2">
      <c r="B11" s="214"/>
      <c r="C11" s="15" t="s">
        <v>7</v>
      </c>
      <c r="D11" s="13" t="str">
        <f>'Rooms Walls and Glass'!A10</f>
        <v>NorthEast</v>
      </c>
      <c r="E11" s="16" t="s">
        <v>17</v>
      </c>
      <c r="F11" s="16" t="s">
        <v>11</v>
      </c>
      <c r="G11" s="103">
        <f>INDEX('Glass CLF Calculation'!$A$4:$G$11,MATCH('Unit 2 a'!D11,'Glass CLF Calculation'!$A$4:$A$11,0),7)</f>
        <v>7.8267093333333335</v>
      </c>
      <c r="H11" s="16" t="s">
        <v>6</v>
      </c>
      <c r="I11" s="65">
        <f t="shared" si="13"/>
        <v>0</v>
      </c>
      <c r="J11" s="68">
        <f t="shared" si="14"/>
        <v>0</v>
      </c>
      <c r="K11" s="66" t="str">
        <f>IF(K$7="","",IF(INDEX('Rooms Walls and Glass'!$D$3:$AB$17, MATCH($D11,'Rooms Walls and Glass'!$A$3:$A$17,0), MATCH('Unit 2 a'!K$7,'Rooms Walls and Glass'!$D$1:$AB$1,0))=0,"",INDEX('Rooms Walls and Glass'!$D$3:$AB$17, MATCH($D11,'Rooms Walls and Glass'!$A$3:$A$17,0), MATCH('Unit 2 a'!K$7,'Rooms Walls and Glass'!$D$1:$AB$1,0))))</f>
        <v/>
      </c>
      <c r="L11" s="68" t="str">
        <f t="shared" si="15"/>
        <v>-</v>
      </c>
      <c r="M11" s="66" t="str">
        <f>IF(M$7="","",IF(INDEX('Rooms Walls and Glass'!$D$3:$AB$17, MATCH($D11,'Rooms Walls and Glass'!$A$3:$A$17,0), MATCH('Unit 2 a'!M$7,'Rooms Walls and Glass'!$D$1:$AB$1,0))=0,"",INDEX('Rooms Walls and Glass'!$D$3:$AB$17, MATCH($D11,'Rooms Walls and Glass'!$A$3:$A$17,0), MATCH('Unit 2 a'!M$7,'Rooms Walls and Glass'!$D$1:$AB$1,0))))</f>
        <v/>
      </c>
      <c r="N11" s="68" t="str">
        <f t="shared" si="16"/>
        <v>-</v>
      </c>
      <c r="O11" s="66" t="str">
        <f>IF(O$7="","",IF(INDEX('Rooms Walls and Glass'!$D$3:$AB$17, MATCH($D11,'Rooms Walls and Glass'!$A$3:$A$17,0), MATCH('Unit 2 a'!O$7,'Rooms Walls and Glass'!$D$1:$AB$1,0))=0,"",INDEX('Rooms Walls and Glass'!$D$3:$AB$17, MATCH($D11,'Rooms Walls and Glass'!$A$3:$A$17,0), MATCH('Unit 2 a'!O$7,'Rooms Walls and Glass'!$D$1:$AB$1,0))))</f>
        <v/>
      </c>
      <c r="P11" s="68" t="str">
        <f t="shared" si="17"/>
        <v>-</v>
      </c>
      <c r="Q11" s="66" t="str">
        <f>IF(Q$7="","",IF(INDEX('Rooms Walls and Glass'!$D$3:$AB$17, MATCH($D11,'Rooms Walls and Glass'!$A$3:$A$17,0), MATCH('Unit 2 a'!Q$7,'Rooms Walls and Glass'!$D$1:$AB$1,0))=0,"",INDEX('Rooms Walls and Glass'!$D$3:$AB$17, MATCH($D11,'Rooms Walls and Glass'!$A$3:$A$17,0), MATCH('Unit 2 a'!Q$7,'Rooms Walls and Glass'!$D$1:$AB$1,0))))</f>
        <v/>
      </c>
      <c r="R11" s="68" t="str">
        <f t="shared" si="18"/>
        <v>-</v>
      </c>
      <c r="S11" s="66" t="str">
        <f>IF(S$7="","",IF(INDEX('Rooms Walls and Glass'!$D$3:$AB$17, MATCH($D11,'Rooms Walls and Glass'!$A$3:$A$17,0), MATCH('Unit 2 a'!S$7,'Rooms Walls and Glass'!$D$1:$AB$1,0))=0,"",INDEX('Rooms Walls and Glass'!$D$3:$AB$17, MATCH($D11,'Rooms Walls and Glass'!$A$3:$A$17,0), MATCH('Unit 2 a'!S$7,'Rooms Walls and Glass'!$D$1:$AB$1,0))))</f>
        <v/>
      </c>
      <c r="T11" s="68" t="str">
        <f t="shared" si="19"/>
        <v>-</v>
      </c>
      <c r="U11" s="66" t="str">
        <f>IF(U$7="","",IF(INDEX('Rooms Walls and Glass'!$D$3:$AB$17, MATCH($D11,'Rooms Walls and Glass'!$A$3:$A$17,0), MATCH('Unit 2 a'!U$7,'Rooms Walls and Glass'!$D$1:$AB$1,0))=0,"",INDEX('Rooms Walls and Glass'!$D$3:$AB$17, MATCH($D11,'Rooms Walls and Glass'!$A$3:$A$17,0), MATCH('Unit 2 a'!U$7,'Rooms Walls and Glass'!$D$1:$AB$1,0))))</f>
        <v/>
      </c>
      <c r="V11" s="68" t="str">
        <f t="shared" si="20"/>
        <v>-</v>
      </c>
      <c r="W11" s="66" t="str">
        <f>IF(W$7="","",IF(INDEX('Rooms Walls and Glass'!$D$3:$AB$17, MATCH($D11,'Rooms Walls and Glass'!$A$3:$A$17,0), MATCH('Unit 2 a'!W$7,'Rooms Walls and Glass'!$D$1:$AB$1,0))=0,"",INDEX('Rooms Walls and Glass'!$D$3:$AB$17, MATCH($D11,'Rooms Walls and Glass'!$A$3:$A$17,0), MATCH('Unit 2 a'!W$7,'Rooms Walls and Glass'!$D$1:$AB$1,0))))</f>
        <v/>
      </c>
      <c r="X11" s="68" t="str">
        <f t="shared" si="21"/>
        <v>-</v>
      </c>
      <c r="Y11" s="66" t="str">
        <f>IF(Y$7="","",IF(INDEX('Rooms Walls and Glass'!$D$3:$AB$17, MATCH($D11,'Rooms Walls and Glass'!$A$3:$A$17,0), MATCH('Unit 2 a'!Y$7,'Rooms Walls and Glass'!$D$1:$AB$1,0))=0,"",INDEX('Rooms Walls and Glass'!$D$3:$AB$17, MATCH($D11,'Rooms Walls and Glass'!$A$3:$A$17,0), MATCH('Unit 2 a'!Y$7,'Rooms Walls and Glass'!$D$1:$AB$1,0))))</f>
        <v/>
      </c>
      <c r="Z11" s="68" t="str">
        <f t="shared" si="22"/>
        <v>-</v>
      </c>
      <c r="AA11" s="66" t="str">
        <f>IF(AA$7="","",IF(INDEX('Rooms Walls and Glass'!$D$3:$AB$17, MATCH($D11,'Rooms Walls and Glass'!$A$3:$A$17,0), MATCH('Unit 2 a'!AA$7,'Rooms Walls and Glass'!$D$1:$AB$1,0))=0,"",INDEX('Rooms Walls and Glass'!$D$3:$AB$17, MATCH($D11,'Rooms Walls and Glass'!$A$3:$A$17,0), MATCH('Unit 2 a'!AA$7,'Rooms Walls and Glass'!$D$1:$AB$1,0))))</f>
        <v/>
      </c>
      <c r="AB11" s="68" t="str">
        <f t="shared" si="23"/>
        <v>-</v>
      </c>
      <c r="AC11" s="66" t="str">
        <f>IF(AC$7="","",IF(INDEX('Rooms Walls and Glass'!$D$3:$AB$17, MATCH($D11,'Rooms Walls and Glass'!$A$3:$A$17,0), MATCH('Unit 2 a'!AC$7,'Rooms Walls and Glass'!$D$1:$AB$1,0))=0,"",INDEX('Rooms Walls and Glass'!$D$3:$AB$17, MATCH($D11,'Rooms Walls and Glass'!$A$3:$A$17,0), MATCH('Unit 2 a'!AC$7,'Rooms Walls and Glass'!$D$1:$AB$1,0))))</f>
        <v/>
      </c>
      <c r="AD11" s="68" t="str">
        <f t="shared" si="24"/>
        <v>-</v>
      </c>
      <c r="AE11" s="66" t="str">
        <f>IF(AE$7="","",IF(INDEX('Rooms Walls and Glass'!$D$3:$AB$17, MATCH($D11,'Rooms Walls and Glass'!$A$3:$A$17,0), MATCH('Unit 2 a'!AE$7,'Rooms Walls and Glass'!$D$1:$AB$1,0))=0,"",INDEX('Rooms Walls and Glass'!$D$3:$AB$17, MATCH($D11,'Rooms Walls and Glass'!$A$3:$A$17,0), MATCH('Unit 2 a'!AE$7,'Rooms Walls and Glass'!$D$1:$AB$1,0))))</f>
        <v/>
      </c>
      <c r="AF11" s="68" t="str">
        <f t="shared" si="24"/>
        <v>-</v>
      </c>
      <c r="AG11" s="66" t="str">
        <f>IF(AG$7="","",IF(INDEX('Rooms Walls and Glass'!$D$3:$AB$17, MATCH($D11,'Rooms Walls and Glass'!$A$3:$A$17,0), MATCH('Unit 2 a'!AG$7,'Rooms Walls and Glass'!$D$1:$AB$1,0))=0,"",INDEX('Rooms Walls and Glass'!$D$3:$AB$17, MATCH($D11,'Rooms Walls and Glass'!$A$3:$A$17,0), MATCH('Unit 2 a'!AG$7,'Rooms Walls and Glass'!$D$1:$AB$1,0))))</f>
        <v/>
      </c>
      <c r="AH11" s="68" t="str">
        <f t="shared" si="25"/>
        <v>-</v>
      </c>
      <c r="AI11" s="66" t="str">
        <f>IF(AI$7="","",IF(INDEX('Rooms Walls and Glass'!$D$3:$AB$17, MATCH($D11,'Rooms Walls and Glass'!$A$3:$A$17,0), MATCH('Unit 2 a'!AI$7,'Rooms Walls and Glass'!$D$1:$AB$1,0))=0,"",INDEX('Rooms Walls and Glass'!$D$3:$AB$17, MATCH($D11,'Rooms Walls and Glass'!$A$3:$A$17,0), MATCH('Unit 2 a'!AI$7,'Rooms Walls and Glass'!$D$1:$AB$1,0))))</f>
        <v/>
      </c>
      <c r="AJ11" s="69" t="str">
        <f t="shared" si="26"/>
        <v>-</v>
      </c>
      <c r="AK11" s="66" t="str">
        <f>IF(AK$7="","",IF(INDEX('Rooms Walls and Glass'!$D$3:$AB$17, MATCH($D11,'Rooms Walls and Glass'!$A$3:$A$17,0), MATCH('Unit 2 a'!AK$7,'Rooms Walls and Glass'!$D$1:$AB$1,0))=0,"",INDEX('Rooms Walls and Glass'!$D$3:$AB$17, MATCH($D11,'Rooms Walls and Glass'!$A$3:$A$17,0), MATCH('Unit 2 a'!AK$7,'Rooms Walls and Glass'!$D$1:$AB$1,0))))</f>
        <v/>
      </c>
      <c r="AL11" s="68" t="str">
        <f t="shared" si="27"/>
        <v>-</v>
      </c>
      <c r="AM11" s="66" t="str">
        <f>IF(AM$7="","",IF(INDEX('Rooms Walls and Glass'!$D$3:$AB$17, MATCH($D11,'Rooms Walls and Glass'!$A$3:$A$17,0), MATCH('Unit 2 a'!AM$7,'Rooms Walls and Glass'!$D$1:$AB$1,0))=0,"",INDEX('Rooms Walls and Glass'!$D$3:$AB$17, MATCH($D11,'Rooms Walls and Glass'!$A$3:$A$17,0), MATCH('Unit 2 a'!AM$7,'Rooms Walls and Glass'!$D$1:$AB$1,0))))</f>
        <v/>
      </c>
      <c r="AN11" s="69" t="str">
        <f t="shared" si="28"/>
        <v>-</v>
      </c>
    </row>
    <row r="12" spans="2:40" ht="11.25" customHeight="1" thickBot="1" x14ac:dyDescent="0.2">
      <c r="B12" s="214"/>
      <c r="C12" s="15" t="s">
        <v>7</v>
      </c>
      <c r="D12" s="13" t="str">
        <f>'Rooms Walls and Glass'!A11</f>
        <v>East</v>
      </c>
      <c r="E12" s="16"/>
      <c r="F12" s="16" t="s">
        <v>12</v>
      </c>
      <c r="G12" s="103">
        <f>INDEX('Glass CLF Calculation'!$A$4:$G$11,MATCH('Unit 2 a'!D12,'Glass CLF Calculation'!$A$4:$A$11,0),7)</f>
        <v>12.953999999999999</v>
      </c>
      <c r="H12" s="16" t="s">
        <v>6</v>
      </c>
      <c r="I12" s="65">
        <f t="shared" si="13"/>
        <v>0</v>
      </c>
      <c r="J12" s="68">
        <f t="shared" si="14"/>
        <v>0</v>
      </c>
      <c r="K12" s="66" t="str">
        <f>IF(K$7="","",IF(INDEX('Rooms Walls and Glass'!$D$3:$AB$17, MATCH($D12,'Rooms Walls and Glass'!$A$3:$A$17,0), MATCH('Unit 2 a'!K$7,'Rooms Walls and Glass'!$D$1:$AB$1,0))=0,"",INDEX('Rooms Walls and Glass'!$D$3:$AB$17, MATCH($D12,'Rooms Walls and Glass'!$A$3:$A$17,0), MATCH('Unit 2 a'!K$7,'Rooms Walls and Glass'!$D$1:$AB$1,0))))</f>
        <v/>
      </c>
      <c r="L12" s="68" t="str">
        <f t="shared" si="15"/>
        <v>-</v>
      </c>
      <c r="M12" s="66" t="str">
        <f>IF(M$7="","",IF(INDEX('Rooms Walls and Glass'!$D$3:$AB$17, MATCH($D12,'Rooms Walls and Glass'!$A$3:$A$17,0), MATCH('Unit 2 a'!M$7,'Rooms Walls and Glass'!$D$1:$AB$1,0))=0,"",INDEX('Rooms Walls and Glass'!$D$3:$AB$17, MATCH($D12,'Rooms Walls and Glass'!$A$3:$A$17,0), MATCH('Unit 2 a'!M$7,'Rooms Walls and Glass'!$D$1:$AB$1,0))))</f>
        <v/>
      </c>
      <c r="N12" s="68" t="str">
        <f t="shared" si="16"/>
        <v>-</v>
      </c>
      <c r="O12" s="66" t="str">
        <f>IF(O$7="","",IF(INDEX('Rooms Walls and Glass'!$D$3:$AB$17, MATCH($D12,'Rooms Walls and Glass'!$A$3:$A$17,0), MATCH('Unit 2 a'!O$7,'Rooms Walls and Glass'!$D$1:$AB$1,0))=0,"",INDEX('Rooms Walls and Glass'!$D$3:$AB$17, MATCH($D12,'Rooms Walls and Glass'!$A$3:$A$17,0), MATCH('Unit 2 a'!O$7,'Rooms Walls and Glass'!$D$1:$AB$1,0))))</f>
        <v/>
      </c>
      <c r="P12" s="68" t="str">
        <f t="shared" si="17"/>
        <v>-</v>
      </c>
      <c r="Q12" s="66" t="str">
        <f>IF(Q$7="","",IF(INDEX('Rooms Walls and Glass'!$D$3:$AB$17, MATCH($D12,'Rooms Walls and Glass'!$A$3:$A$17,0), MATCH('Unit 2 a'!Q$7,'Rooms Walls and Glass'!$D$1:$AB$1,0))=0,"",INDEX('Rooms Walls and Glass'!$D$3:$AB$17, MATCH($D12,'Rooms Walls and Glass'!$A$3:$A$17,0), MATCH('Unit 2 a'!Q$7,'Rooms Walls and Glass'!$D$1:$AB$1,0))))</f>
        <v/>
      </c>
      <c r="R12" s="68" t="str">
        <f t="shared" si="18"/>
        <v>-</v>
      </c>
      <c r="S12" s="66" t="str">
        <f>IF(S$7="","",IF(INDEX('Rooms Walls and Glass'!$D$3:$AB$17, MATCH($D12,'Rooms Walls and Glass'!$A$3:$A$17,0), MATCH('Unit 2 a'!S$7,'Rooms Walls and Glass'!$D$1:$AB$1,0))=0,"",INDEX('Rooms Walls and Glass'!$D$3:$AB$17, MATCH($D12,'Rooms Walls and Glass'!$A$3:$A$17,0), MATCH('Unit 2 a'!S$7,'Rooms Walls and Glass'!$D$1:$AB$1,0))))</f>
        <v/>
      </c>
      <c r="T12" s="68" t="str">
        <f t="shared" si="19"/>
        <v>-</v>
      </c>
      <c r="U12" s="66" t="str">
        <f>IF(U$7="","",IF(INDEX('Rooms Walls and Glass'!$D$3:$AB$17, MATCH($D12,'Rooms Walls and Glass'!$A$3:$A$17,0), MATCH('Unit 2 a'!U$7,'Rooms Walls and Glass'!$D$1:$AB$1,0))=0,"",INDEX('Rooms Walls and Glass'!$D$3:$AB$17, MATCH($D12,'Rooms Walls and Glass'!$A$3:$A$17,0), MATCH('Unit 2 a'!U$7,'Rooms Walls and Glass'!$D$1:$AB$1,0))))</f>
        <v/>
      </c>
      <c r="V12" s="68" t="str">
        <f t="shared" si="20"/>
        <v>-</v>
      </c>
      <c r="W12" s="66" t="str">
        <f>IF(W$7="","",IF(INDEX('Rooms Walls and Glass'!$D$3:$AB$17, MATCH($D12,'Rooms Walls and Glass'!$A$3:$A$17,0), MATCH('Unit 2 a'!W$7,'Rooms Walls and Glass'!$D$1:$AB$1,0))=0,"",INDEX('Rooms Walls and Glass'!$D$3:$AB$17, MATCH($D12,'Rooms Walls and Glass'!$A$3:$A$17,0), MATCH('Unit 2 a'!W$7,'Rooms Walls and Glass'!$D$1:$AB$1,0))))</f>
        <v/>
      </c>
      <c r="X12" s="68" t="str">
        <f t="shared" si="21"/>
        <v>-</v>
      </c>
      <c r="Y12" s="66" t="str">
        <f>IF(Y$7="","",IF(INDEX('Rooms Walls and Glass'!$D$3:$AB$17, MATCH($D12,'Rooms Walls and Glass'!$A$3:$A$17,0), MATCH('Unit 2 a'!Y$7,'Rooms Walls and Glass'!$D$1:$AB$1,0))=0,"",INDEX('Rooms Walls and Glass'!$D$3:$AB$17, MATCH($D12,'Rooms Walls and Glass'!$A$3:$A$17,0), MATCH('Unit 2 a'!Y$7,'Rooms Walls and Glass'!$D$1:$AB$1,0))))</f>
        <v/>
      </c>
      <c r="Z12" s="68" t="str">
        <f t="shared" si="22"/>
        <v>-</v>
      </c>
      <c r="AA12" s="66" t="str">
        <f>IF(AA$7="","",IF(INDEX('Rooms Walls and Glass'!$D$3:$AB$17, MATCH($D12,'Rooms Walls and Glass'!$A$3:$A$17,0), MATCH('Unit 2 a'!AA$7,'Rooms Walls and Glass'!$D$1:$AB$1,0))=0,"",INDEX('Rooms Walls and Glass'!$D$3:$AB$17, MATCH($D12,'Rooms Walls and Glass'!$A$3:$A$17,0), MATCH('Unit 2 a'!AA$7,'Rooms Walls and Glass'!$D$1:$AB$1,0))))</f>
        <v/>
      </c>
      <c r="AB12" s="68" t="str">
        <f t="shared" si="23"/>
        <v>-</v>
      </c>
      <c r="AC12" s="66" t="str">
        <f>IF(AC$7="","",IF(INDEX('Rooms Walls and Glass'!$D$3:$AB$17, MATCH($D12,'Rooms Walls and Glass'!$A$3:$A$17,0), MATCH('Unit 2 a'!AC$7,'Rooms Walls and Glass'!$D$1:$AB$1,0))=0,"",INDEX('Rooms Walls and Glass'!$D$3:$AB$17, MATCH($D12,'Rooms Walls and Glass'!$A$3:$A$17,0), MATCH('Unit 2 a'!AC$7,'Rooms Walls and Glass'!$D$1:$AB$1,0))))</f>
        <v/>
      </c>
      <c r="AD12" s="68" t="str">
        <f t="shared" si="24"/>
        <v>-</v>
      </c>
      <c r="AE12" s="66" t="str">
        <f>IF(AE$7="","",IF(INDEX('Rooms Walls and Glass'!$D$3:$AB$17, MATCH($D12,'Rooms Walls and Glass'!$A$3:$A$17,0), MATCH('Unit 2 a'!AE$7,'Rooms Walls and Glass'!$D$1:$AB$1,0))=0,"",INDEX('Rooms Walls and Glass'!$D$3:$AB$17, MATCH($D12,'Rooms Walls and Glass'!$A$3:$A$17,0), MATCH('Unit 2 a'!AE$7,'Rooms Walls and Glass'!$D$1:$AB$1,0))))</f>
        <v/>
      </c>
      <c r="AF12" s="68" t="str">
        <f t="shared" si="24"/>
        <v>-</v>
      </c>
      <c r="AG12" s="66" t="str">
        <f>IF(AG$7="","",IF(INDEX('Rooms Walls and Glass'!$D$3:$AB$17, MATCH($D12,'Rooms Walls and Glass'!$A$3:$A$17,0), MATCH('Unit 2 a'!AG$7,'Rooms Walls and Glass'!$D$1:$AB$1,0))=0,"",INDEX('Rooms Walls and Glass'!$D$3:$AB$17, MATCH($D12,'Rooms Walls and Glass'!$A$3:$A$17,0), MATCH('Unit 2 a'!AG$7,'Rooms Walls and Glass'!$D$1:$AB$1,0))))</f>
        <v/>
      </c>
      <c r="AH12" s="68" t="str">
        <f t="shared" si="25"/>
        <v>-</v>
      </c>
      <c r="AI12" s="66" t="str">
        <f>IF(AI$7="","",IF(INDEX('Rooms Walls and Glass'!$D$3:$AB$17, MATCH($D12,'Rooms Walls and Glass'!$A$3:$A$17,0), MATCH('Unit 2 a'!AI$7,'Rooms Walls and Glass'!$D$1:$AB$1,0))=0,"",INDEX('Rooms Walls and Glass'!$D$3:$AB$17, MATCH($D12,'Rooms Walls and Glass'!$A$3:$A$17,0), MATCH('Unit 2 a'!AI$7,'Rooms Walls and Glass'!$D$1:$AB$1,0))))</f>
        <v/>
      </c>
      <c r="AJ12" s="69" t="str">
        <f t="shared" si="26"/>
        <v>-</v>
      </c>
      <c r="AK12" s="66" t="str">
        <f>IF(AK$7="","",IF(INDEX('Rooms Walls and Glass'!$D$3:$AB$17, MATCH($D12,'Rooms Walls and Glass'!$A$3:$A$17,0), MATCH('Unit 2 a'!AK$7,'Rooms Walls and Glass'!$D$1:$AB$1,0))=0,"",INDEX('Rooms Walls and Glass'!$D$3:$AB$17, MATCH($D12,'Rooms Walls and Glass'!$A$3:$A$17,0), MATCH('Unit 2 a'!AK$7,'Rooms Walls and Glass'!$D$1:$AB$1,0))))</f>
        <v/>
      </c>
      <c r="AL12" s="68" t="str">
        <f t="shared" si="27"/>
        <v>-</v>
      </c>
      <c r="AM12" s="66" t="str">
        <f>IF(AM$7="","",IF(INDEX('Rooms Walls and Glass'!$D$3:$AB$17, MATCH($D12,'Rooms Walls and Glass'!$A$3:$A$17,0), MATCH('Unit 2 a'!AM$7,'Rooms Walls and Glass'!$D$1:$AB$1,0))=0,"",INDEX('Rooms Walls and Glass'!$D$3:$AB$17, MATCH($D12,'Rooms Walls and Glass'!$A$3:$A$17,0), MATCH('Unit 2 a'!AM$7,'Rooms Walls and Glass'!$D$1:$AB$1,0))))</f>
        <v/>
      </c>
      <c r="AN12" s="69" t="str">
        <f t="shared" si="28"/>
        <v>-</v>
      </c>
    </row>
    <row r="13" spans="2:40" ht="11.25" customHeight="1" thickBot="1" x14ac:dyDescent="0.2">
      <c r="B13" s="214"/>
      <c r="C13" s="15" t="s">
        <v>7</v>
      </c>
      <c r="D13" s="13" t="str">
        <f>'Rooms Walls and Glass'!A12</f>
        <v>SouthEast</v>
      </c>
      <c r="E13" s="16" t="s">
        <v>18</v>
      </c>
      <c r="F13" s="16" t="s">
        <v>13</v>
      </c>
      <c r="G13" s="103">
        <f>INDEX('Glass CLF Calculation'!$A$4:$G$11,MATCH('Unit 2 a'!D13,'Glass CLF Calculation'!$A$4:$A$11,0),7)</f>
        <v>14.271164444444445</v>
      </c>
      <c r="H13" s="16" t="s">
        <v>6</v>
      </c>
      <c r="I13" s="65">
        <f t="shared" si="13"/>
        <v>0</v>
      </c>
      <c r="J13" s="68">
        <f t="shared" si="14"/>
        <v>0</v>
      </c>
      <c r="K13" s="66" t="str">
        <f>IF(K$7="","",IF(INDEX('Rooms Walls and Glass'!$D$3:$AB$17, MATCH($D13,'Rooms Walls and Glass'!$A$3:$A$17,0), MATCH('Unit 2 a'!K$7,'Rooms Walls and Glass'!$D$1:$AB$1,0))=0,"",INDEX('Rooms Walls and Glass'!$D$3:$AB$17, MATCH($D13,'Rooms Walls and Glass'!$A$3:$A$17,0), MATCH('Unit 2 a'!K$7,'Rooms Walls and Glass'!$D$1:$AB$1,0))))</f>
        <v/>
      </c>
      <c r="L13" s="68" t="str">
        <f t="shared" si="15"/>
        <v>-</v>
      </c>
      <c r="M13" s="66" t="str">
        <f>IF(M$7="","",IF(INDEX('Rooms Walls and Glass'!$D$3:$AB$17, MATCH($D13,'Rooms Walls and Glass'!$A$3:$A$17,0), MATCH('Unit 2 a'!M$7,'Rooms Walls and Glass'!$D$1:$AB$1,0))=0,"",INDEX('Rooms Walls and Glass'!$D$3:$AB$17, MATCH($D13,'Rooms Walls and Glass'!$A$3:$A$17,0), MATCH('Unit 2 a'!M$7,'Rooms Walls and Glass'!$D$1:$AB$1,0))))</f>
        <v/>
      </c>
      <c r="N13" s="68" t="str">
        <f t="shared" si="16"/>
        <v>-</v>
      </c>
      <c r="O13" s="66" t="str">
        <f>IF(O$7="","",IF(INDEX('Rooms Walls and Glass'!$D$3:$AB$17, MATCH($D13,'Rooms Walls and Glass'!$A$3:$A$17,0), MATCH('Unit 2 a'!O$7,'Rooms Walls and Glass'!$D$1:$AB$1,0))=0,"",INDEX('Rooms Walls and Glass'!$D$3:$AB$17, MATCH($D13,'Rooms Walls and Glass'!$A$3:$A$17,0), MATCH('Unit 2 a'!O$7,'Rooms Walls and Glass'!$D$1:$AB$1,0))))</f>
        <v/>
      </c>
      <c r="P13" s="68" t="str">
        <f t="shared" si="17"/>
        <v>-</v>
      </c>
      <c r="Q13" s="66" t="str">
        <f>IF(Q$7="","",IF(INDEX('Rooms Walls and Glass'!$D$3:$AB$17, MATCH($D13,'Rooms Walls and Glass'!$A$3:$A$17,0), MATCH('Unit 2 a'!Q$7,'Rooms Walls and Glass'!$D$1:$AB$1,0))=0,"",INDEX('Rooms Walls and Glass'!$D$3:$AB$17, MATCH($D13,'Rooms Walls and Glass'!$A$3:$A$17,0), MATCH('Unit 2 a'!Q$7,'Rooms Walls and Glass'!$D$1:$AB$1,0))))</f>
        <v/>
      </c>
      <c r="R13" s="68" t="str">
        <f t="shared" si="18"/>
        <v>-</v>
      </c>
      <c r="S13" s="66" t="str">
        <f>IF(S$7="","",IF(INDEX('Rooms Walls and Glass'!$D$3:$AB$17, MATCH($D13,'Rooms Walls and Glass'!$A$3:$A$17,0), MATCH('Unit 2 a'!S$7,'Rooms Walls and Glass'!$D$1:$AB$1,0))=0,"",INDEX('Rooms Walls and Glass'!$D$3:$AB$17, MATCH($D13,'Rooms Walls and Glass'!$A$3:$A$17,0), MATCH('Unit 2 a'!S$7,'Rooms Walls and Glass'!$D$1:$AB$1,0))))</f>
        <v/>
      </c>
      <c r="T13" s="68" t="str">
        <f t="shared" si="19"/>
        <v>-</v>
      </c>
      <c r="U13" s="66" t="str">
        <f>IF(U$7="","",IF(INDEX('Rooms Walls and Glass'!$D$3:$AB$17, MATCH($D13,'Rooms Walls and Glass'!$A$3:$A$17,0), MATCH('Unit 2 a'!U$7,'Rooms Walls and Glass'!$D$1:$AB$1,0))=0,"",INDEX('Rooms Walls and Glass'!$D$3:$AB$17, MATCH($D13,'Rooms Walls and Glass'!$A$3:$A$17,0), MATCH('Unit 2 a'!U$7,'Rooms Walls and Glass'!$D$1:$AB$1,0))))</f>
        <v/>
      </c>
      <c r="V13" s="68" t="str">
        <f t="shared" si="20"/>
        <v>-</v>
      </c>
      <c r="W13" s="66" t="str">
        <f>IF(W$7="","",IF(INDEX('Rooms Walls and Glass'!$D$3:$AB$17, MATCH($D13,'Rooms Walls and Glass'!$A$3:$A$17,0), MATCH('Unit 2 a'!W$7,'Rooms Walls and Glass'!$D$1:$AB$1,0))=0,"",INDEX('Rooms Walls and Glass'!$D$3:$AB$17, MATCH($D13,'Rooms Walls and Glass'!$A$3:$A$17,0), MATCH('Unit 2 a'!W$7,'Rooms Walls and Glass'!$D$1:$AB$1,0))))</f>
        <v/>
      </c>
      <c r="X13" s="68" t="str">
        <f t="shared" si="21"/>
        <v>-</v>
      </c>
      <c r="Y13" s="66" t="str">
        <f>IF(Y$7="","",IF(INDEX('Rooms Walls and Glass'!$D$3:$AB$17, MATCH($D13,'Rooms Walls and Glass'!$A$3:$A$17,0), MATCH('Unit 2 a'!Y$7,'Rooms Walls and Glass'!$D$1:$AB$1,0))=0,"",INDEX('Rooms Walls and Glass'!$D$3:$AB$17, MATCH($D13,'Rooms Walls and Glass'!$A$3:$A$17,0), MATCH('Unit 2 a'!Y$7,'Rooms Walls and Glass'!$D$1:$AB$1,0))))</f>
        <v/>
      </c>
      <c r="Z13" s="68" t="str">
        <f t="shared" si="22"/>
        <v>-</v>
      </c>
      <c r="AA13" s="66" t="str">
        <f>IF(AA$7="","",IF(INDEX('Rooms Walls and Glass'!$D$3:$AB$17, MATCH($D13,'Rooms Walls and Glass'!$A$3:$A$17,0), MATCH('Unit 2 a'!AA$7,'Rooms Walls and Glass'!$D$1:$AB$1,0))=0,"",INDEX('Rooms Walls and Glass'!$D$3:$AB$17, MATCH($D13,'Rooms Walls and Glass'!$A$3:$A$17,0), MATCH('Unit 2 a'!AA$7,'Rooms Walls and Glass'!$D$1:$AB$1,0))))</f>
        <v/>
      </c>
      <c r="AB13" s="68" t="str">
        <f t="shared" si="23"/>
        <v>-</v>
      </c>
      <c r="AC13" s="66" t="str">
        <f>IF(AC$7="","",IF(INDEX('Rooms Walls and Glass'!$D$3:$AB$17, MATCH($D13,'Rooms Walls and Glass'!$A$3:$A$17,0), MATCH('Unit 2 a'!AC$7,'Rooms Walls and Glass'!$D$1:$AB$1,0))=0,"",INDEX('Rooms Walls and Glass'!$D$3:$AB$17, MATCH($D13,'Rooms Walls and Glass'!$A$3:$A$17,0), MATCH('Unit 2 a'!AC$7,'Rooms Walls and Glass'!$D$1:$AB$1,0))))</f>
        <v/>
      </c>
      <c r="AD13" s="68" t="str">
        <f t="shared" si="24"/>
        <v>-</v>
      </c>
      <c r="AE13" s="66" t="str">
        <f>IF(AE$7="","",IF(INDEX('Rooms Walls and Glass'!$D$3:$AB$17, MATCH($D13,'Rooms Walls and Glass'!$A$3:$A$17,0), MATCH('Unit 2 a'!AE$7,'Rooms Walls and Glass'!$D$1:$AB$1,0))=0,"",INDEX('Rooms Walls and Glass'!$D$3:$AB$17, MATCH($D13,'Rooms Walls and Glass'!$A$3:$A$17,0), MATCH('Unit 2 a'!AE$7,'Rooms Walls and Glass'!$D$1:$AB$1,0))))</f>
        <v/>
      </c>
      <c r="AF13" s="68" t="str">
        <f t="shared" si="24"/>
        <v>-</v>
      </c>
      <c r="AG13" s="66" t="str">
        <f>IF(AG$7="","",IF(INDEX('Rooms Walls and Glass'!$D$3:$AB$17, MATCH($D13,'Rooms Walls and Glass'!$A$3:$A$17,0), MATCH('Unit 2 a'!AG$7,'Rooms Walls and Glass'!$D$1:$AB$1,0))=0,"",INDEX('Rooms Walls and Glass'!$D$3:$AB$17, MATCH($D13,'Rooms Walls and Glass'!$A$3:$A$17,0), MATCH('Unit 2 a'!AG$7,'Rooms Walls and Glass'!$D$1:$AB$1,0))))</f>
        <v/>
      </c>
      <c r="AH13" s="68" t="str">
        <f t="shared" si="25"/>
        <v>-</v>
      </c>
      <c r="AI13" s="66" t="str">
        <f>IF(AI$7="","",IF(INDEX('Rooms Walls and Glass'!$D$3:$AB$17, MATCH($D13,'Rooms Walls and Glass'!$A$3:$A$17,0), MATCH('Unit 2 a'!AI$7,'Rooms Walls and Glass'!$D$1:$AB$1,0))=0,"",INDEX('Rooms Walls and Glass'!$D$3:$AB$17, MATCH($D13,'Rooms Walls and Glass'!$A$3:$A$17,0), MATCH('Unit 2 a'!AI$7,'Rooms Walls and Glass'!$D$1:$AB$1,0))))</f>
        <v/>
      </c>
      <c r="AJ13" s="69" t="str">
        <f t="shared" si="26"/>
        <v>-</v>
      </c>
      <c r="AK13" s="66" t="str">
        <f>IF(AK$7="","",IF(INDEX('Rooms Walls and Glass'!$D$3:$AB$17, MATCH($D13,'Rooms Walls and Glass'!$A$3:$A$17,0), MATCH('Unit 2 a'!AK$7,'Rooms Walls and Glass'!$D$1:$AB$1,0))=0,"",INDEX('Rooms Walls and Glass'!$D$3:$AB$17, MATCH($D13,'Rooms Walls and Glass'!$A$3:$A$17,0), MATCH('Unit 2 a'!AK$7,'Rooms Walls and Glass'!$D$1:$AB$1,0))))</f>
        <v/>
      </c>
      <c r="AL13" s="68" t="str">
        <f t="shared" si="27"/>
        <v>-</v>
      </c>
      <c r="AM13" s="66" t="str">
        <f>IF(AM$7="","",IF(INDEX('Rooms Walls and Glass'!$D$3:$AB$17, MATCH($D13,'Rooms Walls and Glass'!$A$3:$A$17,0), MATCH('Unit 2 a'!AM$7,'Rooms Walls and Glass'!$D$1:$AB$1,0))=0,"",INDEX('Rooms Walls and Glass'!$D$3:$AB$17, MATCH($D13,'Rooms Walls and Glass'!$A$3:$A$17,0), MATCH('Unit 2 a'!AM$7,'Rooms Walls and Glass'!$D$1:$AB$1,0))))</f>
        <v/>
      </c>
      <c r="AN13" s="69" t="str">
        <f t="shared" si="28"/>
        <v>-</v>
      </c>
    </row>
    <row r="14" spans="2:40" ht="11.25" customHeight="1" thickBot="1" x14ac:dyDescent="0.2">
      <c r="B14" s="214"/>
      <c r="C14" s="15" t="s">
        <v>7</v>
      </c>
      <c r="D14" s="13" t="str">
        <f>'Rooms Walls and Glass'!A13</f>
        <v>South</v>
      </c>
      <c r="E14" s="16"/>
      <c r="F14" s="16" t="s">
        <v>14</v>
      </c>
      <c r="G14" s="103">
        <f>INDEX('Glass CLF Calculation'!$A$4:$G$11,MATCH('Unit 2 a'!D14,'Glass CLF Calculation'!$A$4:$A$11,0),7)</f>
        <v>15.869088</v>
      </c>
      <c r="H14" s="16" t="s">
        <v>6</v>
      </c>
      <c r="I14" s="65">
        <f t="shared" si="13"/>
        <v>0</v>
      </c>
      <c r="J14" s="68">
        <f t="shared" si="14"/>
        <v>0</v>
      </c>
      <c r="K14" s="66" t="str">
        <f>IF(K$7="","",IF(INDEX('Rooms Walls and Glass'!$D$3:$AB$17, MATCH($D14,'Rooms Walls and Glass'!$A$3:$A$17,0), MATCH('Unit 2 a'!K$7,'Rooms Walls and Glass'!$D$1:$AB$1,0))=0,"",INDEX('Rooms Walls and Glass'!$D$3:$AB$17, MATCH($D14,'Rooms Walls and Glass'!$A$3:$A$17,0), MATCH('Unit 2 a'!K$7,'Rooms Walls and Glass'!$D$1:$AB$1,0))))</f>
        <v/>
      </c>
      <c r="L14" s="68" t="str">
        <f t="shared" si="15"/>
        <v>-</v>
      </c>
      <c r="M14" s="66" t="str">
        <f>IF(M$7="","",IF(INDEX('Rooms Walls and Glass'!$D$3:$AB$17, MATCH($D14,'Rooms Walls and Glass'!$A$3:$A$17,0), MATCH('Unit 2 a'!M$7,'Rooms Walls and Glass'!$D$1:$AB$1,0))=0,"",INDEX('Rooms Walls and Glass'!$D$3:$AB$17, MATCH($D14,'Rooms Walls and Glass'!$A$3:$A$17,0), MATCH('Unit 2 a'!M$7,'Rooms Walls and Glass'!$D$1:$AB$1,0))))</f>
        <v/>
      </c>
      <c r="N14" s="68" t="str">
        <f t="shared" si="16"/>
        <v>-</v>
      </c>
      <c r="O14" s="66" t="str">
        <f>IF(O$7="","",IF(INDEX('Rooms Walls and Glass'!$D$3:$AB$17, MATCH($D14,'Rooms Walls and Glass'!$A$3:$A$17,0), MATCH('Unit 2 a'!O$7,'Rooms Walls and Glass'!$D$1:$AB$1,0))=0,"",INDEX('Rooms Walls and Glass'!$D$3:$AB$17, MATCH($D14,'Rooms Walls and Glass'!$A$3:$A$17,0), MATCH('Unit 2 a'!O$7,'Rooms Walls and Glass'!$D$1:$AB$1,0))))</f>
        <v/>
      </c>
      <c r="P14" s="68" t="str">
        <f t="shared" si="17"/>
        <v>-</v>
      </c>
      <c r="Q14" s="66" t="str">
        <f>IF(Q$7="","",IF(INDEX('Rooms Walls and Glass'!$D$3:$AB$17, MATCH($D14,'Rooms Walls and Glass'!$A$3:$A$17,0), MATCH('Unit 2 a'!Q$7,'Rooms Walls and Glass'!$D$1:$AB$1,0))=0,"",INDEX('Rooms Walls and Glass'!$D$3:$AB$17, MATCH($D14,'Rooms Walls and Glass'!$A$3:$A$17,0), MATCH('Unit 2 a'!Q$7,'Rooms Walls and Glass'!$D$1:$AB$1,0))))</f>
        <v/>
      </c>
      <c r="R14" s="68" t="str">
        <f t="shared" si="18"/>
        <v>-</v>
      </c>
      <c r="S14" s="66" t="str">
        <f>IF(S$7="","",IF(INDEX('Rooms Walls and Glass'!$D$3:$AB$17, MATCH($D14,'Rooms Walls and Glass'!$A$3:$A$17,0), MATCH('Unit 2 a'!S$7,'Rooms Walls and Glass'!$D$1:$AB$1,0))=0,"",INDEX('Rooms Walls and Glass'!$D$3:$AB$17, MATCH($D14,'Rooms Walls and Glass'!$A$3:$A$17,0), MATCH('Unit 2 a'!S$7,'Rooms Walls and Glass'!$D$1:$AB$1,0))))</f>
        <v/>
      </c>
      <c r="T14" s="68" t="str">
        <f t="shared" si="19"/>
        <v>-</v>
      </c>
      <c r="U14" s="66" t="str">
        <f>IF(U$7="","",IF(INDEX('Rooms Walls and Glass'!$D$3:$AB$17, MATCH($D14,'Rooms Walls and Glass'!$A$3:$A$17,0), MATCH('Unit 2 a'!U$7,'Rooms Walls and Glass'!$D$1:$AB$1,0))=0,"",INDEX('Rooms Walls and Glass'!$D$3:$AB$17, MATCH($D14,'Rooms Walls and Glass'!$A$3:$A$17,0), MATCH('Unit 2 a'!U$7,'Rooms Walls and Glass'!$D$1:$AB$1,0))))</f>
        <v/>
      </c>
      <c r="V14" s="68" t="str">
        <f t="shared" si="20"/>
        <v>-</v>
      </c>
      <c r="W14" s="66" t="str">
        <f>IF(W$7="","",IF(INDEX('Rooms Walls and Glass'!$D$3:$AB$17, MATCH($D14,'Rooms Walls and Glass'!$A$3:$A$17,0), MATCH('Unit 2 a'!W$7,'Rooms Walls and Glass'!$D$1:$AB$1,0))=0,"",INDEX('Rooms Walls and Glass'!$D$3:$AB$17, MATCH($D14,'Rooms Walls and Glass'!$A$3:$A$17,0), MATCH('Unit 2 a'!W$7,'Rooms Walls and Glass'!$D$1:$AB$1,0))))</f>
        <v/>
      </c>
      <c r="X14" s="68" t="str">
        <f t="shared" si="21"/>
        <v>-</v>
      </c>
      <c r="Y14" s="66" t="str">
        <f>IF(Y$7="","",IF(INDEX('Rooms Walls and Glass'!$D$3:$AB$17, MATCH($D14,'Rooms Walls and Glass'!$A$3:$A$17,0), MATCH('Unit 2 a'!Y$7,'Rooms Walls and Glass'!$D$1:$AB$1,0))=0,"",INDEX('Rooms Walls and Glass'!$D$3:$AB$17, MATCH($D14,'Rooms Walls and Glass'!$A$3:$A$17,0), MATCH('Unit 2 a'!Y$7,'Rooms Walls and Glass'!$D$1:$AB$1,0))))</f>
        <v/>
      </c>
      <c r="Z14" s="68" t="str">
        <f t="shared" si="22"/>
        <v>-</v>
      </c>
      <c r="AA14" s="66" t="str">
        <f>IF(AA$7="","",IF(INDEX('Rooms Walls and Glass'!$D$3:$AB$17, MATCH($D14,'Rooms Walls and Glass'!$A$3:$A$17,0), MATCH('Unit 2 a'!AA$7,'Rooms Walls and Glass'!$D$1:$AB$1,0))=0,"",INDEX('Rooms Walls and Glass'!$D$3:$AB$17, MATCH($D14,'Rooms Walls and Glass'!$A$3:$A$17,0), MATCH('Unit 2 a'!AA$7,'Rooms Walls and Glass'!$D$1:$AB$1,0))))</f>
        <v/>
      </c>
      <c r="AB14" s="68" t="str">
        <f t="shared" si="23"/>
        <v>-</v>
      </c>
      <c r="AC14" s="66" t="str">
        <f>IF(AC$7="","",IF(INDEX('Rooms Walls and Glass'!$D$3:$AB$17, MATCH($D14,'Rooms Walls and Glass'!$A$3:$A$17,0), MATCH('Unit 2 a'!AC$7,'Rooms Walls and Glass'!$D$1:$AB$1,0))=0,"",INDEX('Rooms Walls and Glass'!$D$3:$AB$17, MATCH($D14,'Rooms Walls and Glass'!$A$3:$A$17,0), MATCH('Unit 2 a'!AC$7,'Rooms Walls and Glass'!$D$1:$AB$1,0))))</f>
        <v/>
      </c>
      <c r="AD14" s="68" t="str">
        <f t="shared" si="24"/>
        <v>-</v>
      </c>
      <c r="AE14" s="66" t="str">
        <f>IF(AE$7="","",IF(INDEX('Rooms Walls and Glass'!$D$3:$AB$17, MATCH($D14,'Rooms Walls and Glass'!$A$3:$A$17,0), MATCH('Unit 2 a'!AE$7,'Rooms Walls and Glass'!$D$1:$AB$1,0))=0,"",INDEX('Rooms Walls and Glass'!$D$3:$AB$17, MATCH($D14,'Rooms Walls and Glass'!$A$3:$A$17,0), MATCH('Unit 2 a'!AE$7,'Rooms Walls and Glass'!$D$1:$AB$1,0))))</f>
        <v/>
      </c>
      <c r="AF14" s="68" t="str">
        <f t="shared" si="24"/>
        <v>-</v>
      </c>
      <c r="AG14" s="66" t="str">
        <f>IF(AG$7="","",IF(INDEX('Rooms Walls and Glass'!$D$3:$AB$17, MATCH($D14,'Rooms Walls and Glass'!$A$3:$A$17,0), MATCH('Unit 2 a'!AG$7,'Rooms Walls and Glass'!$D$1:$AB$1,0))=0,"",INDEX('Rooms Walls and Glass'!$D$3:$AB$17, MATCH($D14,'Rooms Walls and Glass'!$A$3:$A$17,0), MATCH('Unit 2 a'!AG$7,'Rooms Walls and Glass'!$D$1:$AB$1,0))))</f>
        <v/>
      </c>
      <c r="AH14" s="68" t="str">
        <f t="shared" si="25"/>
        <v>-</v>
      </c>
      <c r="AI14" s="66" t="str">
        <f>IF(AI$7="","",IF(INDEX('Rooms Walls and Glass'!$D$3:$AB$17, MATCH($D14,'Rooms Walls and Glass'!$A$3:$A$17,0), MATCH('Unit 2 a'!AI$7,'Rooms Walls and Glass'!$D$1:$AB$1,0))=0,"",INDEX('Rooms Walls and Glass'!$D$3:$AB$17, MATCH($D14,'Rooms Walls and Glass'!$A$3:$A$17,0), MATCH('Unit 2 a'!AI$7,'Rooms Walls and Glass'!$D$1:$AB$1,0))))</f>
        <v/>
      </c>
      <c r="AJ14" s="69" t="str">
        <f t="shared" si="26"/>
        <v>-</v>
      </c>
      <c r="AK14" s="66" t="str">
        <f>IF(AK$7="","",IF(INDEX('Rooms Walls and Glass'!$D$3:$AB$17, MATCH($D14,'Rooms Walls and Glass'!$A$3:$A$17,0), MATCH('Unit 2 a'!AK$7,'Rooms Walls and Glass'!$D$1:$AB$1,0))=0,"",INDEX('Rooms Walls and Glass'!$D$3:$AB$17, MATCH($D14,'Rooms Walls and Glass'!$A$3:$A$17,0), MATCH('Unit 2 a'!AK$7,'Rooms Walls and Glass'!$D$1:$AB$1,0))))</f>
        <v/>
      </c>
      <c r="AL14" s="68" t="str">
        <f t="shared" si="27"/>
        <v>-</v>
      </c>
      <c r="AM14" s="66" t="str">
        <f>IF(AM$7="","",IF(INDEX('Rooms Walls and Glass'!$D$3:$AB$17, MATCH($D14,'Rooms Walls and Glass'!$A$3:$A$17,0), MATCH('Unit 2 a'!AM$7,'Rooms Walls and Glass'!$D$1:$AB$1,0))=0,"",INDEX('Rooms Walls and Glass'!$D$3:$AB$17, MATCH($D14,'Rooms Walls and Glass'!$A$3:$A$17,0), MATCH('Unit 2 a'!AM$7,'Rooms Walls and Glass'!$D$1:$AB$1,0))))</f>
        <v/>
      </c>
      <c r="AN14" s="69" t="str">
        <f t="shared" si="28"/>
        <v>-</v>
      </c>
    </row>
    <row r="15" spans="2:40" ht="11.25" customHeight="1" thickBot="1" x14ac:dyDescent="0.2">
      <c r="B15" s="214"/>
      <c r="C15" s="15" t="s">
        <v>7</v>
      </c>
      <c r="D15" s="13" t="str">
        <f>'Rooms Walls and Glass'!A14</f>
        <v>SouthWest</v>
      </c>
      <c r="E15" s="16" t="s">
        <v>19</v>
      </c>
      <c r="F15" s="16" t="s">
        <v>15</v>
      </c>
      <c r="G15" s="103">
        <f>INDEX('Glass CLF Calculation'!$A$4:$G$11,MATCH('Unit 2 a'!D15,'Glass CLF Calculation'!$A$4:$A$11,0),7)</f>
        <v>26.22</v>
      </c>
      <c r="H15" s="16" t="s">
        <v>6</v>
      </c>
      <c r="I15" s="65">
        <f t="shared" si="13"/>
        <v>0</v>
      </c>
      <c r="J15" s="68">
        <f t="shared" si="14"/>
        <v>0</v>
      </c>
      <c r="K15" s="66" t="str">
        <f>IF(K$7="","",IF(INDEX('Rooms Walls and Glass'!$D$3:$AB$17, MATCH($D15,'Rooms Walls and Glass'!$A$3:$A$17,0), MATCH('Unit 2 a'!K$7,'Rooms Walls and Glass'!$D$1:$AB$1,0))=0,"",INDEX('Rooms Walls and Glass'!$D$3:$AB$17, MATCH($D15,'Rooms Walls and Glass'!$A$3:$A$17,0), MATCH('Unit 2 a'!K$7,'Rooms Walls and Glass'!$D$1:$AB$1,0))))</f>
        <v/>
      </c>
      <c r="L15" s="68" t="str">
        <f t="shared" si="15"/>
        <v>-</v>
      </c>
      <c r="M15" s="66" t="str">
        <f>IF(M$7="","",IF(INDEX('Rooms Walls and Glass'!$D$3:$AB$17, MATCH($D15,'Rooms Walls and Glass'!$A$3:$A$17,0), MATCH('Unit 2 a'!M$7,'Rooms Walls and Glass'!$D$1:$AB$1,0))=0,"",INDEX('Rooms Walls and Glass'!$D$3:$AB$17, MATCH($D15,'Rooms Walls and Glass'!$A$3:$A$17,0), MATCH('Unit 2 a'!M$7,'Rooms Walls and Glass'!$D$1:$AB$1,0))))</f>
        <v/>
      </c>
      <c r="N15" s="68" t="str">
        <f t="shared" si="16"/>
        <v>-</v>
      </c>
      <c r="O15" s="66" t="str">
        <f>IF(O$7="","",IF(INDEX('Rooms Walls and Glass'!$D$3:$AB$17, MATCH($D15,'Rooms Walls and Glass'!$A$3:$A$17,0), MATCH('Unit 2 a'!O$7,'Rooms Walls and Glass'!$D$1:$AB$1,0))=0,"",INDEX('Rooms Walls and Glass'!$D$3:$AB$17, MATCH($D15,'Rooms Walls and Glass'!$A$3:$A$17,0), MATCH('Unit 2 a'!O$7,'Rooms Walls and Glass'!$D$1:$AB$1,0))))</f>
        <v/>
      </c>
      <c r="P15" s="68" t="str">
        <f t="shared" si="17"/>
        <v>-</v>
      </c>
      <c r="Q15" s="66" t="str">
        <f>IF(Q$7="","",IF(INDEX('Rooms Walls and Glass'!$D$3:$AB$17, MATCH($D15,'Rooms Walls and Glass'!$A$3:$A$17,0), MATCH('Unit 2 a'!Q$7,'Rooms Walls and Glass'!$D$1:$AB$1,0))=0,"",INDEX('Rooms Walls and Glass'!$D$3:$AB$17, MATCH($D15,'Rooms Walls and Glass'!$A$3:$A$17,0), MATCH('Unit 2 a'!Q$7,'Rooms Walls and Glass'!$D$1:$AB$1,0))))</f>
        <v/>
      </c>
      <c r="R15" s="68" t="str">
        <f t="shared" si="18"/>
        <v>-</v>
      </c>
      <c r="S15" s="66" t="str">
        <f>IF(S$7="","",IF(INDEX('Rooms Walls and Glass'!$D$3:$AB$17, MATCH($D15,'Rooms Walls and Glass'!$A$3:$A$17,0), MATCH('Unit 2 a'!S$7,'Rooms Walls and Glass'!$D$1:$AB$1,0))=0,"",INDEX('Rooms Walls and Glass'!$D$3:$AB$17, MATCH($D15,'Rooms Walls and Glass'!$A$3:$A$17,0), MATCH('Unit 2 a'!S$7,'Rooms Walls and Glass'!$D$1:$AB$1,0))))</f>
        <v/>
      </c>
      <c r="T15" s="68" t="str">
        <f t="shared" si="19"/>
        <v>-</v>
      </c>
      <c r="U15" s="66" t="str">
        <f>IF(U$7="","",IF(INDEX('Rooms Walls and Glass'!$D$3:$AB$17, MATCH($D15,'Rooms Walls and Glass'!$A$3:$A$17,0), MATCH('Unit 2 a'!U$7,'Rooms Walls and Glass'!$D$1:$AB$1,0))=0,"",INDEX('Rooms Walls and Glass'!$D$3:$AB$17, MATCH($D15,'Rooms Walls and Glass'!$A$3:$A$17,0), MATCH('Unit 2 a'!U$7,'Rooms Walls and Glass'!$D$1:$AB$1,0))))</f>
        <v/>
      </c>
      <c r="V15" s="68" t="str">
        <f t="shared" si="20"/>
        <v>-</v>
      </c>
      <c r="W15" s="66" t="str">
        <f>IF(W$7="","",IF(INDEX('Rooms Walls and Glass'!$D$3:$AB$17, MATCH($D15,'Rooms Walls and Glass'!$A$3:$A$17,0), MATCH('Unit 2 a'!W$7,'Rooms Walls and Glass'!$D$1:$AB$1,0))=0,"",INDEX('Rooms Walls and Glass'!$D$3:$AB$17, MATCH($D15,'Rooms Walls and Glass'!$A$3:$A$17,0), MATCH('Unit 2 a'!W$7,'Rooms Walls and Glass'!$D$1:$AB$1,0))))</f>
        <v/>
      </c>
      <c r="X15" s="68" t="str">
        <f t="shared" si="21"/>
        <v>-</v>
      </c>
      <c r="Y15" s="66" t="str">
        <f>IF(Y$7="","",IF(INDEX('Rooms Walls and Glass'!$D$3:$AB$17, MATCH($D15,'Rooms Walls and Glass'!$A$3:$A$17,0), MATCH('Unit 2 a'!Y$7,'Rooms Walls and Glass'!$D$1:$AB$1,0))=0,"",INDEX('Rooms Walls and Glass'!$D$3:$AB$17, MATCH($D15,'Rooms Walls and Glass'!$A$3:$A$17,0), MATCH('Unit 2 a'!Y$7,'Rooms Walls and Glass'!$D$1:$AB$1,0))))</f>
        <v/>
      </c>
      <c r="Z15" s="68" t="str">
        <f t="shared" si="22"/>
        <v>-</v>
      </c>
      <c r="AA15" s="66" t="str">
        <f>IF(AA$7="","",IF(INDEX('Rooms Walls and Glass'!$D$3:$AB$17, MATCH($D15,'Rooms Walls and Glass'!$A$3:$A$17,0), MATCH('Unit 2 a'!AA$7,'Rooms Walls and Glass'!$D$1:$AB$1,0))=0,"",INDEX('Rooms Walls and Glass'!$D$3:$AB$17, MATCH($D15,'Rooms Walls and Glass'!$A$3:$A$17,0), MATCH('Unit 2 a'!AA$7,'Rooms Walls and Glass'!$D$1:$AB$1,0))))</f>
        <v/>
      </c>
      <c r="AB15" s="68" t="str">
        <f t="shared" si="23"/>
        <v>-</v>
      </c>
      <c r="AC15" s="66" t="str">
        <f>IF(AC$7="","",IF(INDEX('Rooms Walls and Glass'!$D$3:$AB$17, MATCH($D15,'Rooms Walls and Glass'!$A$3:$A$17,0), MATCH('Unit 2 a'!AC$7,'Rooms Walls and Glass'!$D$1:$AB$1,0))=0,"",INDEX('Rooms Walls and Glass'!$D$3:$AB$17, MATCH($D15,'Rooms Walls and Glass'!$A$3:$A$17,0), MATCH('Unit 2 a'!AC$7,'Rooms Walls and Glass'!$D$1:$AB$1,0))))</f>
        <v/>
      </c>
      <c r="AD15" s="68" t="str">
        <f t="shared" si="24"/>
        <v>-</v>
      </c>
      <c r="AE15" s="66" t="str">
        <f>IF(AE$7="","",IF(INDEX('Rooms Walls and Glass'!$D$3:$AB$17, MATCH($D15,'Rooms Walls and Glass'!$A$3:$A$17,0), MATCH('Unit 2 a'!AE$7,'Rooms Walls and Glass'!$D$1:$AB$1,0))=0,"",INDEX('Rooms Walls and Glass'!$D$3:$AB$17, MATCH($D15,'Rooms Walls and Glass'!$A$3:$A$17,0), MATCH('Unit 2 a'!AE$7,'Rooms Walls and Glass'!$D$1:$AB$1,0))))</f>
        <v/>
      </c>
      <c r="AF15" s="68" t="str">
        <f t="shared" si="24"/>
        <v>-</v>
      </c>
      <c r="AG15" s="66" t="str">
        <f>IF(AG$7="","",IF(INDEX('Rooms Walls and Glass'!$D$3:$AB$17, MATCH($D15,'Rooms Walls and Glass'!$A$3:$A$17,0), MATCH('Unit 2 a'!AG$7,'Rooms Walls and Glass'!$D$1:$AB$1,0))=0,"",INDEX('Rooms Walls and Glass'!$D$3:$AB$17, MATCH($D15,'Rooms Walls and Glass'!$A$3:$A$17,0), MATCH('Unit 2 a'!AG$7,'Rooms Walls and Glass'!$D$1:$AB$1,0))))</f>
        <v/>
      </c>
      <c r="AH15" s="68" t="str">
        <f t="shared" si="25"/>
        <v>-</v>
      </c>
      <c r="AI15" s="66" t="str">
        <f>IF(AI$7="","",IF(INDEX('Rooms Walls and Glass'!$D$3:$AB$17, MATCH($D15,'Rooms Walls and Glass'!$A$3:$A$17,0), MATCH('Unit 2 a'!AI$7,'Rooms Walls and Glass'!$D$1:$AB$1,0))=0,"",INDEX('Rooms Walls and Glass'!$D$3:$AB$17, MATCH($D15,'Rooms Walls and Glass'!$A$3:$A$17,0), MATCH('Unit 2 a'!AI$7,'Rooms Walls and Glass'!$D$1:$AB$1,0))))</f>
        <v/>
      </c>
      <c r="AJ15" s="69" t="str">
        <f t="shared" si="26"/>
        <v>-</v>
      </c>
      <c r="AK15" s="66" t="str">
        <f>IF(AK$7="","",IF(INDEX('Rooms Walls and Glass'!$D$3:$AB$17, MATCH($D15,'Rooms Walls and Glass'!$A$3:$A$17,0), MATCH('Unit 2 a'!AK$7,'Rooms Walls and Glass'!$D$1:$AB$1,0))=0,"",INDEX('Rooms Walls and Glass'!$D$3:$AB$17, MATCH($D15,'Rooms Walls and Glass'!$A$3:$A$17,0), MATCH('Unit 2 a'!AK$7,'Rooms Walls and Glass'!$D$1:$AB$1,0))))</f>
        <v/>
      </c>
      <c r="AL15" s="68" t="str">
        <f t="shared" si="27"/>
        <v>-</v>
      </c>
      <c r="AM15" s="66" t="str">
        <f>IF(AM$7="","",IF(INDEX('Rooms Walls and Glass'!$D$3:$AB$17, MATCH($D15,'Rooms Walls and Glass'!$A$3:$A$17,0), MATCH('Unit 2 a'!AM$7,'Rooms Walls and Glass'!$D$1:$AB$1,0))=0,"",INDEX('Rooms Walls and Glass'!$D$3:$AB$17, MATCH($D15,'Rooms Walls and Glass'!$A$3:$A$17,0), MATCH('Unit 2 a'!AM$7,'Rooms Walls and Glass'!$D$1:$AB$1,0))))</f>
        <v/>
      </c>
      <c r="AN15" s="69" t="str">
        <f t="shared" si="28"/>
        <v>-</v>
      </c>
    </row>
    <row r="16" spans="2:40" ht="11.25" customHeight="1" thickBot="1" x14ac:dyDescent="0.2">
      <c r="B16" s="214"/>
      <c r="C16" s="15" t="s">
        <v>7</v>
      </c>
      <c r="D16" s="13" t="str">
        <f>'Rooms Walls and Glass'!A15</f>
        <v>West</v>
      </c>
      <c r="E16" s="16"/>
      <c r="F16" s="16" t="s">
        <v>16</v>
      </c>
      <c r="G16" s="103">
        <f>INDEX('Glass CLF Calculation'!$A$4:$G$11,MATCH('Unit 2 a'!D16,'Glass CLF Calculation'!$A$4:$A$11,0),7)</f>
        <v>29.197724444444443</v>
      </c>
      <c r="H16" s="16" t="s">
        <v>6</v>
      </c>
      <c r="I16" s="65">
        <f t="shared" si="13"/>
        <v>0</v>
      </c>
      <c r="J16" s="68">
        <f t="shared" si="14"/>
        <v>0</v>
      </c>
      <c r="K16" s="66" t="str">
        <f>IF(K$7="","",IF(INDEX('Rooms Walls and Glass'!$D$3:$AB$17, MATCH($D16,'Rooms Walls and Glass'!$A$3:$A$17,0), MATCH('Unit 2 a'!K$7,'Rooms Walls and Glass'!$D$1:$AB$1,0))=0,"",INDEX('Rooms Walls and Glass'!$D$3:$AB$17, MATCH($D16,'Rooms Walls and Glass'!$A$3:$A$17,0), MATCH('Unit 2 a'!K$7,'Rooms Walls and Glass'!$D$1:$AB$1,0))))</f>
        <v/>
      </c>
      <c r="L16" s="68" t="str">
        <f t="shared" si="15"/>
        <v>-</v>
      </c>
      <c r="M16" s="66" t="str">
        <f>IF(M$7="","",IF(INDEX('Rooms Walls and Glass'!$D$3:$AB$17, MATCH($D16,'Rooms Walls and Glass'!$A$3:$A$17,0), MATCH('Unit 2 a'!M$7,'Rooms Walls and Glass'!$D$1:$AB$1,0))=0,"",INDEX('Rooms Walls and Glass'!$D$3:$AB$17, MATCH($D16,'Rooms Walls and Glass'!$A$3:$A$17,0), MATCH('Unit 2 a'!M$7,'Rooms Walls and Glass'!$D$1:$AB$1,0))))</f>
        <v/>
      </c>
      <c r="N16" s="68" t="str">
        <f t="shared" si="16"/>
        <v>-</v>
      </c>
      <c r="O16" s="66" t="str">
        <f>IF(O$7="","",IF(INDEX('Rooms Walls and Glass'!$D$3:$AB$17, MATCH($D16,'Rooms Walls and Glass'!$A$3:$A$17,0), MATCH('Unit 2 a'!O$7,'Rooms Walls and Glass'!$D$1:$AB$1,0))=0,"",INDEX('Rooms Walls and Glass'!$D$3:$AB$17, MATCH($D16,'Rooms Walls and Glass'!$A$3:$A$17,0), MATCH('Unit 2 a'!O$7,'Rooms Walls and Glass'!$D$1:$AB$1,0))))</f>
        <v/>
      </c>
      <c r="P16" s="68" t="str">
        <f t="shared" si="17"/>
        <v>-</v>
      </c>
      <c r="Q16" s="66" t="str">
        <f>IF(Q$7="","",IF(INDEX('Rooms Walls and Glass'!$D$3:$AB$17, MATCH($D16,'Rooms Walls and Glass'!$A$3:$A$17,0), MATCH('Unit 2 a'!Q$7,'Rooms Walls and Glass'!$D$1:$AB$1,0))=0,"",INDEX('Rooms Walls and Glass'!$D$3:$AB$17, MATCH($D16,'Rooms Walls and Glass'!$A$3:$A$17,0), MATCH('Unit 2 a'!Q$7,'Rooms Walls and Glass'!$D$1:$AB$1,0))))</f>
        <v/>
      </c>
      <c r="R16" s="68" t="str">
        <f t="shared" si="18"/>
        <v>-</v>
      </c>
      <c r="S16" s="66" t="str">
        <f>IF(S$7="","",IF(INDEX('Rooms Walls and Glass'!$D$3:$AB$17, MATCH($D16,'Rooms Walls and Glass'!$A$3:$A$17,0), MATCH('Unit 2 a'!S$7,'Rooms Walls and Glass'!$D$1:$AB$1,0))=0,"",INDEX('Rooms Walls and Glass'!$D$3:$AB$17, MATCH($D16,'Rooms Walls and Glass'!$A$3:$A$17,0), MATCH('Unit 2 a'!S$7,'Rooms Walls and Glass'!$D$1:$AB$1,0))))</f>
        <v/>
      </c>
      <c r="T16" s="68" t="str">
        <f t="shared" si="19"/>
        <v>-</v>
      </c>
      <c r="U16" s="66" t="str">
        <f>IF(U$7="","",IF(INDEX('Rooms Walls and Glass'!$D$3:$AB$17, MATCH($D16,'Rooms Walls and Glass'!$A$3:$A$17,0), MATCH('Unit 2 a'!U$7,'Rooms Walls and Glass'!$D$1:$AB$1,0))=0,"",INDEX('Rooms Walls and Glass'!$D$3:$AB$17, MATCH($D16,'Rooms Walls and Glass'!$A$3:$A$17,0), MATCH('Unit 2 a'!U$7,'Rooms Walls and Glass'!$D$1:$AB$1,0))))</f>
        <v/>
      </c>
      <c r="V16" s="68" t="str">
        <f t="shared" si="20"/>
        <v>-</v>
      </c>
      <c r="W16" s="66" t="str">
        <f>IF(W$7="","",IF(INDEX('Rooms Walls and Glass'!$D$3:$AB$17, MATCH($D16,'Rooms Walls and Glass'!$A$3:$A$17,0), MATCH('Unit 2 a'!W$7,'Rooms Walls and Glass'!$D$1:$AB$1,0))=0,"",INDEX('Rooms Walls and Glass'!$D$3:$AB$17, MATCH($D16,'Rooms Walls and Glass'!$A$3:$A$17,0), MATCH('Unit 2 a'!W$7,'Rooms Walls and Glass'!$D$1:$AB$1,0))))</f>
        <v/>
      </c>
      <c r="X16" s="68" t="str">
        <f t="shared" si="21"/>
        <v>-</v>
      </c>
      <c r="Y16" s="66" t="str">
        <f>IF(Y$7="","",IF(INDEX('Rooms Walls and Glass'!$D$3:$AB$17, MATCH($D16,'Rooms Walls and Glass'!$A$3:$A$17,0), MATCH('Unit 2 a'!Y$7,'Rooms Walls and Glass'!$D$1:$AB$1,0))=0,"",INDEX('Rooms Walls and Glass'!$D$3:$AB$17, MATCH($D16,'Rooms Walls and Glass'!$A$3:$A$17,0), MATCH('Unit 2 a'!Y$7,'Rooms Walls and Glass'!$D$1:$AB$1,0))))</f>
        <v/>
      </c>
      <c r="Z16" s="68" t="str">
        <f t="shared" si="22"/>
        <v>-</v>
      </c>
      <c r="AA16" s="66" t="str">
        <f>IF(AA$7="","",IF(INDEX('Rooms Walls and Glass'!$D$3:$AB$17, MATCH($D16,'Rooms Walls and Glass'!$A$3:$A$17,0), MATCH('Unit 2 a'!AA$7,'Rooms Walls and Glass'!$D$1:$AB$1,0))=0,"",INDEX('Rooms Walls and Glass'!$D$3:$AB$17, MATCH($D16,'Rooms Walls and Glass'!$A$3:$A$17,0), MATCH('Unit 2 a'!AA$7,'Rooms Walls and Glass'!$D$1:$AB$1,0))))</f>
        <v/>
      </c>
      <c r="AB16" s="68" t="str">
        <f t="shared" si="23"/>
        <v>-</v>
      </c>
      <c r="AC16" s="66" t="str">
        <f>IF(AC$7="","",IF(INDEX('Rooms Walls and Glass'!$D$3:$AB$17, MATCH($D16,'Rooms Walls and Glass'!$A$3:$A$17,0), MATCH('Unit 2 a'!AC$7,'Rooms Walls and Glass'!$D$1:$AB$1,0))=0,"",INDEX('Rooms Walls and Glass'!$D$3:$AB$17, MATCH($D16,'Rooms Walls and Glass'!$A$3:$A$17,0), MATCH('Unit 2 a'!AC$7,'Rooms Walls and Glass'!$D$1:$AB$1,0))))</f>
        <v/>
      </c>
      <c r="AD16" s="68" t="str">
        <f t="shared" si="24"/>
        <v>-</v>
      </c>
      <c r="AE16" s="66" t="str">
        <f>IF(AE$7="","",IF(INDEX('Rooms Walls and Glass'!$D$3:$AB$17, MATCH($D16,'Rooms Walls and Glass'!$A$3:$A$17,0), MATCH('Unit 2 a'!AE$7,'Rooms Walls and Glass'!$D$1:$AB$1,0))=0,"",INDEX('Rooms Walls and Glass'!$D$3:$AB$17, MATCH($D16,'Rooms Walls and Glass'!$A$3:$A$17,0), MATCH('Unit 2 a'!AE$7,'Rooms Walls and Glass'!$D$1:$AB$1,0))))</f>
        <v/>
      </c>
      <c r="AF16" s="68" t="str">
        <f t="shared" si="24"/>
        <v>-</v>
      </c>
      <c r="AG16" s="66" t="str">
        <f>IF(AG$7="","",IF(INDEX('Rooms Walls and Glass'!$D$3:$AB$17, MATCH($D16,'Rooms Walls and Glass'!$A$3:$A$17,0), MATCH('Unit 2 a'!AG$7,'Rooms Walls and Glass'!$D$1:$AB$1,0))=0,"",INDEX('Rooms Walls and Glass'!$D$3:$AB$17, MATCH($D16,'Rooms Walls and Glass'!$A$3:$A$17,0), MATCH('Unit 2 a'!AG$7,'Rooms Walls and Glass'!$D$1:$AB$1,0))))</f>
        <v/>
      </c>
      <c r="AH16" s="68" t="str">
        <f t="shared" si="25"/>
        <v>-</v>
      </c>
      <c r="AI16" s="66" t="str">
        <f>IF(AI$7="","",IF(INDEX('Rooms Walls and Glass'!$D$3:$AB$17, MATCH($D16,'Rooms Walls and Glass'!$A$3:$A$17,0), MATCH('Unit 2 a'!AI$7,'Rooms Walls and Glass'!$D$1:$AB$1,0))=0,"",INDEX('Rooms Walls and Glass'!$D$3:$AB$17, MATCH($D16,'Rooms Walls and Glass'!$A$3:$A$17,0), MATCH('Unit 2 a'!AI$7,'Rooms Walls and Glass'!$D$1:$AB$1,0))))</f>
        <v/>
      </c>
      <c r="AJ16" s="69" t="str">
        <f t="shared" si="26"/>
        <v>-</v>
      </c>
      <c r="AK16" s="66" t="str">
        <f>IF(AK$7="","",IF(INDEX('Rooms Walls and Glass'!$D$3:$AB$17, MATCH($D16,'Rooms Walls and Glass'!$A$3:$A$17,0), MATCH('Unit 2 a'!AK$7,'Rooms Walls and Glass'!$D$1:$AB$1,0))=0,"",INDEX('Rooms Walls and Glass'!$D$3:$AB$17, MATCH($D16,'Rooms Walls and Glass'!$A$3:$A$17,0), MATCH('Unit 2 a'!AK$7,'Rooms Walls and Glass'!$D$1:$AB$1,0))))</f>
        <v/>
      </c>
      <c r="AL16" s="68" t="str">
        <f t="shared" si="27"/>
        <v>-</v>
      </c>
      <c r="AM16" s="66" t="str">
        <f>IF(AM$7="","",IF(INDEX('Rooms Walls and Glass'!$D$3:$AB$17, MATCH($D16,'Rooms Walls and Glass'!$A$3:$A$17,0), MATCH('Unit 2 a'!AM$7,'Rooms Walls and Glass'!$D$1:$AB$1,0))=0,"",INDEX('Rooms Walls and Glass'!$D$3:$AB$17, MATCH($D16,'Rooms Walls and Glass'!$A$3:$A$17,0), MATCH('Unit 2 a'!AM$7,'Rooms Walls and Glass'!$D$1:$AB$1,0))))</f>
        <v/>
      </c>
      <c r="AN16" s="69" t="str">
        <f t="shared" si="28"/>
        <v>-</v>
      </c>
    </row>
    <row r="17" spans="2:40" ht="11.25" customHeight="1" thickBot="1" x14ac:dyDescent="0.2">
      <c r="B17" s="214"/>
      <c r="C17" s="15" t="s">
        <v>7</v>
      </c>
      <c r="D17" s="13" t="str">
        <f>'Rooms Walls and Glass'!A16</f>
        <v>Sky Light</v>
      </c>
      <c r="E17" s="16"/>
      <c r="F17" s="16"/>
      <c r="G17" s="105">
        <v>55</v>
      </c>
      <c r="H17" s="16" t="s">
        <v>6</v>
      </c>
      <c r="I17" s="65">
        <f t="shared" si="13"/>
        <v>0</v>
      </c>
      <c r="J17" s="68">
        <f t="shared" si="14"/>
        <v>0</v>
      </c>
      <c r="K17" s="66" t="str">
        <f>IF(K$7="","",IF(INDEX('Rooms Walls and Glass'!$D$3:$AB$17, MATCH($D17,'Rooms Walls and Glass'!$A$3:$A$17,0), MATCH('Unit 2 a'!K$7,'Rooms Walls and Glass'!$D$1:$AB$1,0))=0,"",INDEX('Rooms Walls and Glass'!$D$3:$AB$17, MATCH($D17,'Rooms Walls and Glass'!$A$3:$A$17,0), MATCH('Unit 2 a'!K$7,'Rooms Walls and Glass'!$D$1:$AB$1,0))))</f>
        <v/>
      </c>
      <c r="L17" s="68" t="str">
        <f t="shared" si="15"/>
        <v>-</v>
      </c>
      <c r="M17" s="66" t="str">
        <f>IF(M$7="","",IF(INDEX('Rooms Walls and Glass'!$D$3:$AB$17, MATCH($D17,'Rooms Walls and Glass'!$A$3:$A$17,0), MATCH('Unit 2 a'!M$7,'Rooms Walls and Glass'!$D$1:$AB$1,0))=0,"",INDEX('Rooms Walls and Glass'!$D$3:$AB$17, MATCH($D17,'Rooms Walls and Glass'!$A$3:$A$17,0), MATCH('Unit 2 a'!M$7,'Rooms Walls and Glass'!$D$1:$AB$1,0))))</f>
        <v/>
      </c>
      <c r="N17" s="68" t="str">
        <f t="shared" si="16"/>
        <v>-</v>
      </c>
      <c r="O17" s="66" t="str">
        <f>IF(O$7="","",IF(INDEX('Rooms Walls and Glass'!$D$3:$AB$17, MATCH($D17,'Rooms Walls and Glass'!$A$3:$A$17,0), MATCH('Unit 2 a'!O$7,'Rooms Walls and Glass'!$D$1:$AB$1,0))=0,"",INDEX('Rooms Walls and Glass'!$D$3:$AB$17, MATCH($D17,'Rooms Walls and Glass'!$A$3:$A$17,0), MATCH('Unit 2 a'!O$7,'Rooms Walls and Glass'!$D$1:$AB$1,0))))</f>
        <v/>
      </c>
      <c r="P17" s="68" t="str">
        <f t="shared" si="17"/>
        <v>-</v>
      </c>
      <c r="Q17" s="66" t="str">
        <f>IF(Q$7="","",IF(INDEX('Rooms Walls and Glass'!$D$3:$AB$17, MATCH($D17,'Rooms Walls and Glass'!$A$3:$A$17,0), MATCH('Unit 2 a'!Q$7,'Rooms Walls and Glass'!$D$1:$AB$1,0))=0,"",INDEX('Rooms Walls and Glass'!$D$3:$AB$17, MATCH($D17,'Rooms Walls and Glass'!$A$3:$A$17,0), MATCH('Unit 2 a'!Q$7,'Rooms Walls and Glass'!$D$1:$AB$1,0))))</f>
        <v/>
      </c>
      <c r="R17" s="68" t="str">
        <f t="shared" si="18"/>
        <v>-</v>
      </c>
      <c r="S17" s="66" t="str">
        <f>IF(S$7="","",IF(INDEX('Rooms Walls and Glass'!$D$3:$AB$17, MATCH($D17,'Rooms Walls and Glass'!$A$3:$A$17,0), MATCH('Unit 2 a'!S$7,'Rooms Walls and Glass'!$D$1:$AB$1,0))=0,"",INDEX('Rooms Walls and Glass'!$D$3:$AB$17, MATCH($D17,'Rooms Walls and Glass'!$A$3:$A$17,0), MATCH('Unit 2 a'!S$7,'Rooms Walls and Glass'!$D$1:$AB$1,0))))</f>
        <v/>
      </c>
      <c r="T17" s="68" t="str">
        <f t="shared" si="19"/>
        <v>-</v>
      </c>
      <c r="U17" s="66" t="str">
        <f>IF(U$7="","",IF(INDEX('Rooms Walls and Glass'!$D$3:$AB$17, MATCH($D17,'Rooms Walls and Glass'!$A$3:$A$17,0), MATCH('Unit 2 a'!U$7,'Rooms Walls and Glass'!$D$1:$AB$1,0))=0,"",INDEX('Rooms Walls and Glass'!$D$3:$AB$17, MATCH($D17,'Rooms Walls and Glass'!$A$3:$A$17,0), MATCH('Unit 2 a'!U$7,'Rooms Walls and Glass'!$D$1:$AB$1,0))))</f>
        <v/>
      </c>
      <c r="V17" s="68" t="str">
        <f t="shared" si="20"/>
        <v>-</v>
      </c>
      <c r="W17" s="66" t="str">
        <f>IF(W$7="","",IF(INDEX('Rooms Walls and Glass'!$D$3:$AB$17, MATCH($D17,'Rooms Walls and Glass'!$A$3:$A$17,0), MATCH('Unit 2 a'!W$7,'Rooms Walls and Glass'!$D$1:$AB$1,0))=0,"",INDEX('Rooms Walls and Glass'!$D$3:$AB$17, MATCH($D17,'Rooms Walls and Glass'!$A$3:$A$17,0), MATCH('Unit 2 a'!W$7,'Rooms Walls and Glass'!$D$1:$AB$1,0))))</f>
        <v/>
      </c>
      <c r="X17" s="68" t="str">
        <f t="shared" si="21"/>
        <v>-</v>
      </c>
      <c r="Y17" s="66" t="str">
        <f>IF(Y$7="","",IF(INDEX('Rooms Walls and Glass'!$D$3:$AB$17, MATCH($D17,'Rooms Walls and Glass'!$A$3:$A$17,0), MATCH('Unit 2 a'!Y$7,'Rooms Walls and Glass'!$D$1:$AB$1,0))=0,"",INDEX('Rooms Walls and Glass'!$D$3:$AB$17, MATCH($D17,'Rooms Walls and Glass'!$A$3:$A$17,0), MATCH('Unit 2 a'!Y$7,'Rooms Walls and Glass'!$D$1:$AB$1,0))))</f>
        <v/>
      </c>
      <c r="Z17" s="68" t="str">
        <f t="shared" si="22"/>
        <v>-</v>
      </c>
      <c r="AA17" s="66" t="str">
        <f>IF(AA$7="","",IF(INDEX('Rooms Walls and Glass'!$D$3:$AB$17, MATCH($D17,'Rooms Walls and Glass'!$A$3:$A$17,0), MATCH('Unit 2 a'!AA$7,'Rooms Walls and Glass'!$D$1:$AB$1,0))=0,"",INDEX('Rooms Walls and Glass'!$D$3:$AB$17, MATCH($D17,'Rooms Walls and Glass'!$A$3:$A$17,0), MATCH('Unit 2 a'!AA$7,'Rooms Walls and Glass'!$D$1:$AB$1,0))))</f>
        <v/>
      </c>
      <c r="AB17" s="68" t="str">
        <f t="shared" si="23"/>
        <v>-</v>
      </c>
      <c r="AC17" s="66" t="str">
        <f>IF(AC$7="","",IF(INDEX('Rooms Walls and Glass'!$D$3:$AB$17, MATCH($D17,'Rooms Walls and Glass'!$A$3:$A$17,0), MATCH('Unit 2 a'!AC$7,'Rooms Walls and Glass'!$D$1:$AB$1,0))=0,"",INDEX('Rooms Walls and Glass'!$D$3:$AB$17, MATCH($D17,'Rooms Walls and Glass'!$A$3:$A$17,0), MATCH('Unit 2 a'!AC$7,'Rooms Walls and Glass'!$D$1:$AB$1,0))))</f>
        <v/>
      </c>
      <c r="AD17" s="68" t="str">
        <f t="shared" si="24"/>
        <v>-</v>
      </c>
      <c r="AE17" s="66" t="str">
        <f>IF(AE$7="","",IF(INDEX('Rooms Walls and Glass'!$D$3:$AB$17, MATCH($D17,'Rooms Walls and Glass'!$A$3:$A$17,0), MATCH('Unit 2 a'!AE$7,'Rooms Walls and Glass'!$D$1:$AB$1,0))=0,"",INDEX('Rooms Walls and Glass'!$D$3:$AB$17, MATCH($D17,'Rooms Walls and Glass'!$A$3:$A$17,0), MATCH('Unit 2 a'!AE$7,'Rooms Walls and Glass'!$D$1:$AB$1,0))))</f>
        <v/>
      </c>
      <c r="AF17" s="68" t="str">
        <f t="shared" si="24"/>
        <v>-</v>
      </c>
      <c r="AG17" s="66" t="str">
        <f>IF(AG$7="","",IF(INDEX('Rooms Walls and Glass'!$D$3:$AB$17, MATCH($D17,'Rooms Walls and Glass'!$A$3:$A$17,0), MATCH('Unit 2 a'!AG$7,'Rooms Walls and Glass'!$D$1:$AB$1,0))=0,"",INDEX('Rooms Walls and Glass'!$D$3:$AB$17, MATCH($D17,'Rooms Walls and Glass'!$A$3:$A$17,0), MATCH('Unit 2 a'!AG$7,'Rooms Walls and Glass'!$D$1:$AB$1,0))))</f>
        <v/>
      </c>
      <c r="AH17" s="68" t="str">
        <f t="shared" si="25"/>
        <v>-</v>
      </c>
      <c r="AI17" s="66" t="str">
        <f>IF(AI$7="","",IF(INDEX('Rooms Walls and Glass'!$D$3:$AB$17, MATCH($D17,'Rooms Walls and Glass'!$A$3:$A$17,0), MATCH('Unit 2 a'!AI$7,'Rooms Walls and Glass'!$D$1:$AB$1,0))=0,"",INDEX('Rooms Walls and Glass'!$D$3:$AB$17, MATCH($D17,'Rooms Walls and Glass'!$A$3:$A$17,0), MATCH('Unit 2 a'!AI$7,'Rooms Walls and Glass'!$D$1:$AB$1,0))))</f>
        <v/>
      </c>
      <c r="AJ17" s="69" t="str">
        <f t="shared" si="26"/>
        <v>-</v>
      </c>
      <c r="AK17" s="66" t="str">
        <f>IF(AK$7="","",IF(INDEX('Rooms Walls and Glass'!$D$3:$AB$17, MATCH($D17,'Rooms Walls and Glass'!$A$3:$A$17,0), MATCH('Unit 2 a'!AK$7,'Rooms Walls and Glass'!$D$1:$AB$1,0))=0,"",INDEX('Rooms Walls and Glass'!$D$3:$AB$17, MATCH($D17,'Rooms Walls and Glass'!$A$3:$A$17,0), MATCH('Unit 2 a'!AK$7,'Rooms Walls and Glass'!$D$1:$AB$1,0))))</f>
        <v/>
      </c>
      <c r="AL17" s="68" t="str">
        <f t="shared" si="27"/>
        <v>-</v>
      </c>
      <c r="AM17" s="66" t="str">
        <f>IF(AM$7="","",IF(INDEX('Rooms Walls and Glass'!$D$3:$AB$17, MATCH($D17,'Rooms Walls and Glass'!$A$3:$A$17,0), MATCH('Unit 2 a'!AM$7,'Rooms Walls and Glass'!$D$1:$AB$1,0))=0,"",INDEX('Rooms Walls and Glass'!$D$3:$AB$17, MATCH($D17,'Rooms Walls and Glass'!$A$3:$A$17,0), MATCH('Unit 2 a'!AM$7,'Rooms Walls and Glass'!$D$1:$AB$1,0))))</f>
        <v/>
      </c>
      <c r="AN17" s="69" t="str">
        <f t="shared" si="28"/>
        <v>-</v>
      </c>
    </row>
    <row r="18" spans="2:40" ht="11.25" customHeight="1" thickBot="1" x14ac:dyDescent="0.2">
      <c r="B18" s="213"/>
      <c r="C18" s="17" t="s">
        <v>7</v>
      </c>
      <c r="D18" s="13" t="str">
        <f>'Rooms Walls and Glass'!A17</f>
        <v>Shaded</v>
      </c>
      <c r="E18" s="18"/>
      <c r="F18" s="18"/>
      <c r="G18" s="104">
        <f>'Glass CLF Calculation'!G5</f>
        <v>6.2012662222222215</v>
      </c>
      <c r="H18" s="18" t="s">
        <v>6</v>
      </c>
      <c r="I18" s="65">
        <f t="shared" si="13"/>
        <v>0</v>
      </c>
      <c r="J18" s="70">
        <f t="shared" si="14"/>
        <v>0</v>
      </c>
      <c r="K18" s="66" t="str">
        <f>IF(K$7="","",IF(INDEX('Rooms Walls and Glass'!$D$3:$AB$17, MATCH($D18,'Rooms Walls and Glass'!$A$3:$A$17,0), MATCH('Unit 2 a'!K$7,'Rooms Walls and Glass'!$D$1:$AB$1,0))=0,"",INDEX('Rooms Walls and Glass'!$D$3:$AB$17, MATCH($D18,'Rooms Walls and Glass'!$A$3:$A$17,0), MATCH('Unit 2 a'!K$7,'Rooms Walls and Glass'!$D$1:$AB$1,0))))</f>
        <v/>
      </c>
      <c r="L18" s="70" t="str">
        <f t="shared" si="15"/>
        <v>-</v>
      </c>
      <c r="M18" s="66" t="str">
        <f>IF(M$7="","",IF(INDEX('Rooms Walls and Glass'!$D$3:$AB$17, MATCH($D18,'Rooms Walls and Glass'!$A$3:$A$17,0), MATCH('Unit 2 a'!M$7,'Rooms Walls and Glass'!$D$1:$AB$1,0))=0,"",INDEX('Rooms Walls and Glass'!$D$3:$AB$17, MATCH($D18,'Rooms Walls and Glass'!$A$3:$A$17,0), MATCH('Unit 2 a'!M$7,'Rooms Walls and Glass'!$D$1:$AB$1,0))))</f>
        <v/>
      </c>
      <c r="N18" s="70" t="str">
        <f t="shared" si="16"/>
        <v>-</v>
      </c>
      <c r="O18" s="66" t="str">
        <f>IF(O$7="","",IF(INDEX('Rooms Walls and Glass'!$D$3:$AB$17, MATCH($D18,'Rooms Walls and Glass'!$A$3:$A$17,0), MATCH('Unit 2 a'!O$7,'Rooms Walls and Glass'!$D$1:$AB$1,0))=0,"",INDEX('Rooms Walls and Glass'!$D$3:$AB$17, MATCH($D18,'Rooms Walls and Glass'!$A$3:$A$17,0), MATCH('Unit 2 a'!O$7,'Rooms Walls and Glass'!$D$1:$AB$1,0))))</f>
        <v/>
      </c>
      <c r="P18" s="70" t="str">
        <f t="shared" si="17"/>
        <v>-</v>
      </c>
      <c r="Q18" s="66" t="str">
        <f>IF(Q$7="","",IF(INDEX('Rooms Walls and Glass'!$D$3:$AB$17, MATCH($D18,'Rooms Walls and Glass'!$A$3:$A$17,0), MATCH('Unit 2 a'!Q$7,'Rooms Walls and Glass'!$D$1:$AB$1,0))=0,"",INDEX('Rooms Walls and Glass'!$D$3:$AB$17, MATCH($D18,'Rooms Walls and Glass'!$A$3:$A$17,0), MATCH('Unit 2 a'!Q$7,'Rooms Walls and Glass'!$D$1:$AB$1,0))))</f>
        <v/>
      </c>
      <c r="R18" s="70" t="str">
        <f t="shared" si="18"/>
        <v>-</v>
      </c>
      <c r="S18" s="66" t="str">
        <f>IF(S$7="","",IF(INDEX('Rooms Walls and Glass'!$D$3:$AB$17, MATCH($D18,'Rooms Walls and Glass'!$A$3:$A$17,0), MATCH('Unit 2 a'!S$7,'Rooms Walls and Glass'!$D$1:$AB$1,0))=0,"",INDEX('Rooms Walls and Glass'!$D$3:$AB$17, MATCH($D18,'Rooms Walls and Glass'!$A$3:$A$17,0), MATCH('Unit 2 a'!S$7,'Rooms Walls and Glass'!$D$1:$AB$1,0))))</f>
        <v/>
      </c>
      <c r="T18" s="70" t="str">
        <f t="shared" si="19"/>
        <v>-</v>
      </c>
      <c r="U18" s="66" t="str">
        <f>IF(U$7="","",IF(INDEX('Rooms Walls and Glass'!$D$3:$AB$17, MATCH($D18,'Rooms Walls and Glass'!$A$3:$A$17,0), MATCH('Unit 2 a'!U$7,'Rooms Walls and Glass'!$D$1:$AB$1,0))=0,"",INDEX('Rooms Walls and Glass'!$D$3:$AB$17, MATCH($D18,'Rooms Walls and Glass'!$A$3:$A$17,0), MATCH('Unit 2 a'!U$7,'Rooms Walls and Glass'!$D$1:$AB$1,0))))</f>
        <v/>
      </c>
      <c r="V18" s="70" t="str">
        <f t="shared" si="20"/>
        <v>-</v>
      </c>
      <c r="W18" s="66" t="str">
        <f>IF(W$7="","",IF(INDEX('Rooms Walls and Glass'!$D$3:$AB$17, MATCH($D18,'Rooms Walls and Glass'!$A$3:$A$17,0), MATCH('Unit 2 a'!W$7,'Rooms Walls and Glass'!$D$1:$AB$1,0))=0,"",INDEX('Rooms Walls and Glass'!$D$3:$AB$17, MATCH($D18,'Rooms Walls and Glass'!$A$3:$A$17,0), MATCH('Unit 2 a'!W$7,'Rooms Walls and Glass'!$D$1:$AB$1,0))))</f>
        <v/>
      </c>
      <c r="X18" s="70" t="str">
        <f t="shared" si="21"/>
        <v>-</v>
      </c>
      <c r="Y18" s="66" t="str">
        <f>IF(Y$7="","",IF(INDEX('Rooms Walls and Glass'!$D$3:$AB$17, MATCH($D18,'Rooms Walls and Glass'!$A$3:$A$17,0), MATCH('Unit 2 a'!Y$7,'Rooms Walls and Glass'!$D$1:$AB$1,0))=0,"",INDEX('Rooms Walls and Glass'!$D$3:$AB$17, MATCH($D18,'Rooms Walls and Glass'!$A$3:$A$17,0), MATCH('Unit 2 a'!Y$7,'Rooms Walls and Glass'!$D$1:$AB$1,0))))</f>
        <v/>
      </c>
      <c r="Z18" s="70" t="str">
        <f t="shared" si="22"/>
        <v>-</v>
      </c>
      <c r="AA18" s="66" t="str">
        <f>IF(AA$7="","",IF(INDEX('Rooms Walls and Glass'!$D$3:$AB$17, MATCH($D18,'Rooms Walls and Glass'!$A$3:$A$17,0), MATCH('Unit 2 a'!AA$7,'Rooms Walls and Glass'!$D$1:$AB$1,0))=0,"",INDEX('Rooms Walls and Glass'!$D$3:$AB$17, MATCH($D18,'Rooms Walls and Glass'!$A$3:$A$17,0), MATCH('Unit 2 a'!AA$7,'Rooms Walls and Glass'!$D$1:$AB$1,0))))</f>
        <v/>
      </c>
      <c r="AB18" s="70" t="str">
        <f t="shared" si="23"/>
        <v>-</v>
      </c>
      <c r="AC18" s="66" t="str">
        <f>IF(AC$7="","",IF(INDEX('Rooms Walls and Glass'!$D$3:$AB$17, MATCH($D18,'Rooms Walls and Glass'!$A$3:$A$17,0), MATCH('Unit 2 a'!AC$7,'Rooms Walls and Glass'!$D$1:$AB$1,0))=0,"",INDEX('Rooms Walls and Glass'!$D$3:$AB$17, MATCH($D18,'Rooms Walls and Glass'!$A$3:$A$17,0), MATCH('Unit 2 a'!AC$7,'Rooms Walls and Glass'!$D$1:$AB$1,0))))</f>
        <v/>
      </c>
      <c r="AD18" s="70" t="str">
        <f t="shared" si="24"/>
        <v>-</v>
      </c>
      <c r="AE18" s="66" t="str">
        <f>IF(AE$7="","",IF(INDEX('Rooms Walls and Glass'!$D$3:$AB$17, MATCH($D18,'Rooms Walls and Glass'!$A$3:$A$17,0), MATCH('Unit 2 a'!AE$7,'Rooms Walls and Glass'!$D$1:$AB$1,0))=0,"",INDEX('Rooms Walls and Glass'!$D$3:$AB$17, MATCH($D18,'Rooms Walls and Glass'!$A$3:$A$17,0), MATCH('Unit 2 a'!AE$7,'Rooms Walls and Glass'!$D$1:$AB$1,0))))</f>
        <v/>
      </c>
      <c r="AF18" s="70" t="str">
        <f t="shared" si="24"/>
        <v>-</v>
      </c>
      <c r="AG18" s="66" t="str">
        <f>IF(AG$7="","",IF(INDEX('Rooms Walls and Glass'!$D$3:$AB$17, MATCH($D18,'Rooms Walls and Glass'!$A$3:$A$17,0), MATCH('Unit 2 a'!AG$7,'Rooms Walls and Glass'!$D$1:$AB$1,0))=0,"",INDEX('Rooms Walls and Glass'!$D$3:$AB$17, MATCH($D18,'Rooms Walls and Glass'!$A$3:$A$17,0), MATCH('Unit 2 a'!AG$7,'Rooms Walls and Glass'!$D$1:$AB$1,0))))</f>
        <v/>
      </c>
      <c r="AH18" s="70" t="str">
        <f t="shared" si="25"/>
        <v>-</v>
      </c>
      <c r="AI18" s="66" t="str">
        <f>IF(AI$7="","",IF(INDEX('Rooms Walls and Glass'!$D$3:$AB$17, MATCH($D18,'Rooms Walls and Glass'!$A$3:$A$17,0), MATCH('Unit 2 a'!AI$7,'Rooms Walls and Glass'!$D$1:$AB$1,0))=0,"",INDEX('Rooms Walls and Glass'!$D$3:$AB$17, MATCH($D18,'Rooms Walls and Glass'!$A$3:$A$17,0), MATCH('Unit 2 a'!AI$7,'Rooms Walls and Glass'!$D$1:$AB$1,0))))</f>
        <v/>
      </c>
      <c r="AJ18" s="71" t="str">
        <f t="shared" si="26"/>
        <v>-</v>
      </c>
      <c r="AK18" s="66" t="str">
        <f>IF(AK$7="","",IF(INDEX('Rooms Walls and Glass'!$D$3:$AB$17, MATCH($D18,'Rooms Walls and Glass'!$A$3:$A$17,0), MATCH('Unit 2 a'!AK$7,'Rooms Walls and Glass'!$D$1:$AB$1,0))=0,"",INDEX('Rooms Walls and Glass'!$D$3:$AB$17, MATCH($D18,'Rooms Walls and Glass'!$A$3:$A$17,0), MATCH('Unit 2 a'!AK$7,'Rooms Walls and Glass'!$D$1:$AB$1,0))))</f>
        <v/>
      </c>
      <c r="AL18" s="70" t="str">
        <f t="shared" si="27"/>
        <v>-</v>
      </c>
      <c r="AM18" s="66" t="str">
        <f>IF(AM$7="","",IF(INDEX('Rooms Walls and Glass'!$D$3:$AB$17, MATCH($D18,'Rooms Walls and Glass'!$A$3:$A$17,0), MATCH('Unit 2 a'!AM$7,'Rooms Walls and Glass'!$D$1:$AB$1,0))=0,"",INDEX('Rooms Walls and Glass'!$D$3:$AB$17, MATCH($D18,'Rooms Walls and Glass'!$A$3:$A$17,0), MATCH('Unit 2 a'!AM$7,'Rooms Walls and Glass'!$D$1:$AB$1,0))))</f>
        <v/>
      </c>
      <c r="AN18" s="71" t="str">
        <f t="shared" si="28"/>
        <v>-</v>
      </c>
    </row>
    <row r="19" spans="2:40" ht="11.25" customHeight="1" thickBot="1" x14ac:dyDescent="0.2">
      <c r="B19" s="212" t="s">
        <v>37</v>
      </c>
      <c r="C19" s="12" t="s">
        <v>33</v>
      </c>
      <c r="D19" s="13" t="s">
        <v>237</v>
      </c>
      <c r="E19" s="13">
        <f>INDEX('Glass CLF Calculation'!$A$17:$G$18,MATCH('Unit 2 a'!C19,'Glass CLF Calculation'!$A$17:$A$18,0),7)</f>
        <v>21</v>
      </c>
      <c r="F19" s="14">
        <f>INDEX(Summary!$F$19:$F$30,MATCH('Unit 2 a'!C19,Summary!$D$19:$D$30,0))</f>
        <v>0.5</v>
      </c>
      <c r="G19" s="14">
        <f>F19*E19</f>
        <v>10.5</v>
      </c>
      <c r="H19" s="13" t="s">
        <v>6</v>
      </c>
      <c r="I19" s="65">
        <f t="shared" si="13"/>
        <v>0</v>
      </c>
      <c r="J19" s="65">
        <f t="shared" si="14"/>
        <v>0</v>
      </c>
      <c r="K19" s="66" t="str">
        <f>IF(K$7="","",IF(INDEX('Rooms Walls and Glass'!$D$8:$AB$19, MATCH($D19,'Rooms Walls and Glass'!$A$8:$A$19,0), MATCH('Unit 2 a'!K$7,'Rooms Walls and Glass'!$D$1:$AB$1,0))=0,"",INDEX('Rooms Walls and Glass'!$D$8:$AB$19, MATCH($D19,'Rooms Walls and Glass'!$A$8:$A$19,0), MATCH('Unit 2 a'!K$7,'Rooms Walls and Glass'!$D$1:$AB$1,0))))</f>
        <v/>
      </c>
      <c r="L19" s="65" t="str">
        <f t="shared" si="15"/>
        <v>-</v>
      </c>
      <c r="M19" s="66" t="str">
        <f>IF(M$7="","",IF(INDEX('Rooms Walls and Glass'!$D$8:$AB$19, MATCH($D19,'Rooms Walls and Glass'!$A$8:$A$19,0), MATCH('Unit 2 a'!M$7,'Rooms Walls and Glass'!$D$1:$AB$1,0))=0,"",INDEX('Rooms Walls and Glass'!$D$8:$AB$19, MATCH($D19,'Rooms Walls and Glass'!$A$8:$A$19,0), MATCH('Unit 2 a'!M$7,'Rooms Walls and Glass'!$D$1:$AB$1,0))))</f>
        <v/>
      </c>
      <c r="N19" s="65" t="str">
        <f t="shared" si="16"/>
        <v>-</v>
      </c>
      <c r="O19" s="66" t="str">
        <f>IF(O$7="","",IF(INDEX('Rooms Walls and Glass'!$D$8:$AB$19, MATCH($D19,'Rooms Walls and Glass'!$A$8:$A$19,0), MATCH('Unit 2 a'!O$7,'Rooms Walls and Glass'!$D$1:$AB$1,0))=0,"",INDEX('Rooms Walls and Glass'!$D$8:$AB$19, MATCH($D19,'Rooms Walls and Glass'!$A$8:$A$19,0), MATCH('Unit 2 a'!O$7,'Rooms Walls and Glass'!$D$1:$AB$1,0))))</f>
        <v/>
      </c>
      <c r="P19" s="65" t="str">
        <f t="shared" si="17"/>
        <v>-</v>
      </c>
      <c r="Q19" s="66" t="str">
        <f>IF(Q$7="","",IF(INDEX('Rooms Walls and Glass'!$D$8:$AB$19, MATCH($D19,'Rooms Walls and Glass'!$A$8:$A$19,0), MATCH('Unit 2 a'!Q$7,'Rooms Walls and Glass'!$D$1:$AB$1,0))=0,"",INDEX('Rooms Walls and Glass'!$D$8:$AB$19, MATCH($D19,'Rooms Walls and Glass'!$A$8:$A$19,0), MATCH('Unit 2 a'!Q$7,'Rooms Walls and Glass'!$D$1:$AB$1,0))))</f>
        <v/>
      </c>
      <c r="R19" s="65" t="str">
        <f t="shared" si="18"/>
        <v>-</v>
      </c>
      <c r="S19" s="66" t="str">
        <f>IF(S$7="","",IF(INDEX('Rooms Walls and Glass'!$D$8:$AB$19, MATCH($D19,'Rooms Walls and Glass'!$A$8:$A$19,0), MATCH('Unit 2 a'!S$7,'Rooms Walls and Glass'!$D$1:$AB$1,0))=0,"",INDEX('Rooms Walls and Glass'!$D$8:$AB$19, MATCH($D19,'Rooms Walls and Glass'!$A$8:$A$19,0), MATCH('Unit 2 a'!S$7,'Rooms Walls and Glass'!$D$1:$AB$1,0))))</f>
        <v/>
      </c>
      <c r="T19" s="65" t="str">
        <f t="shared" si="19"/>
        <v>-</v>
      </c>
      <c r="U19" s="66" t="str">
        <f>IF(U$7="","",IF(INDEX('Rooms Walls and Glass'!$D$8:$AB$19, MATCH($D19,'Rooms Walls and Glass'!$A$8:$A$19,0), MATCH('Unit 2 a'!U$7,'Rooms Walls and Glass'!$D$1:$AB$1,0))=0,"",INDEX('Rooms Walls and Glass'!$D$8:$AB$19, MATCH($D19,'Rooms Walls and Glass'!$A$8:$A$19,0), MATCH('Unit 2 a'!U$7,'Rooms Walls and Glass'!$D$1:$AB$1,0))))</f>
        <v/>
      </c>
      <c r="V19" s="65" t="str">
        <f t="shared" si="20"/>
        <v>-</v>
      </c>
      <c r="W19" s="66" t="str">
        <f>IF(W$7="","",IF(INDEX('Rooms Walls and Glass'!$D$8:$AB$19, MATCH($D19,'Rooms Walls and Glass'!$A$8:$A$19,0), MATCH('Unit 2 a'!W$7,'Rooms Walls and Glass'!$D$1:$AB$1,0))=0,"",INDEX('Rooms Walls and Glass'!$D$8:$AB$19, MATCH($D19,'Rooms Walls and Glass'!$A$8:$A$19,0), MATCH('Unit 2 a'!W$7,'Rooms Walls and Glass'!$D$1:$AB$1,0))))</f>
        <v/>
      </c>
      <c r="X19" s="65" t="str">
        <f t="shared" si="21"/>
        <v>-</v>
      </c>
      <c r="Y19" s="66" t="str">
        <f>IF(Y$7="","",IF(INDEX('Rooms Walls and Glass'!$D$8:$AB$19, MATCH($D19,'Rooms Walls and Glass'!$A$8:$A$19,0), MATCH('Unit 2 a'!Y$7,'Rooms Walls and Glass'!$D$1:$AB$1,0))=0,"",INDEX('Rooms Walls and Glass'!$D$8:$AB$19, MATCH($D19,'Rooms Walls and Glass'!$A$8:$A$19,0), MATCH('Unit 2 a'!Y$7,'Rooms Walls and Glass'!$D$1:$AB$1,0))))</f>
        <v/>
      </c>
      <c r="Z19" s="65" t="str">
        <f t="shared" si="22"/>
        <v>-</v>
      </c>
      <c r="AA19" s="66" t="str">
        <f>IF(AA$7="","",IF(INDEX('Rooms Walls and Glass'!$D$8:$AB$19, MATCH($D19,'Rooms Walls and Glass'!$A$8:$A$19,0), MATCH('Unit 2 a'!AA$7,'Rooms Walls and Glass'!$D$1:$AB$1,0))=0,"",INDEX('Rooms Walls and Glass'!$D$8:$AB$19, MATCH($D19,'Rooms Walls and Glass'!$A$8:$A$19,0), MATCH('Unit 2 a'!AA$7,'Rooms Walls and Glass'!$D$1:$AB$1,0))))</f>
        <v/>
      </c>
      <c r="AB19" s="65" t="str">
        <f t="shared" si="23"/>
        <v>-</v>
      </c>
      <c r="AC19" s="66" t="str">
        <f>IF(AC$7="","",IF(INDEX('Rooms Walls and Glass'!$D$8:$AB$19, MATCH($D19,'Rooms Walls and Glass'!$A$8:$A$19,0), MATCH('Unit 2 a'!AC$7,'Rooms Walls and Glass'!$D$1:$AB$1,0))=0,"",INDEX('Rooms Walls and Glass'!$D$8:$AB$19, MATCH($D19,'Rooms Walls and Glass'!$A$8:$A$19,0), MATCH('Unit 2 a'!AC$7,'Rooms Walls and Glass'!$D$1:$AB$1,0))))</f>
        <v/>
      </c>
      <c r="AD19" s="65" t="str">
        <f t="shared" si="24"/>
        <v>-</v>
      </c>
      <c r="AE19" s="66" t="str">
        <f>IF(AE$7="","",IF(INDEX('Rooms Walls and Glass'!$D$8:$AB$19, MATCH($D19,'Rooms Walls and Glass'!$A$8:$A$19,0), MATCH('Unit 2 a'!AE$7,'Rooms Walls and Glass'!$D$1:$AB$1,0))=0,"",INDEX('Rooms Walls and Glass'!$D$8:$AB$19, MATCH($D19,'Rooms Walls and Glass'!$A$8:$A$19,0), MATCH('Unit 2 a'!AE$7,'Rooms Walls and Glass'!$D$1:$AB$1,0))))</f>
        <v/>
      </c>
      <c r="AF19" s="65" t="str">
        <f t="shared" si="24"/>
        <v>-</v>
      </c>
      <c r="AG19" s="66" t="str">
        <f>IF(AG$7="","",IF(INDEX('Rooms Walls and Glass'!$D$8:$AB$19, MATCH($D19,'Rooms Walls and Glass'!$A$8:$A$19,0), MATCH('Unit 2 a'!AG$7,'Rooms Walls and Glass'!$D$1:$AB$1,0))=0,"",INDEX('Rooms Walls and Glass'!$D$8:$AB$19, MATCH($D19,'Rooms Walls and Glass'!$A$8:$A$19,0), MATCH('Unit 2 a'!AG$7,'Rooms Walls and Glass'!$D$1:$AB$1,0))))</f>
        <v/>
      </c>
      <c r="AH19" s="65" t="str">
        <f t="shared" si="25"/>
        <v>-</v>
      </c>
      <c r="AI19" s="66" t="str">
        <f>IF(AI$7="","",IF(INDEX('Rooms Walls and Glass'!$D$8:$AB$19, MATCH($D19,'Rooms Walls and Glass'!$A$8:$A$19,0), MATCH('Unit 2 a'!AI$7,'Rooms Walls and Glass'!$D$1:$AB$1,0))=0,"",INDEX('Rooms Walls and Glass'!$D$8:$AB$19, MATCH($D19,'Rooms Walls and Glass'!$A$8:$A$19,0), MATCH('Unit 2 a'!AI$7,'Rooms Walls and Glass'!$D$1:$AB$1,0))))</f>
        <v/>
      </c>
      <c r="AJ19" s="67" t="str">
        <f t="shared" si="26"/>
        <v>-</v>
      </c>
      <c r="AK19" s="66" t="str">
        <f>IF(AK$7="","",IF(INDEX('Rooms Walls and Glass'!$D$8:$AB$19, MATCH($D19,'Rooms Walls and Glass'!$A$8:$A$19,0), MATCH('Unit 2 a'!AK$7,'Rooms Walls and Glass'!$D$1:$AB$1,0))=0,"",INDEX('Rooms Walls and Glass'!$D$8:$AB$19, MATCH($D19,'Rooms Walls and Glass'!$A$8:$A$19,0), MATCH('Unit 2 a'!AK$7,'Rooms Walls and Glass'!$D$1:$AB$1,0))))</f>
        <v/>
      </c>
      <c r="AL19" s="65" t="str">
        <f t="shared" si="27"/>
        <v>-</v>
      </c>
      <c r="AM19" s="66" t="str">
        <f>IF(AM$7="","",IF(INDEX('Rooms Walls and Glass'!$D$8:$AB$19, MATCH($D19,'Rooms Walls and Glass'!$A$8:$A$19,0), MATCH('Unit 2 a'!AM$7,'Rooms Walls and Glass'!$D$1:$AB$1,0))=0,"",INDEX('Rooms Walls and Glass'!$D$8:$AB$19, MATCH($D19,'Rooms Walls and Glass'!$A$8:$A$19,0), MATCH('Unit 2 a'!AM$7,'Rooms Walls and Glass'!$D$1:$AB$1,0))))</f>
        <v/>
      </c>
      <c r="AN19" s="67" t="str">
        <f t="shared" si="28"/>
        <v>-</v>
      </c>
    </row>
    <row r="20" spans="2:40" ht="11.25" customHeight="1" thickBot="1" x14ac:dyDescent="0.2">
      <c r="B20" s="213"/>
      <c r="C20" s="17" t="s">
        <v>34</v>
      </c>
      <c r="D20" s="18" t="s">
        <v>238</v>
      </c>
      <c r="E20" s="13">
        <f>INDEX('Glass CLF Calculation'!$A$17:$G$18,MATCH('Unit 2 a'!C20,'Glass CLF Calculation'!$A$17:$A$18,0),7)</f>
        <v>30</v>
      </c>
      <c r="F20" s="14">
        <f>INDEX(Summary!$F$19:$F$30,MATCH('Unit 2 a'!C20,Summary!$D$19:$D$30,0))</f>
        <v>0.5</v>
      </c>
      <c r="G20" s="14">
        <f t="shared" ref="G20:G46" si="29">F20*E20</f>
        <v>15</v>
      </c>
      <c r="H20" s="18" t="s">
        <v>6</v>
      </c>
      <c r="I20" s="65">
        <f t="shared" si="13"/>
        <v>0</v>
      </c>
      <c r="J20" s="70">
        <f t="shared" si="14"/>
        <v>0</v>
      </c>
      <c r="K20" s="66" t="str">
        <f>IF(K$7="","",IF(INDEX('Rooms Walls and Glass'!$D$8:$AB$19, MATCH($D20,'Rooms Walls and Glass'!$A$8:$A$19,0), MATCH('Unit 2 a'!K$7,'Rooms Walls and Glass'!$D$1:$AB$1,0))=0,"",INDEX('Rooms Walls and Glass'!$D$8:$AB$19, MATCH($D20,'Rooms Walls and Glass'!$A$8:$A$19,0), MATCH('Unit 2 a'!K$7,'Rooms Walls and Glass'!$D$1:$AB$1,0))))</f>
        <v/>
      </c>
      <c r="L20" s="70" t="str">
        <f t="shared" si="15"/>
        <v>-</v>
      </c>
      <c r="M20" s="66" t="str">
        <f>IF(M$7="","",IF(INDEX('Rooms Walls and Glass'!$D$8:$AB$19, MATCH($D20,'Rooms Walls and Glass'!$A$8:$A$19,0), MATCH('Unit 2 a'!M$7,'Rooms Walls and Glass'!$D$1:$AB$1,0))=0,"",INDEX('Rooms Walls and Glass'!$D$8:$AB$19, MATCH($D20,'Rooms Walls and Glass'!$A$8:$A$19,0), MATCH('Unit 2 a'!M$7,'Rooms Walls and Glass'!$D$1:$AB$1,0))))</f>
        <v/>
      </c>
      <c r="N20" s="70" t="str">
        <f t="shared" si="16"/>
        <v>-</v>
      </c>
      <c r="O20" s="66" t="str">
        <f>IF(O$7="","",IF(INDEX('Rooms Walls and Glass'!$D$8:$AB$19, MATCH($D20,'Rooms Walls and Glass'!$A$8:$A$19,0), MATCH('Unit 2 a'!O$7,'Rooms Walls and Glass'!$D$1:$AB$1,0))=0,"",INDEX('Rooms Walls and Glass'!$D$8:$AB$19, MATCH($D20,'Rooms Walls and Glass'!$A$8:$A$19,0), MATCH('Unit 2 a'!O$7,'Rooms Walls and Glass'!$D$1:$AB$1,0))))</f>
        <v/>
      </c>
      <c r="P20" s="70" t="str">
        <f t="shared" si="17"/>
        <v>-</v>
      </c>
      <c r="Q20" s="66" t="str">
        <f>IF(Q$7="","",IF(INDEX('Rooms Walls and Glass'!$D$8:$AB$19, MATCH($D20,'Rooms Walls and Glass'!$A$8:$A$19,0), MATCH('Unit 2 a'!Q$7,'Rooms Walls and Glass'!$D$1:$AB$1,0))=0,"",INDEX('Rooms Walls and Glass'!$D$8:$AB$19, MATCH($D20,'Rooms Walls and Glass'!$A$8:$A$19,0), MATCH('Unit 2 a'!Q$7,'Rooms Walls and Glass'!$D$1:$AB$1,0))))</f>
        <v/>
      </c>
      <c r="R20" s="70" t="str">
        <f t="shared" si="18"/>
        <v>-</v>
      </c>
      <c r="S20" s="66" t="str">
        <f>IF(S$7="","",IF(INDEX('Rooms Walls and Glass'!$D$8:$AB$19, MATCH($D20,'Rooms Walls and Glass'!$A$8:$A$19,0), MATCH('Unit 2 a'!S$7,'Rooms Walls and Glass'!$D$1:$AB$1,0))=0,"",INDEX('Rooms Walls and Glass'!$D$8:$AB$19, MATCH($D20,'Rooms Walls and Glass'!$A$8:$A$19,0), MATCH('Unit 2 a'!S$7,'Rooms Walls and Glass'!$D$1:$AB$1,0))))</f>
        <v/>
      </c>
      <c r="T20" s="70" t="str">
        <f t="shared" si="19"/>
        <v>-</v>
      </c>
      <c r="U20" s="66" t="str">
        <f>IF(U$7="","",IF(INDEX('Rooms Walls and Glass'!$D$8:$AB$19, MATCH($D20,'Rooms Walls and Glass'!$A$8:$A$19,0), MATCH('Unit 2 a'!U$7,'Rooms Walls and Glass'!$D$1:$AB$1,0))=0,"",INDEX('Rooms Walls and Glass'!$D$8:$AB$19, MATCH($D20,'Rooms Walls and Glass'!$A$8:$A$19,0), MATCH('Unit 2 a'!U$7,'Rooms Walls and Glass'!$D$1:$AB$1,0))))</f>
        <v/>
      </c>
      <c r="V20" s="70" t="str">
        <f t="shared" si="20"/>
        <v>-</v>
      </c>
      <c r="W20" s="66" t="str">
        <f>IF(W$7="","",IF(INDEX('Rooms Walls and Glass'!$D$8:$AB$19, MATCH($D20,'Rooms Walls and Glass'!$A$8:$A$19,0), MATCH('Unit 2 a'!W$7,'Rooms Walls and Glass'!$D$1:$AB$1,0))=0,"",INDEX('Rooms Walls and Glass'!$D$8:$AB$19, MATCH($D20,'Rooms Walls and Glass'!$A$8:$A$19,0), MATCH('Unit 2 a'!W$7,'Rooms Walls and Glass'!$D$1:$AB$1,0))))</f>
        <v/>
      </c>
      <c r="X20" s="70" t="str">
        <f t="shared" si="21"/>
        <v>-</v>
      </c>
      <c r="Y20" s="66" t="str">
        <f>IF(Y$7="","",IF(INDEX('Rooms Walls and Glass'!$D$8:$AB$19, MATCH($D20,'Rooms Walls and Glass'!$A$8:$A$19,0), MATCH('Unit 2 a'!Y$7,'Rooms Walls and Glass'!$D$1:$AB$1,0))=0,"",INDEX('Rooms Walls and Glass'!$D$8:$AB$19, MATCH($D20,'Rooms Walls and Glass'!$A$8:$A$19,0), MATCH('Unit 2 a'!Y$7,'Rooms Walls and Glass'!$D$1:$AB$1,0))))</f>
        <v/>
      </c>
      <c r="Z20" s="70" t="str">
        <f t="shared" si="22"/>
        <v>-</v>
      </c>
      <c r="AA20" s="66" t="str">
        <f>IF(AA$7="","",IF(INDEX('Rooms Walls and Glass'!$D$8:$AB$19, MATCH($D20,'Rooms Walls and Glass'!$A$8:$A$19,0), MATCH('Unit 2 a'!AA$7,'Rooms Walls and Glass'!$D$1:$AB$1,0))=0,"",INDEX('Rooms Walls and Glass'!$D$8:$AB$19, MATCH($D20,'Rooms Walls and Glass'!$A$8:$A$19,0), MATCH('Unit 2 a'!AA$7,'Rooms Walls and Glass'!$D$1:$AB$1,0))))</f>
        <v/>
      </c>
      <c r="AB20" s="70" t="str">
        <f t="shared" si="23"/>
        <v>-</v>
      </c>
      <c r="AC20" s="66" t="str">
        <f>IF(AC$7="","",IF(INDEX('Rooms Walls and Glass'!$D$8:$AB$19, MATCH($D20,'Rooms Walls and Glass'!$A$8:$A$19,0), MATCH('Unit 2 a'!AC$7,'Rooms Walls and Glass'!$D$1:$AB$1,0))=0,"",INDEX('Rooms Walls and Glass'!$D$8:$AB$19, MATCH($D20,'Rooms Walls and Glass'!$A$8:$A$19,0), MATCH('Unit 2 a'!AC$7,'Rooms Walls and Glass'!$D$1:$AB$1,0))))</f>
        <v/>
      </c>
      <c r="AD20" s="70" t="str">
        <f t="shared" si="24"/>
        <v>-</v>
      </c>
      <c r="AE20" s="66" t="str">
        <f>IF(AE$7="","",IF(INDEX('Rooms Walls and Glass'!$D$8:$AB$19, MATCH($D20,'Rooms Walls and Glass'!$A$8:$A$19,0), MATCH('Unit 2 a'!AE$7,'Rooms Walls and Glass'!$D$1:$AB$1,0))=0,"",INDEX('Rooms Walls and Glass'!$D$8:$AB$19, MATCH($D20,'Rooms Walls and Glass'!$A$8:$A$19,0), MATCH('Unit 2 a'!AE$7,'Rooms Walls and Glass'!$D$1:$AB$1,0))))</f>
        <v/>
      </c>
      <c r="AF20" s="70" t="str">
        <f t="shared" si="24"/>
        <v>-</v>
      </c>
      <c r="AG20" s="66" t="str">
        <f>IF(AG$7="","",IF(INDEX('Rooms Walls and Glass'!$D$8:$AB$19, MATCH($D20,'Rooms Walls and Glass'!$A$8:$A$19,0), MATCH('Unit 2 a'!AG$7,'Rooms Walls and Glass'!$D$1:$AB$1,0))=0,"",INDEX('Rooms Walls and Glass'!$D$8:$AB$19, MATCH($D20,'Rooms Walls and Glass'!$A$8:$A$19,0), MATCH('Unit 2 a'!AG$7,'Rooms Walls and Glass'!$D$1:$AB$1,0))))</f>
        <v/>
      </c>
      <c r="AH20" s="70" t="str">
        <f t="shared" si="25"/>
        <v>-</v>
      </c>
      <c r="AI20" s="66" t="str">
        <f>IF(AI$7="","",IF(INDEX('Rooms Walls and Glass'!$D$8:$AB$19, MATCH($D20,'Rooms Walls and Glass'!$A$8:$A$19,0), MATCH('Unit 2 a'!AI$7,'Rooms Walls and Glass'!$D$1:$AB$1,0))=0,"",INDEX('Rooms Walls and Glass'!$D$8:$AB$19, MATCH($D20,'Rooms Walls and Glass'!$A$8:$A$19,0), MATCH('Unit 2 a'!AI$7,'Rooms Walls and Glass'!$D$1:$AB$1,0))))</f>
        <v/>
      </c>
      <c r="AJ20" s="71" t="str">
        <f t="shared" si="26"/>
        <v>-</v>
      </c>
      <c r="AK20" s="66" t="str">
        <f>IF(AK$7="","",IF(INDEX('Rooms Walls and Glass'!$D$8:$AB$19, MATCH($D20,'Rooms Walls and Glass'!$A$8:$A$19,0), MATCH('Unit 2 a'!AK$7,'Rooms Walls and Glass'!$D$1:$AB$1,0))=0,"",INDEX('Rooms Walls and Glass'!$D$8:$AB$19, MATCH($D20,'Rooms Walls and Glass'!$A$8:$A$19,0), MATCH('Unit 2 a'!AK$7,'Rooms Walls and Glass'!$D$1:$AB$1,0))))</f>
        <v/>
      </c>
      <c r="AL20" s="70" t="str">
        <f t="shared" si="27"/>
        <v>-</v>
      </c>
      <c r="AM20" s="66" t="str">
        <f>IF(AM$7="","",IF(INDEX('Rooms Walls and Glass'!$D$8:$AB$19, MATCH($D20,'Rooms Walls and Glass'!$A$8:$A$19,0), MATCH('Unit 2 a'!AM$7,'Rooms Walls and Glass'!$D$1:$AB$1,0))=0,"",INDEX('Rooms Walls and Glass'!$D$8:$AB$19, MATCH($D20,'Rooms Walls and Glass'!$A$8:$A$19,0), MATCH('Unit 2 a'!AM$7,'Rooms Walls and Glass'!$D$1:$AB$1,0))))</f>
        <v/>
      </c>
      <c r="AN20" s="71" t="str">
        <f t="shared" si="28"/>
        <v>-</v>
      </c>
    </row>
    <row r="21" spans="2:40" ht="11.25" customHeight="1" thickBot="1" x14ac:dyDescent="0.2">
      <c r="B21" s="212" t="s">
        <v>79</v>
      </c>
      <c r="C21" s="12" t="s">
        <v>38</v>
      </c>
      <c r="D21" s="13" t="str">
        <f>'Rooms Walls and Glass'!A23</f>
        <v>NorthWest</v>
      </c>
      <c r="E21" s="13">
        <f>INDEX('Glass CLF Calculation'!$A$20:$G$27,MATCH('Unit 2 a'!D21,'Glass CLF Calculation'!$A$20:$A$27,0),7)</f>
        <v>19</v>
      </c>
      <c r="F21" s="14">
        <f>INDEX(Summary!$F$19:$F$30,MATCH('Unit 2 a'!C21,Summary!$D$19:$D$30,0))</f>
        <v>7.6999999999999999E-2</v>
      </c>
      <c r="G21" s="14">
        <f t="shared" si="29"/>
        <v>1.4630000000000001</v>
      </c>
      <c r="H21" s="13" t="s">
        <v>6</v>
      </c>
      <c r="I21" s="65">
        <f t="shared" si="13"/>
        <v>0</v>
      </c>
      <c r="J21" s="65">
        <f t="shared" si="14"/>
        <v>0</v>
      </c>
      <c r="K21" s="66" t="str">
        <f>IF(K$7="","",IF(INDEX('Rooms Walls and Glass'!$D$23:$AB$30, MATCH($D21,'Rooms Walls and Glass'!$A$23:$A$30,0), MATCH('Unit 2 a'!K$7,'Rooms Walls and Glass'!$D$1:$AB$1,0))=0,"",INDEX('Rooms Walls and Glass'!$D$23:$AB$30, MATCH($D21,'Rooms Walls and Glass'!$A$23:$A$30,0), MATCH('Unit 2 a'!K$7,'Rooms Walls and Glass'!$D$1:$AB$1,0))))</f>
        <v/>
      </c>
      <c r="L21" s="65" t="str">
        <f t="shared" si="15"/>
        <v>-</v>
      </c>
      <c r="M21" s="66" t="str">
        <f>IF(M$7="","",IF(INDEX('Rooms Walls and Glass'!$D$23:$AB$30, MATCH($D21,'Rooms Walls and Glass'!$A$23:$A$30,0), MATCH('Unit 2 a'!M$7,'Rooms Walls and Glass'!$D$1:$AB$1,0))=0,"",INDEX('Rooms Walls and Glass'!$D$23:$AB$30, MATCH($D21,'Rooms Walls and Glass'!$A$23:$A$30,0), MATCH('Unit 2 a'!M$7,'Rooms Walls and Glass'!$D$1:$AB$1,0))))</f>
        <v/>
      </c>
      <c r="N21" s="65" t="str">
        <f t="shared" si="16"/>
        <v>-</v>
      </c>
      <c r="O21" s="66" t="str">
        <f>IF(O$7="","",IF(INDEX('Rooms Walls and Glass'!$D$23:$AB$30, MATCH($D21,'Rooms Walls and Glass'!$A$23:$A$30,0), MATCH('Unit 2 a'!O$7,'Rooms Walls and Glass'!$D$1:$AB$1,0))=0,"",INDEX('Rooms Walls and Glass'!$D$23:$AB$30, MATCH($D21,'Rooms Walls and Glass'!$A$23:$A$30,0), MATCH('Unit 2 a'!O$7,'Rooms Walls and Glass'!$D$1:$AB$1,0))))</f>
        <v/>
      </c>
      <c r="P21" s="65" t="str">
        <f t="shared" si="17"/>
        <v>-</v>
      </c>
      <c r="Q21" s="66" t="str">
        <f>IF(Q$7="","",IF(INDEX('Rooms Walls and Glass'!$D$23:$AB$30, MATCH($D21,'Rooms Walls and Glass'!$A$23:$A$30,0), MATCH('Unit 2 a'!Q$7,'Rooms Walls and Glass'!$D$1:$AB$1,0))=0,"",INDEX('Rooms Walls and Glass'!$D$23:$AB$30, MATCH($D21,'Rooms Walls and Glass'!$A$23:$A$30,0), MATCH('Unit 2 a'!Q$7,'Rooms Walls and Glass'!$D$1:$AB$1,0))))</f>
        <v/>
      </c>
      <c r="R21" s="65" t="str">
        <f t="shared" si="18"/>
        <v>-</v>
      </c>
      <c r="S21" s="66" t="str">
        <f>IF(S$7="","",IF(INDEX('Rooms Walls and Glass'!$D$23:$AB$30, MATCH($D21,'Rooms Walls and Glass'!$A$23:$A$30,0), MATCH('Unit 2 a'!S$7,'Rooms Walls and Glass'!$D$1:$AB$1,0))=0,"",INDEX('Rooms Walls and Glass'!$D$23:$AB$30, MATCH($D21,'Rooms Walls and Glass'!$A$23:$A$30,0), MATCH('Unit 2 a'!S$7,'Rooms Walls and Glass'!$D$1:$AB$1,0))))</f>
        <v/>
      </c>
      <c r="T21" s="65" t="str">
        <f t="shared" si="19"/>
        <v>-</v>
      </c>
      <c r="U21" s="66" t="str">
        <f>IF(U$7="","",IF(INDEX('Rooms Walls and Glass'!$D$23:$AB$30, MATCH($D21,'Rooms Walls and Glass'!$A$23:$A$30,0), MATCH('Unit 2 a'!U$7,'Rooms Walls and Glass'!$D$1:$AB$1,0))=0,"",INDEX('Rooms Walls and Glass'!$D$23:$AB$30, MATCH($D21,'Rooms Walls and Glass'!$A$23:$A$30,0), MATCH('Unit 2 a'!U$7,'Rooms Walls and Glass'!$D$1:$AB$1,0))))</f>
        <v/>
      </c>
      <c r="V21" s="65" t="str">
        <f t="shared" si="20"/>
        <v>-</v>
      </c>
      <c r="W21" s="66" t="str">
        <f>IF(W$7="","",IF(INDEX('Rooms Walls and Glass'!$D$23:$AB$30, MATCH($D21,'Rooms Walls and Glass'!$A$23:$A$30,0), MATCH('Unit 2 a'!W$7,'Rooms Walls and Glass'!$D$1:$AB$1,0))=0,"",INDEX('Rooms Walls and Glass'!$D$23:$AB$30, MATCH($D21,'Rooms Walls and Glass'!$A$23:$A$30,0), MATCH('Unit 2 a'!W$7,'Rooms Walls and Glass'!$D$1:$AB$1,0))))</f>
        <v/>
      </c>
      <c r="X21" s="65" t="str">
        <f t="shared" si="21"/>
        <v>-</v>
      </c>
      <c r="Y21" s="66" t="str">
        <f>IF(Y$7="","",IF(INDEX('Rooms Walls and Glass'!$D$23:$AB$30, MATCH($D21,'Rooms Walls and Glass'!$A$23:$A$30,0), MATCH('Unit 2 a'!Y$7,'Rooms Walls and Glass'!$D$1:$AB$1,0))=0,"",INDEX('Rooms Walls and Glass'!$D$23:$AB$30, MATCH($D21,'Rooms Walls and Glass'!$A$23:$A$30,0), MATCH('Unit 2 a'!Y$7,'Rooms Walls and Glass'!$D$1:$AB$1,0))))</f>
        <v/>
      </c>
      <c r="Z21" s="65" t="str">
        <f t="shared" si="22"/>
        <v>-</v>
      </c>
      <c r="AA21" s="66" t="str">
        <f>IF(AA$7="","",IF(INDEX('Rooms Walls and Glass'!$D$23:$AB$30, MATCH($D21,'Rooms Walls and Glass'!$A$23:$A$30,0), MATCH('Unit 2 a'!AA$7,'Rooms Walls and Glass'!$D$1:$AB$1,0))=0,"",INDEX('Rooms Walls and Glass'!$D$23:$AB$30, MATCH($D21,'Rooms Walls and Glass'!$A$23:$A$30,0), MATCH('Unit 2 a'!AA$7,'Rooms Walls and Glass'!$D$1:$AB$1,0))))</f>
        <v/>
      </c>
      <c r="AB21" s="65" t="str">
        <f t="shared" si="23"/>
        <v>-</v>
      </c>
      <c r="AC21" s="66" t="str">
        <f>IF(AC$7="","",IF(INDEX('Rooms Walls and Glass'!$D$23:$AB$30, MATCH($D21,'Rooms Walls and Glass'!$A$23:$A$30,0), MATCH('Unit 2 a'!AC$7,'Rooms Walls and Glass'!$D$1:$AB$1,0))=0,"",INDEX('Rooms Walls and Glass'!$D$23:$AB$30, MATCH($D21,'Rooms Walls and Glass'!$A$23:$A$30,0), MATCH('Unit 2 a'!AC$7,'Rooms Walls and Glass'!$D$1:$AB$1,0))))</f>
        <v/>
      </c>
      <c r="AD21" s="65" t="str">
        <f t="shared" si="24"/>
        <v>-</v>
      </c>
      <c r="AE21" s="66" t="str">
        <f>IF(AE$7="","",IF(INDEX('Rooms Walls and Glass'!$D$23:$AB$30, MATCH($D21,'Rooms Walls and Glass'!$A$23:$A$30,0), MATCH('Unit 2 a'!AE$7,'Rooms Walls and Glass'!$D$1:$AB$1,0))=0,"",INDEX('Rooms Walls and Glass'!$D$23:$AB$30, MATCH($D21,'Rooms Walls and Glass'!$A$23:$A$30,0), MATCH('Unit 2 a'!AE$7,'Rooms Walls and Glass'!$D$1:$AB$1,0))))</f>
        <v/>
      </c>
      <c r="AF21" s="65" t="str">
        <f t="shared" si="24"/>
        <v>-</v>
      </c>
      <c r="AG21" s="66" t="str">
        <f>IF(AG$7="","",IF(INDEX('Rooms Walls and Glass'!$D$23:$AB$30, MATCH($D21,'Rooms Walls and Glass'!$A$23:$A$30,0), MATCH('Unit 2 a'!AG$7,'Rooms Walls and Glass'!$D$1:$AB$1,0))=0,"",INDEX('Rooms Walls and Glass'!$D$23:$AB$30, MATCH($D21,'Rooms Walls and Glass'!$A$23:$A$30,0), MATCH('Unit 2 a'!AG$7,'Rooms Walls and Glass'!$D$1:$AB$1,0))))</f>
        <v/>
      </c>
      <c r="AH21" s="65" t="str">
        <f t="shared" si="25"/>
        <v>-</v>
      </c>
      <c r="AI21" s="66" t="str">
        <f>IF(AI$7="","",IF(INDEX('Rooms Walls and Glass'!$D$23:$AB$30, MATCH($D21,'Rooms Walls and Glass'!$A$23:$A$30,0), MATCH('Unit 2 a'!AI$7,'Rooms Walls and Glass'!$D$1:$AB$1,0))=0,"",INDEX('Rooms Walls and Glass'!$D$23:$AB$30, MATCH($D21,'Rooms Walls and Glass'!$A$23:$A$30,0), MATCH('Unit 2 a'!AI$7,'Rooms Walls and Glass'!$D$1:$AB$1,0))))</f>
        <v/>
      </c>
      <c r="AJ21" s="67" t="str">
        <f t="shared" si="26"/>
        <v>-</v>
      </c>
      <c r="AK21" s="66" t="str">
        <f>IF(AK$7="","",IF(INDEX('Rooms Walls and Glass'!$D$23:$AB$30, MATCH($D21,'Rooms Walls and Glass'!$A$23:$A$30,0), MATCH('Unit 2 a'!AK$7,'Rooms Walls and Glass'!$D$1:$AB$1,0))=0,"",INDEX('Rooms Walls and Glass'!$D$23:$AB$30, MATCH($D21,'Rooms Walls and Glass'!$A$23:$A$30,0), MATCH('Unit 2 a'!AK$7,'Rooms Walls and Glass'!$D$1:$AB$1,0))))</f>
        <v/>
      </c>
      <c r="AL21" s="65" t="str">
        <f t="shared" si="27"/>
        <v>-</v>
      </c>
      <c r="AM21" s="66" t="str">
        <f>IF(AM$7="","",IF(INDEX('Rooms Walls and Glass'!$D$23:$AB$30, MATCH($D21,'Rooms Walls and Glass'!$A$23:$A$30,0), MATCH('Unit 2 a'!AM$7,'Rooms Walls and Glass'!$D$1:$AB$1,0))=0,"",INDEX('Rooms Walls and Glass'!$D$23:$AB$30, MATCH($D21,'Rooms Walls and Glass'!$A$23:$A$30,0), MATCH('Unit 2 a'!AM$7,'Rooms Walls and Glass'!$D$1:$AB$1,0))))</f>
        <v/>
      </c>
      <c r="AN21" s="67" t="str">
        <f t="shared" si="28"/>
        <v>-</v>
      </c>
    </row>
    <row r="22" spans="2:40" ht="11.25" customHeight="1" thickBot="1" x14ac:dyDescent="0.2">
      <c r="B22" s="214"/>
      <c r="C22" s="15" t="s">
        <v>38</v>
      </c>
      <c r="D22" s="13" t="str">
        <f>'Rooms Walls and Glass'!A24</f>
        <v>North</v>
      </c>
      <c r="E22" s="13">
        <f>INDEX('Glass CLF Calculation'!$A$20:$G$27,MATCH('Unit 2 a'!D22,'Glass CLF Calculation'!$A$20:$A$27,0),7)</f>
        <v>13</v>
      </c>
      <c r="F22" s="14">
        <f>INDEX(Summary!$F$19:$F$30,MATCH('Unit 2 a'!C22,Summary!$D$19:$D$30,0))</f>
        <v>7.6999999999999999E-2</v>
      </c>
      <c r="G22" s="14">
        <f t="shared" si="29"/>
        <v>1.0009999999999999</v>
      </c>
      <c r="H22" s="16" t="s">
        <v>6</v>
      </c>
      <c r="I22" s="65">
        <f t="shared" si="13"/>
        <v>0</v>
      </c>
      <c r="J22" s="68">
        <f t="shared" si="14"/>
        <v>0</v>
      </c>
      <c r="K22" s="66" t="str">
        <f>IF(K$7="","",IF(INDEX('Rooms Walls and Glass'!$D$23:$AB$30, MATCH($D22,'Rooms Walls and Glass'!$A$23:$A$30,0), MATCH('Unit 2 a'!K$7,'Rooms Walls and Glass'!$D$1:$AB$1,0))=0,"",INDEX('Rooms Walls and Glass'!$D$23:$AB$30, MATCH($D22,'Rooms Walls and Glass'!$A$23:$A$30,0), MATCH('Unit 2 a'!K$7,'Rooms Walls and Glass'!$D$1:$AB$1,0))))</f>
        <v/>
      </c>
      <c r="L22" s="68" t="str">
        <f t="shared" si="15"/>
        <v>-</v>
      </c>
      <c r="M22" s="66" t="str">
        <f>IF(M$7="","",IF(INDEX('Rooms Walls and Glass'!$D$23:$AB$30, MATCH($D22,'Rooms Walls and Glass'!$A$23:$A$30,0), MATCH('Unit 2 a'!M$7,'Rooms Walls and Glass'!$D$1:$AB$1,0))=0,"",INDEX('Rooms Walls and Glass'!$D$23:$AB$30, MATCH($D22,'Rooms Walls and Glass'!$A$23:$A$30,0), MATCH('Unit 2 a'!M$7,'Rooms Walls and Glass'!$D$1:$AB$1,0))))</f>
        <v/>
      </c>
      <c r="N22" s="68" t="str">
        <f t="shared" si="16"/>
        <v>-</v>
      </c>
      <c r="O22" s="66" t="str">
        <f>IF(O$7="","",IF(INDEX('Rooms Walls and Glass'!$D$23:$AB$30, MATCH($D22,'Rooms Walls and Glass'!$A$23:$A$30,0), MATCH('Unit 2 a'!O$7,'Rooms Walls and Glass'!$D$1:$AB$1,0))=0,"",INDEX('Rooms Walls and Glass'!$D$23:$AB$30, MATCH($D22,'Rooms Walls and Glass'!$A$23:$A$30,0), MATCH('Unit 2 a'!O$7,'Rooms Walls and Glass'!$D$1:$AB$1,0))))</f>
        <v/>
      </c>
      <c r="P22" s="68" t="str">
        <f t="shared" si="17"/>
        <v>-</v>
      </c>
      <c r="Q22" s="66" t="str">
        <f>IF(Q$7="","",IF(INDEX('Rooms Walls and Glass'!$D$23:$AB$30, MATCH($D22,'Rooms Walls and Glass'!$A$23:$A$30,0), MATCH('Unit 2 a'!Q$7,'Rooms Walls and Glass'!$D$1:$AB$1,0))=0,"",INDEX('Rooms Walls and Glass'!$D$23:$AB$30, MATCH($D22,'Rooms Walls and Glass'!$A$23:$A$30,0), MATCH('Unit 2 a'!Q$7,'Rooms Walls and Glass'!$D$1:$AB$1,0))))</f>
        <v/>
      </c>
      <c r="R22" s="68" t="str">
        <f t="shared" si="18"/>
        <v>-</v>
      </c>
      <c r="S22" s="66" t="str">
        <f>IF(S$7="","",IF(INDEX('Rooms Walls and Glass'!$D$23:$AB$30, MATCH($D22,'Rooms Walls and Glass'!$A$23:$A$30,0), MATCH('Unit 2 a'!S$7,'Rooms Walls and Glass'!$D$1:$AB$1,0))=0,"",INDEX('Rooms Walls and Glass'!$D$23:$AB$30, MATCH($D22,'Rooms Walls and Glass'!$A$23:$A$30,0), MATCH('Unit 2 a'!S$7,'Rooms Walls and Glass'!$D$1:$AB$1,0))))</f>
        <v/>
      </c>
      <c r="T22" s="68" t="str">
        <f t="shared" si="19"/>
        <v>-</v>
      </c>
      <c r="U22" s="66" t="str">
        <f>IF(U$7="","",IF(INDEX('Rooms Walls and Glass'!$D$23:$AB$30, MATCH($D22,'Rooms Walls and Glass'!$A$23:$A$30,0), MATCH('Unit 2 a'!U$7,'Rooms Walls and Glass'!$D$1:$AB$1,0))=0,"",INDEX('Rooms Walls and Glass'!$D$23:$AB$30, MATCH($D22,'Rooms Walls and Glass'!$A$23:$A$30,0), MATCH('Unit 2 a'!U$7,'Rooms Walls and Glass'!$D$1:$AB$1,0))))</f>
        <v/>
      </c>
      <c r="V22" s="68" t="str">
        <f t="shared" si="20"/>
        <v>-</v>
      </c>
      <c r="W22" s="66" t="str">
        <f>IF(W$7="","",IF(INDEX('Rooms Walls and Glass'!$D$23:$AB$30, MATCH($D22,'Rooms Walls and Glass'!$A$23:$A$30,0), MATCH('Unit 2 a'!W$7,'Rooms Walls and Glass'!$D$1:$AB$1,0))=0,"",INDEX('Rooms Walls and Glass'!$D$23:$AB$30, MATCH($D22,'Rooms Walls and Glass'!$A$23:$A$30,0), MATCH('Unit 2 a'!W$7,'Rooms Walls and Glass'!$D$1:$AB$1,0))))</f>
        <v/>
      </c>
      <c r="X22" s="68" t="str">
        <f t="shared" si="21"/>
        <v>-</v>
      </c>
      <c r="Y22" s="66" t="str">
        <f>IF(Y$7="","",IF(INDEX('Rooms Walls and Glass'!$D$23:$AB$30, MATCH($D22,'Rooms Walls and Glass'!$A$23:$A$30,0), MATCH('Unit 2 a'!Y$7,'Rooms Walls and Glass'!$D$1:$AB$1,0))=0,"",INDEX('Rooms Walls and Glass'!$D$23:$AB$30, MATCH($D22,'Rooms Walls and Glass'!$A$23:$A$30,0), MATCH('Unit 2 a'!Y$7,'Rooms Walls and Glass'!$D$1:$AB$1,0))))</f>
        <v/>
      </c>
      <c r="Z22" s="68" t="str">
        <f t="shared" si="22"/>
        <v>-</v>
      </c>
      <c r="AA22" s="66" t="str">
        <f>IF(AA$7="","",IF(INDEX('Rooms Walls and Glass'!$D$23:$AB$30, MATCH($D22,'Rooms Walls and Glass'!$A$23:$A$30,0), MATCH('Unit 2 a'!AA$7,'Rooms Walls and Glass'!$D$1:$AB$1,0))=0,"",INDEX('Rooms Walls and Glass'!$D$23:$AB$30, MATCH($D22,'Rooms Walls and Glass'!$A$23:$A$30,0), MATCH('Unit 2 a'!AA$7,'Rooms Walls and Glass'!$D$1:$AB$1,0))))</f>
        <v/>
      </c>
      <c r="AB22" s="68" t="str">
        <f t="shared" si="23"/>
        <v>-</v>
      </c>
      <c r="AC22" s="66" t="str">
        <f>IF(AC$7="","",IF(INDEX('Rooms Walls and Glass'!$D$23:$AB$30, MATCH($D22,'Rooms Walls and Glass'!$A$23:$A$30,0), MATCH('Unit 2 a'!AC$7,'Rooms Walls and Glass'!$D$1:$AB$1,0))=0,"",INDEX('Rooms Walls and Glass'!$D$23:$AB$30, MATCH($D22,'Rooms Walls and Glass'!$A$23:$A$30,0), MATCH('Unit 2 a'!AC$7,'Rooms Walls and Glass'!$D$1:$AB$1,0))))</f>
        <v/>
      </c>
      <c r="AD22" s="68" t="str">
        <f t="shared" si="24"/>
        <v>-</v>
      </c>
      <c r="AE22" s="66" t="str">
        <f>IF(AE$7="","",IF(INDEX('Rooms Walls and Glass'!$D$23:$AB$30, MATCH($D22,'Rooms Walls and Glass'!$A$23:$A$30,0), MATCH('Unit 2 a'!AE$7,'Rooms Walls and Glass'!$D$1:$AB$1,0))=0,"",INDEX('Rooms Walls and Glass'!$D$23:$AB$30, MATCH($D22,'Rooms Walls and Glass'!$A$23:$A$30,0), MATCH('Unit 2 a'!AE$7,'Rooms Walls and Glass'!$D$1:$AB$1,0))))</f>
        <v/>
      </c>
      <c r="AF22" s="68" t="str">
        <f t="shared" si="24"/>
        <v>-</v>
      </c>
      <c r="AG22" s="66" t="str">
        <f>IF(AG$7="","",IF(INDEX('Rooms Walls and Glass'!$D$23:$AB$30, MATCH($D22,'Rooms Walls and Glass'!$A$23:$A$30,0), MATCH('Unit 2 a'!AG$7,'Rooms Walls and Glass'!$D$1:$AB$1,0))=0,"",INDEX('Rooms Walls and Glass'!$D$23:$AB$30, MATCH($D22,'Rooms Walls and Glass'!$A$23:$A$30,0), MATCH('Unit 2 a'!AG$7,'Rooms Walls and Glass'!$D$1:$AB$1,0))))</f>
        <v/>
      </c>
      <c r="AH22" s="68" t="str">
        <f t="shared" si="25"/>
        <v>-</v>
      </c>
      <c r="AI22" s="66" t="str">
        <f>IF(AI$7="","",IF(INDEX('Rooms Walls and Glass'!$D$23:$AB$30, MATCH($D22,'Rooms Walls and Glass'!$A$23:$A$30,0), MATCH('Unit 2 a'!AI$7,'Rooms Walls and Glass'!$D$1:$AB$1,0))=0,"",INDEX('Rooms Walls and Glass'!$D$23:$AB$30, MATCH($D22,'Rooms Walls and Glass'!$A$23:$A$30,0), MATCH('Unit 2 a'!AI$7,'Rooms Walls and Glass'!$D$1:$AB$1,0))))</f>
        <v/>
      </c>
      <c r="AJ22" s="69" t="str">
        <f t="shared" si="26"/>
        <v>-</v>
      </c>
      <c r="AK22" s="66" t="str">
        <f>IF(AK$7="","",IF(INDEX('Rooms Walls and Glass'!$D$23:$AB$30, MATCH($D22,'Rooms Walls and Glass'!$A$23:$A$30,0), MATCH('Unit 2 a'!AK$7,'Rooms Walls and Glass'!$D$1:$AB$1,0))=0,"",INDEX('Rooms Walls and Glass'!$D$23:$AB$30, MATCH($D22,'Rooms Walls and Glass'!$A$23:$A$30,0), MATCH('Unit 2 a'!AK$7,'Rooms Walls and Glass'!$D$1:$AB$1,0))))</f>
        <v/>
      </c>
      <c r="AL22" s="68" t="str">
        <f t="shared" si="27"/>
        <v>-</v>
      </c>
      <c r="AM22" s="66" t="str">
        <f>IF(AM$7="","",IF(INDEX('Rooms Walls and Glass'!$D$23:$AB$30, MATCH($D22,'Rooms Walls and Glass'!$A$23:$A$30,0), MATCH('Unit 2 a'!AM$7,'Rooms Walls and Glass'!$D$1:$AB$1,0))=0,"",INDEX('Rooms Walls and Glass'!$D$23:$AB$30, MATCH($D22,'Rooms Walls and Glass'!$A$23:$A$30,0), MATCH('Unit 2 a'!AM$7,'Rooms Walls and Glass'!$D$1:$AB$1,0))))</f>
        <v/>
      </c>
      <c r="AN22" s="69" t="str">
        <f t="shared" si="28"/>
        <v>-</v>
      </c>
    </row>
    <row r="23" spans="2:40" ht="11.25" customHeight="1" thickBot="1" x14ac:dyDescent="0.2">
      <c r="B23" s="214"/>
      <c r="C23" s="15" t="s">
        <v>38</v>
      </c>
      <c r="D23" s="13" t="str">
        <f>'Rooms Walls and Glass'!A25</f>
        <v>NorthEast</v>
      </c>
      <c r="E23" s="13">
        <f>INDEX('Glass CLF Calculation'!$A$20:$G$27,MATCH('Unit 2 a'!D23,'Glass CLF Calculation'!$A$20:$A$27,0),7)</f>
        <v>19</v>
      </c>
      <c r="F23" s="14">
        <f>INDEX(Summary!$F$19:$F$30,MATCH('Unit 2 a'!C23,Summary!$D$19:$D$30,0))</f>
        <v>7.6999999999999999E-2</v>
      </c>
      <c r="G23" s="14">
        <f t="shared" si="29"/>
        <v>1.4630000000000001</v>
      </c>
      <c r="H23" s="16" t="s">
        <v>6</v>
      </c>
      <c r="I23" s="65">
        <f t="shared" si="13"/>
        <v>0</v>
      </c>
      <c r="J23" s="68">
        <f t="shared" si="14"/>
        <v>0</v>
      </c>
      <c r="K23" s="66" t="str">
        <f>IF(K$7="","",IF(INDEX('Rooms Walls and Glass'!$D$23:$AB$30, MATCH($D23,'Rooms Walls and Glass'!$A$23:$A$30,0), MATCH('Unit 2 a'!K$7,'Rooms Walls and Glass'!$D$1:$AB$1,0))=0,"",INDEX('Rooms Walls and Glass'!$D$23:$AB$30, MATCH($D23,'Rooms Walls and Glass'!$A$23:$A$30,0), MATCH('Unit 2 a'!K$7,'Rooms Walls and Glass'!$D$1:$AB$1,0))))</f>
        <v/>
      </c>
      <c r="L23" s="68" t="str">
        <f t="shared" si="15"/>
        <v>-</v>
      </c>
      <c r="M23" s="66" t="str">
        <f>IF(M$7="","",IF(INDEX('Rooms Walls and Glass'!$D$23:$AB$30, MATCH($D23,'Rooms Walls and Glass'!$A$23:$A$30,0), MATCH('Unit 2 a'!M$7,'Rooms Walls and Glass'!$D$1:$AB$1,0))=0,"",INDEX('Rooms Walls and Glass'!$D$23:$AB$30, MATCH($D23,'Rooms Walls and Glass'!$A$23:$A$30,0), MATCH('Unit 2 a'!M$7,'Rooms Walls and Glass'!$D$1:$AB$1,0))))</f>
        <v/>
      </c>
      <c r="N23" s="68" t="str">
        <f t="shared" si="16"/>
        <v>-</v>
      </c>
      <c r="O23" s="66" t="str">
        <f>IF(O$7="","",IF(INDEX('Rooms Walls and Glass'!$D$23:$AB$30, MATCH($D23,'Rooms Walls and Glass'!$A$23:$A$30,0), MATCH('Unit 2 a'!O$7,'Rooms Walls and Glass'!$D$1:$AB$1,0))=0,"",INDEX('Rooms Walls and Glass'!$D$23:$AB$30, MATCH($D23,'Rooms Walls and Glass'!$A$23:$A$30,0), MATCH('Unit 2 a'!O$7,'Rooms Walls and Glass'!$D$1:$AB$1,0))))</f>
        <v/>
      </c>
      <c r="P23" s="68" t="str">
        <f t="shared" si="17"/>
        <v>-</v>
      </c>
      <c r="Q23" s="66" t="str">
        <f>IF(Q$7="","",IF(INDEX('Rooms Walls and Glass'!$D$23:$AB$30, MATCH($D23,'Rooms Walls and Glass'!$A$23:$A$30,0), MATCH('Unit 2 a'!Q$7,'Rooms Walls and Glass'!$D$1:$AB$1,0))=0,"",INDEX('Rooms Walls and Glass'!$D$23:$AB$30, MATCH($D23,'Rooms Walls and Glass'!$A$23:$A$30,0), MATCH('Unit 2 a'!Q$7,'Rooms Walls and Glass'!$D$1:$AB$1,0))))</f>
        <v/>
      </c>
      <c r="R23" s="68" t="str">
        <f t="shared" si="18"/>
        <v>-</v>
      </c>
      <c r="S23" s="66" t="str">
        <f>IF(S$7="","",IF(INDEX('Rooms Walls and Glass'!$D$23:$AB$30, MATCH($D23,'Rooms Walls and Glass'!$A$23:$A$30,0), MATCH('Unit 2 a'!S$7,'Rooms Walls and Glass'!$D$1:$AB$1,0))=0,"",INDEX('Rooms Walls and Glass'!$D$23:$AB$30, MATCH($D23,'Rooms Walls and Glass'!$A$23:$A$30,0), MATCH('Unit 2 a'!S$7,'Rooms Walls and Glass'!$D$1:$AB$1,0))))</f>
        <v/>
      </c>
      <c r="T23" s="68" t="str">
        <f t="shared" si="19"/>
        <v>-</v>
      </c>
      <c r="U23" s="66" t="str">
        <f>IF(U$7="","",IF(INDEX('Rooms Walls and Glass'!$D$23:$AB$30, MATCH($D23,'Rooms Walls and Glass'!$A$23:$A$30,0), MATCH('Unit 2 a'!U$7,'Rooms Walls and Glass'!$D$1:$AB$1,0))=0,"",INDEX('Rooms Walls and Glass'!$D$23:$AB$30, MATCH($D23,'Rooms Walls and Glass'!$A$23:$A$30,0), MATCH('Unit 2 a'!U$7,'Rooms Walls and Glass'!$D$1:$AB$1,0))))</f>
        <v/>
      </c>
      <c r="V23" s="68" t="str">
        <f t="shared" si="20"/>
        <v>-</v>
      </c>
      <c r="W23" s="66" t="str">
        <f>IF(W$7="","",IF(INDEX('Rooms Walls and Glass'!$D$23:$AB$30, MATCH($D23,'Rooms Walls and Glass'!$A$23:$A$30,0), MATCH('Unit 2 a'!W$7,'Rooms Walls and Glass'!$D$1:$AB$1,0))=0,"",INDEX('Rooms Walls and Glass'!$D$23:$AB$30, MATCH($D23,'Rooms Walls and Glass'!$A$23:$A$30,0), MATCH('Unit 2 a'!W$7,'Rooms Walls and Glass'!$D$1:$AB$1,0))))</f>
        <v/>
      </c>
      <c r="X23" s="68" t="str">
        <f t="shared" si="21"/>
        <v>-</v>
      </c>
      <c r="Y23" s="66" t="str">
        <f>IF(Y$7="","",IF(INDEX('Rooms Walls and Glass'!$D$23:$AB$30, MATCH($D23,'Rooms Walls and Glass'!$A$23:$A$30,0), MATCH('Unit 2 a'!Y$7,'Rooms Walls and Glass'!$D$1:$AB$1,0))=0,"",INDEX('Rooms Walls and Glass'!$D$23:$AB$30, MATCH($D23,'Rooms Walls and Glass'!$A$23:$A$30,0), MATCH('Unit 2 a'!Y$7,'Rooms Walls and Glass'!$D$1:$AB$1,0))))</f>
        <v/>
      </c>
      <c r="Z23" s="68" t="str">
        <f t="shared" si="22"/>
        <v>-</v>
      </c>
      <c r="AA23" s="66" t="str">
        <f>IF(AA$7="","",IF(INDEX('Rooms Walls and Glass'!$D$23:$AB$30, MATCH($D23,'Rooms Walls and Glass'!$A$23:$A$30,0), MATCH('Unit 2 a'!AA$7,'Rooms Walls and Glass'!$D$1:$AB$1,0))=0,"",INDEX('Rooms Walls and Glass'!$D$23:$AB$30, MATCH($D23,'Rooms Walls and Glass'!$A$23:$A$30,0), MATCH('Unit 2 a'!AA$7,'Rooms Walls and Glass'!$D$1:$AB$1,0))))</f>
        <v/>
      </c>
      <c r="AB23" s="68" t="str">
        <f t="shared" si="23"/>
        <v>-</v>
      </c>
      <c r="AC23" s="66" t="str">
        <f>IF(AC$7="","",IF(INDEX('Rooms Walls and Glass'!$D$23:$AB$30, MATCH($D23,'Rooms Walls and Glass'!$A$23:$A$30,0), MATCH('Unit 2 a'!AC$7,'Rooms Walls and Glass'!$D$1:$AB$1,0))=0,"",INDEX('Rooms Walls and Glass'!$D$23:$AB$30, MATCH($D23,'Rooms Walls and Glass'!$A$23:$A$30,0), MATCH('Unit 2 a'!AC$7,'Rooms Walls and Glass'!$D$1:$AB$1,0))))</f>
        <v/>
      </c>
      <c r="AD23" s="68" t="str">
        <f t="shared" si="24"/>
        <v>-</v>
      </c>
      <c r="AE23" s="66" t="str">
        <f>IF(AE$7="","",IF(INDEX('Rooms Walls and Glass'!$D$23:$AB$30, MATCH($D23,'Rooms Walls and Glass'!$A$23:$A$30,0), MATCH('Unit 2 a'!AE$7,'Rooms Walls and Glass'!$D$1:$AB$1,0))=0,"",INDEX('Rooms Walls and Glass'!$D$23:$AB$30, MATCH($D23,'Rooms Walls and Glass'!$A$23:$A$30,0), MATCH('Unit 2 a'!AE$7,'Rooms Walls and Glass'!$D$1:$AB$1,0))))</f>
        <v/>
      </c>
      <c r="AF23" s="68" t="str">
        <f t="shared" si="24"/>
        <v>-</v>
      </c>
      <c r="AG23" s="66" t="str">
        <f>IF(AG$7="","",IF(INDEX('Rooms Walls and Glass'!$D$23:$AB$30, MATCH($D23,'Rooms Walls and Glass'!$A$23:$A$30,0), MATCH('Unit 2 a'!AG$7,'Rooms Walls and Glass'!$D$1:$AB$1,0))=0,"",INDEX('Rooms Walls and Glass'!$D$23:$AB$30, MATCH($D23,'Rooms Walls and Glass'!$A$23:$A$30,0), MATCH('Unit 2 a'!AG$7,'Rooms Walls and Glass'!$D$1:$AB$1,0))))</f>
        <v/>
      </c>
      <c r="AH23" s="68" t="str">
        <f t="shared" si="25"/>
        <v>-</v>
      </c>
      <c r="AI23" s="66" t="str">
        <f>IF(AI$7="","",IF(INDEX('Rooms Walls and Glass'!$D$23:$AB$30, MATCH($D23,'Rooms Walls and Glass'!$A$23:$A$30,0), MATCH('Unit 2 a'!AI$7,'Rooms Walls and Glass'!$D$1:$AB$1,0))=0,"",INDEX('Rooms Walls and Glass'!$D$23:$AB$30, MATCH($D23,'Rooms Walls and Glass'!$A$23:$A$30,0), MATCH('Unit 2 a'!AI$7,'Rooms Walls and Glass'!$D$1:$AB$1,0))))</f>
        <v/>
      </c>
      <c r="AJ23" s="69" t="str">
        <f t="shared" si="26"/>
        <v>-</v>
      </c>
      <c r="AK23" s="66" t="str">
        <f>IF(AK$7="","",IF(INDEX('Rooms Walls and Glass'!$D$23:$AB$30, MATCH($D23,'Rooms Walls and Glass'!$A$23:$A$30,0), MATCH('Unit 2 a'!AK$7,'Rooms Walls and Glass'!$D$1:$AB$1,0))=0,"",INDEX('Rooms Walls and Glass'!$D$23:$AB$30, MATCH($D23,'Rooms Walls and Glass'!$A$23:$A$30,0), MATCH('Unit 2 a'!AK$7,'Rooms Walls and Glass'!$D$1:$AB$1,0))))</f>
        <v/>
      </c>
      <c r="AL23" s="68" t="str">
        <f t="shared" si="27"/>
        <v>-</v>
      </c>
      <c r="AM23" s="66" t="str">
        <f>IF(AM$7="","",IF(INDEX('Rooms Walls and Glass'!$D$23:$AB$30, MATCH($D23,'Rooms Walls and Glass'!$A$23:$A$30,0), MATCH('Unit 2 a'!AM$7,'Rooms Walls and Glass'!$D$1:$AB$1,0))=0,"",INDEX('Rooms Walls and Glass'!$D$23:$AB$30, MATCH($D23,'Rooms Walls and Glass'!$A$23:$A$30,0), MATCH('Unit 2 a'!AM$7,'Rooms Walls and Glass'!$D$1:$AB$1,0))))</f>
        <v/>
      </c>
      <c r="AN23" s="69" t="str">
        <f t="shared" si="28"/>
        <v>-</v>
      </c>
    </row>
    <row r="24" spans="2:40" ht="11.25" customHeight="1" thickBot="1" x14ac:dyDescent="0.2">
      <c r="B24" s="214"/>
      <c r="C24" s="15" t="s">
        <v>38</v>
      </c>
      <c r="D24" s="13" t="str">
        <f>'Rooms Walls and Glass'!A26</f>
        <v>East</v>
      </c>
      <c r="E24" s="13">
        <f>INDEX('Glass CLF Calculation'!$A$20:$G$27,MATCH('Unit 2 a'!D24,'Glass CLF Calculation'!$A$20:$A$27,0),7)</f>
        <v>23</v>
      </c>
      <c r="F24" s="14">
        <f>INDEX(Summary!$F$19:$F$30,MATCH('Unit 2 a'!C24,Summary!$D$19:$D$30,0))</f>
        <v>7.6999999999999999E-2</v>
      </c>
      <c r="G24" s="14">
        <f t="shared" si="29"/>
        <v>1.7709999999999999</v>
      </c>
      <c r="H24" s="16" t="s">
        <v>6</v>
      </c>
      <c r="I24" s="65">
        <f t="shared" si="13"/>
        <v>0</v>
      </c>
      <c r="J24" s="68">
        <f t="shared" si="14"/>
        <v>0</v>
      </c>
      <c r="K24" s="66" t="str">
        <f>IF(K$7="","",IF(INDEX('Rooms Walls and Glass'!$D$23:$AB$30, MATCH($D24,'Rooms Walls and Glass'!$A$23:$A$30,0), MATCH('Unit 2 a'!K$7,'Rooms Walls and Glass'!$D$1:$AB$1,0))=0,"",INDEX('Rooms Walls and Glass'!$D$23:$AB$30, MATCH($D24,'Rooms Walls and Glass'!$A$23:$A$30,0), MATCH('Unit 2 a'!K$7,'Rooms Walls and Glass'!$D$1:$AB$1,0))))</f>
        <v/>
      </c>
      <c r="L24" s="68" t="str">
        <f t="shared" si="15"/>
        <v>-</v>
      </c>
      <c r="M24" s="66" t="str">
        <f>IF(M$7="","",IF(INDEX('Rooms Walls and Glass'!$D$23:$AB$30, MATCH($D24,'Rooms Walls and Glass'!$A$23:$A$30,0), MATCH('Unit 2 a'!M$7,'Rooms Walls and Glass'!$D$1:$AB$1,0))=0,"",INDEX('Rooms Walls and Glass'!$D$23:$AB$30, MATCH($D24,'Rooms Walls and Glass'!$A$23:$A$30,0), MATCH('Unit 2 a'!M$7,'Rooms Walls and Glass'!$D$1:$AB$1,0))))</f>
        <v/>
      </c>
      <c r="N24" s="68" t="str">
        <f t="shared" si="16"/>
        <v>-</v>
      </c>
      <c r="O24" s="66" t="str">
        <f>IF(O$7="","",IF(INDEX('Rooms Walls and Glass'!$D$23:$AB$30, MATCH($D24,'Rooms Walls and Glass'!$A$23:$A$30,0), MATCH('Unit 2 a'!O$7,'Rooms Walls and Glass'!$D$1:$AB$1,0))=0,"",INDEX('Rooms Walls and Glass'!$D$23:$AB$30, MATCH($D24,'Rooms Walls and Glass'!$A$23:$A$30,0), MATCH('Unit 2 a'!O$7,'Rooms Walls and Glass'!$D$1:$AB$1,0))))</f>
        <v/>
      </c>
      <c r="P24" s="68" t="str">
        <f t="shared" si="17"/>
        <v>-</v>
      </c>
      <c r="Q24" s="66" t="str">
        <f>IF(Q$7="","",IF(INDEX('Rooms Walls and Glass'!$D$23:$AB$30, MATCH($D24,'Rooms Walls and Glass'!$A$23:$A$30,0), MATCH('Unit 2 a'!Q$7,'Rooms Walls and Glass'!$D$1:$AB$1,0))=0,"",INDEX('Rooms Walls and Glass'!$D$23:$AB$30, MATCH($D24,'Rooms Walls and Glass'!$A$23:$A$30,0), MATCH('Unit 2 a'!Q$7,'Rooms Walls and Glass'!$D$1:$AB$1,0))))</f>
        <v/>
      </c>
      <c r="R24" s="68" t="str">
        <f t="shared" si="18"/>
        <v>-</v>
      </c>
      <c r="S24" s="66" t="str">
        <f>IF(S$7="","",IF(INDEX('Rooms Walls and Glass'!$D$23:$AB$30, MATCH($D24,'Rooms Walls and Glass'!$A$23:$A$30,0), MATCH('Unit 2 a'!S$7,'Rooms Walls and Glass'!$D$1:$AB$1,0))=0,"",INDEX('Rooms Walls and Glass'!$D$23:$AB$30, MATCH($D24,'Rooms Walls and Glass'!$A$23:$A$30,0), MATCH('Unit 2 a'!S$7,'Rooms Walls and Glass'!$D$1:$AB$1,0))))</f>
        <v/>
      </c>
      <c r="T24" s="68" t="str">
        <f t="shared" si="19"/>
        <v>-</v>
      </c>
      <c r="U24" s="66" t="str">
        <f>IF(U$7="","",IF(INDEX('Rooms Walls and Glass'!$D$23:$AB$30, MATCH($D24,'Rooms Walls and Glass'!$A$23:$A$30,0), MATCH('Unit 2 a'!U$7,'Rooms Walls and Glass'!$D$1:$AB$1,0))=0,"",INDEX('Rooms Walls and Glass'!$D$23:$AB$30, MATCH($D24,'Rooms Walls and Glass'!$A$23:$A$30,0), MATCH('Unit 2 a'!U$7,'Rooms Walls and Glass'!$D$1:$AB$1,0))))</f>
        <v/>
      </c>
      <c r="V24" s="68" t="str">
        <f t="shared" si="20"/>
        <v>-</v>
      </c>
      <c r="W24" s="66" t="str">
        <f>IF(W$7="","",IF(INDEX('Rooms Walls and Glass'!$D$23:$AB$30, MATCH($D24,'Rooms Walls and Glass'!$A$23:$A$30,0), MATCH('Unit 2 a'!W$7,'Rooms Walls and Glass'!$D$1:$AB$1,0))=0,"",INDEX('Rooms Walls and Glass'!$D$23:$AB$30, MATCH($D24,'Rooms Walls and Glass'!$A$23:$A$30,0), MATCH('Unit 2 a'!W$7,'Rooms Walls and Glass'!$D$1:$AB$1,0))))</f>
        <v/>
      </c>
      <c r="X24" s="68" t="str">
        <f t="shared" si="21"/>
        <v>-</v>
      </c>
      <c r="Y24" s="66" t="str">
        <f>IF(Y$7="","",IF(INDEX('Rooms Walls and Glass'!$D$23:$AB$30, MATCH($D24,'Rooms Walls and Glass'!$A$23:$A$30,0), MATCH('Unit 2 a'!Y$7,'Rooms Walls and Glass'!$D$1:$AB$1,0))=0,"",INDEX('Rooms Walls and Glass'!$D$23:$AB$30, MATCH($D24,'Rooms Walls and Glass'!$A$23:$A$30,0), MATCH('Unit 2 a'!Y$7,'Rooms Walls and Glass'!$D$1:$AB$1,0))))</f>
        <v/>
      </c>
      <c r="Z24" s="68" t="str">
        <f t="shared" si="22"/>
        <v>-</v>
      </c>
      <c r="AA24" s="66" t="str">
        <f>IF(AA$7="","",IF(INDEX('Rooms Walls and Glass'!$D$23:$AB$30, MATCH($D24,'Rooms Walls and Glass'!$A$23:$A$30,0), MATCH('Unit 2 a'!AA$7,'Rooms Walls and Glass'!$D$1:$AB$1,0))=0,"",INDEX('Rooms Walls and Glass'!$D$23:$AB$30, MATCH($D24,'Rooms Walls and Glass'!$A$23:$A$30,0), MATCH('Unit 2 a'!AA$7,'Rooms Walls and Glass'!$D$1:$AB$1,0))))</f>
        <v/>
      </c>
      <c r="AB24" s="68" t="str">
        <f t="shared" si="23"/>
        <v>-</v>
      </c>
      <c r="AC24" s="66" t="str">
        <f>IF(AC$7="","",IF(INDEX('Rooms Walls and Glass'!$D$23:$AB$30, MATCH($D24,'Rooms Walls and Glass'!$A$23:$A$30,0), MATCH('Unit 2 a'!AC$7,'Rooms Walls and Glass'!$D$1:$AB$1,0))=0,"",INDEX('Rooms Walls and Glass'!$D$23:$AB$30, MATCH($D24,'Rooms Walls and Glass'!$A$23:$A$30,0), MATCH('Unit 2 a'!AC$7,'Rooms Walls and Glass'!$D$1:$AB$1,0))))</f>
        <v/>
      </c>
      <c r="AD24" s="68" t="str">
        <f t="shared" si="24"/>
        <v>-</v>
      </c>
      <c r="AE24" s="66" t="str">
        <f>IF(AE$7="","",IF(INDEX('Rooms Walls and Glass'!$D$23:$AB$30, MATCH($D24,'Rooms Walls and Glass'!$A$23:$A$30,0), MATCH('Unit 2 a'!AE$7,'Rooms Walls and Glass'!$D$1:$AB$1,0))=0,"",INDEX('Rooms Walls and Glass'!$D$23:$AB$30, MATCH($D24,'Rooms Walls and Glass'!$A$23:$A$30,0), MATCH('Unit 2 a'!AE$7,'Rooms Walls and Glass'!$D$1:$AB$1,0))))</f>
        <v/>
      </c>
      <c r="AF24" s="68" t="str">
        <f t="shared" si="24"/>
        <v>-</v>
      </c>
      <c r="AG24" s="66" t="str">
        <f>IF(AG$7="","",IF(INDEX('Rooms Walls and Glass'!$D$23:$AB$30, MATCH($D24,'Rooms Walls and Glass'!$A$23:$A$30,0), MATCH('Unit 2 a'!AG$7,'Rooms Walls and Glass'!$D$1:$AB$1,0))=0,"",INDEX('Rooms Walls and Glass'!$D$23:$AB$30, MATCH($D24,'Rooms Walls and Glass'!$A$23:$A$30,0), MATCH('Unit 2 a'!AG$7,'Rooms Walls and Glass'!$D$1:$AB$1,0))))</f>
        <v/>
      </c>
      <c r="AH24" s="68" t="str">
        <f t="shared" si="25"/>
        <v>-</v>
      </c>
      <c r="AI24" s="66" t="str">
        <f>IF(AI$7="","",IF(INDEX('Rooms Walls and Glass'!$D$23:$AB$30, MATCH($D24,'Rooms Walls and Glass'!$A$23:$A$30,0), MATCH('Unit 2 a'!AI$7,'Rooms Walls and Glass'!$D$1:$AB$1,0))=0,"",INDEX('Rooms Walls and Glass'!$D$23:$AB$30, MATCH($D24,'Rooms Walls and Glass'!$A$23:$A$30,0), MATCH('Unit 2 a'!AI$7,'Rooms Walls and Glass'!$D$1:$AB$1,0))))</f>
        <v/>
      </c>
      <c r="AJ24" s="69" t="str">
        <f t="shared" si="26"/>
        <v>-</v>
      </c>
      <c r="AK24" s="66" t="str">
        <f>IF(AK$7="","",IF(INDEX('Rooms Walls and Glass'!$D$23:$AB$30, MATCH($D24,'Rooms Walls and Glass'!$A$23:$A$30,0), MATCH('Unit 2 a'!AK$7,'Rooms Walls and Glass'!$D$1:$AB$1,0))=0,"",INDEX('Rooms Walls and Glass'!$D$23:$AB$30, MATCH($D24,'Rooms Walls and Glass'!$A$23:$A$30,0), MATCH('Unit 2 a'!AK$7,'Rooms Walls and Glass'!$D$1:$AB$1,0))))</f>
        <v/>
      </c>
      <c r="AL24" s="68" t="str">
        <f t="shared" si="27"/>
        <v>-</v>
      </c>
      <c r="AM24" s="66" t="str">
        <f>IF(AM$7="","",IF(INDEX('Rooms Walls and Glass'!$D$23:$AB$30, MATCH($D24,'Rooms Walls and Glass'!$A$23:$A$30,0), MATCH('Unit 2 a'!AM$7,'Rooms Walls and Glass'!$D$1:$AB$1,0))=0,"",INDEX('Rooms Walls and Glass'!$D$23:$AB$30, MATCH($D24,'Rooms Walls and Glass'!$A$23:$A$30,0), MATCH('Unit 2 a'!AM$7,'Rooms Walls and Glass'!$D$1:$AB$1,0))))</f>
        <v/>
      </c>
      <c r="AN24" s="69" t="str">
        <f t="shared" si="28"/>
        <v>-</v>
      </c>
    </row>
    <row r="25" spans="2:40" ht="11.25" customHeight="1" thickBot="1" x14ac:dyDescent="0.2">
      <c r="B25" s="214"/>
      <c r="C25" s="15" t="s">
        <v>38</v>
      </c>
      <c r="D25" s="13" t="str">
        <f>'Rooms Walls and Glass'!A27</f>
        <v>SouthEast</v>
      </c>
      <c r="E25" s="13">
        <f>INDEX('Glass CLF Calculation'!$A$20:$G$27,MATCH('Unit 2 a'!D25,'Glass CLF Calculation'!$A$20:$A$27,0),7)</f>
        <v>21</v>
      </c>
      <c r="F25" s="14">
        <f>INDEX(Summary!$F$19:$F$30,MATCH('Unit 2 a'!C25,Summary!$D$19:$D$30,0))</f>
        <v>7.6999999999999999E-2</v>
      </c>
      <c r="G25" s="14">
        <f t="shared" si="29"/>
        <v>1.617</v>
      </c>
      <c r="H25" s="16" t="s">
        <v>6</v>
      </c>
      <c r="I25" s="65">
        <f t="shared" si="13"/>
        <v>0</v>
      </c>
      <c r="J25" s="68">
        <f t="shared" si="14"/>
        <v>0</v>
      </c>
      <c r="K25" s="66" t="str">
        <f>IF(K$7="","",IF(INDEX('Rooms Walls and Glass'!$D$23:$AB$30, MATCH($D25,'Rooms Walls and Glass'!$A$23:$A$30,0), MATCH('Unit 2 a'!K$7,'Rooms Walls and Glass'!$D$1:$AB$1,0))=0,"",INDEX('Rooms Walls and Glass'!$D$23:$AB$30, MATCH($D25,'Rooms Walls and Glass'!$A$23:$A$30,0), MATCH('Unit 2 a'!K$7,'Rooms Walls and Glass'!$D$1:$AB$1,0))))</f>
        <v/>
      </c>
      <c r="L25" s="68" t="str">
        <f t="shared" si="15"/>
        <v>-</v>
      </c>
      <c r="M25" s="66" t="str">
        <f>IF(M$7="","",IF(INDEX('Rooms Walls and Glass'!$D$23:$AB$30, MATCH($D25,'Rooms Walls and Glass'!$A$23:$A$30,0), MATCH('Unit 2 a'!M$7,'Rooms Walls and Glass'!$D$1:$AB$1,0))=0,"",INDEX('Rooms Walls and Glass'!$D$23:$AB$30, MATCH($D25,'Rooms Walls and Glass'!$A$23:$A$30,0), MATCH('Unit 2 a'!M$7,'Rooms Walls and Glass'!$D$1:$AB$1,0))))</f>
        <v/>
      </c>
      <c r="N25" s="68" t="str">
        <f t="shared" si="16"/>
        <v>-</v>
      </c>
      <c r="O25" s="66" t="str">
        <f>IF(O$7="","",IF(INDEX('Rooms Walls and Glass'!$D$23:$AB$30, MATCH($D25,'Rooms Walls and Glass'!$A$23:$A$30,0), MATCH('Unit 2 a'!O$7,'Rooms Walls and Glass'!$D$1:$AB$1,0))=0,"",INDEX('Rooms Walls and Glass'!$D$23:$AB$30, MATCH($D25,'Rooms Walls and Glass'!$A$23:$A$30,0), MATCH('Unit 2 a'!O$7,'Rooms Walls and Glass'!$D$1:$AB$1,0))))</f>
        <v/>
      </c>
      <c r="P25" s="68" t="str">
        <f t="shared" si="17"/>
        <v>-</v>
      </c>
      <c r="Q25" s="66" t="str">
        <f>IF(Q$7="","",IF(INDEX('Rooms Walls and Glass'!$D$23:$AB$30, MATCH($D25,'Rooms Walls and Glass'!$A$23:$A$30,0), MATCH('Unit 2 a'!Q$7,'Rooms Walls and Glass'!$D$1:$AB$1,0))=0,"",INDEX('Rooms Walls and Glass'!$D$23:$AB$30, MATCH($D25,'Rooms Walls and Glass'!$A$23:$A$30,0), MATCH('Unit 2 a'!Q$7,'Rooms Walls and Glass'!$D$1:$AB$1,0))))</f>
        <v/>
      </c>
      <c r="R25" s="68" t="str">
        <f t="shared" si="18"/>
        <v>-</v>
      </c>
      <c r="S25" s="66" t="str">
        <f>IF(S$7="","",IF(INDEX('Rooms Walls and Glass'!$D$23:$AB$30, MATCH($D25,'Rooms Walls and Glass'!$A$23:$A$30,0), MATCH('Unit 2 a'!S$7,'Rooms Walls and Glass'!$D$1:$AB$1,0))=0,"",INDEX('Rooms Walls and Glass'!$D$23:$AB$30, MATCH($D25,'Rooms Walls and Glass'!$A$23:$A$30,0), MATCH('Unit 2 a'!S$7,'Rooms Walls and Glass'!$D$1:$AB$1,0))))</f>
        <v/>
      </c>
      <c r="T25" s="68" t="str">
        <f t="shared" si="19"/>
        <v>-</v>
      </c>
      <c r="U25" s="66" t="str">
        <f>IF(U$7="","",IF(INDEX('Rooms Walls and Glass'!$D$23:$AB$30, MATCH($D25,'Rooms Walls and Glass'!$A$23:$A$30,0), MATCH('Unit 2 a'!U$7,'Rooms Walls and Glass'!$D$1:$AB$1,0))=0,"",INDEX('Rooms Walls and Glass'!$D$23:$AB$30, MATCH($D25,'Rooms Walls and Glass'!$A$23:$A$30,0), MATCH('Unit 2 a'!U$7,'Rooms Walls and Glass'!$D$1:$AB$1,0))))</f>
        <v/>
      </c>
      <c r="V25" s="68" t="str">
        <f t="shared" si="20"/>
        <v>-</v>
      </c>
      <c r="W25" s="66" t="str">
        <f>IF(W$7="","",IF(INDEX('Rooms Walls and Glass'!$D$23:$AB$30, MATCH($D25,'Rooms Walls and Glass'!$A$23:$A$30,0), MATCH('Unit 2 a'!W$7,'Rooms Walls and Glass'!$D$1:$AB$1,0))=0,"",INDEX('Rooms Walls and Glass'!$D$23:$AB$30, MATCH($D25,'Rooms Walls and Glass'!$A$23:$A$30,0), MATCH('Unit 2 a'!W$7,'Rooms Walls and Glass'!$D$1:$AB$1,0))))</f>
        <v/>
      </c>
      <c r="X25" s="68" t="str">
        <f t="shared" si="21"/>
        <v>-</v>
      </c>
      <c r="Y25" s="66" t="str">
        <f>IF(Y$7="","",IF(INDEX('Rooms Walls and Glass'!$D$23:$AB$30, MATCH($D25,'Rooms Walls and Glass'!$A$23:$A$30,0), MATCH('Unit 2 a'!Y$7,'Rooms Walls and Glass'!$D$1:$AB$1,0))=0,"",INDEX('Rooms Walls and Glass'!$D$23:$AB$30, MATCH($D25,'Rooms Walls and Glass'!$A$23:$A$30,0), MATCH('Unit 2 a'!Y$7,'Rooms Walls and Glass'!$D$1:$AB$1,0))))</f>
        <v/>
      </c>
      <c r="Z25" s="68" t="str">
        <f t="shared" si="22"/>
        <v>-</v>
      </c>
      <c r="AA25" s="66" t="str">
        <f>IF(AA$7="","",IF(INDEX('Rooms Walls and Glass'!$D$23:$AB$30, MATCH($D25,'Rooms Walls and Glass'!$A$23:$A$30,0), MATCH('Unit 2 a'!AA$7,'Rooms Walls and Glass'!$D$1:$AB$1,0))=0,"",INDEX('Rooms Walls and Glass'!$D$23:$AB$30, MATCH($D25,'Rooms Walls and Glass'!$A$23:$A$30,0), MATCH('Unit 2 a'!AA$7,'Rooms Walls and Glass'!$D$1:$AB$1,0))))</f>
        <v/>
      </c>
      <c r="AB25" s="68" t="str">
        <f t="shared" si="23"/>
        <v>-</v>
      </c>
      <c r="AC25" s="66" t="str">
        <f>IF(AC$7="","",IF(INDEX('Rooms Walls and Glass'!$D$23:$AB$30, MATCH($D25,'Rooms Walls and Glass'!$A$23:$A$30,0), MATCH('Unit 2 a'!AC$7,'Rooms Walls and Glass'!$D$1:$AB$1,0))=0,"",INDEX('Rooms Walls and Glass'!$D$23:$AB$30, MATCH($D25,'Rooms Walls and Glass'!$A$23:$A$30,0), MATCH('Unit 2 a'!AC$7,'Rooms Walls and Glass'!$D$1:$AB$1,0))))</f>
        <v/>
      </c>
      <c r="AD25" s="68" t="str">
        <f t="shared" si="24"/>
        <v>-</v>
      </c>
      <c r="AE25" s="66" t="str">
        <f>IF(AE$7="","",IF(INDEX('Rooms Walls and Glass'!$D$23:$AB$30, MATCH($D25,'Rooms Walls and Glass'!$A$23:$A$30,0), MATCH('Unit 2 a'!AE$7,'Rooms Walls and Glass'!$D$1:$AB$1,0))=0,"",INDEX('Rooms Walls and Glass'!$D$23:$AB$30, MATCH($D25,'Rooms Walls and Glass'!$A$23:$A$30,0), MATCH('Unit 2 a'!AE$7,'Rooms Walls and Glass'!$D$1:$AB$1,0))))</f>
        <v/>
      </c>
      <c r="AF25" s="68" t="str">
        <f t="shared" si="24"/>
        <v>-</v>
      </c>
      <c r="AG25" s="66" t="str">
        <f>IF(AG$7="","",IF(INDEX('Rooms Walls and Glass'!$D$23:$AB$30, MATCH($D25,'Rooms Walls and Glass'!$A$23:$A$30,0), MATCH('Unit 2 a'!AG$7,'Rooms Walls and Glass'!$D$1:$AB$1,0))=0,"",INDEX('Rooms Walls and Glass'!$D$23:$AB$30, MATCH($D25,'Rooms Walls and Glass'!$A$23:$A$30,0), MATCH('Unit 2 a'!AG$7,'Rooms Walls and Glass'!$D$1:$AB$1,0))))</f>
        <v/>
      </c>
      <c r="AH25" s="68" t="str">
        <f t="shared" si="25"/>
        <v>-</v>
      </c>
      <c r="AI25" s="66" t="str">
        <f>IF(AI$7="","",IF(INDEX('Rooms Walls and Glass'!$D$23:$AB$30, MATCH($D25,'Rooms Walls and Glass'!$A$23:$A$30,0), MATCH('Unit 2 a'!AI$7,'Rooms Walls and Glass'!$D$1:$AB$1,0))=0,"",INDEX('Rooms Walls and Glass'!$D$23:$AB$30, MATCH($D25,'Rooms Walls and Glass'!$A$23:$A$30,0), MATCH('Unit 2 a'!AI$7,'Rooms Walls and Glass'!$D$1:$AB$1,0))))</f>
        <v/>
      </c>
      <c r="AJ25" s="69" t="str">
        <f t="shared" si="26"/>
        <v>-</v>
      </c>
      <c r="AK25" s="66" t="str">
        <f>IF(AK$7="","",IF(INDEX('Rooms Walls and Glass'!$D$23:$AB$30, MATCH($D25,'Rooms Walls and Glass'!$A$23:$A$30,0), MATCH('Unit 2 a'!AK$7,'Rooms Walls and Glass'!$D$1:$AB$1,0))=0,"",INDEX('Rooms Walls and Glass'!$D$23:$AB$30, MATCH($D25,'Rooms Walls and Glass'!$A$23:$A$30,0), MATCH('Unit 2 a'!AK$7,'Rooms Walls and Glass'!$D$1:$AB$1,0))))</f>
        <v/>
      </c>
      <c r="AL25" s="68" t="str">
        <f t="shared" si="27"/>
        <v>-</v>
      </c>
      <c r="AM25" s="66" t="str">
        <f>IF(AM$7="","",IF(INDEX('Rooms Walls and Glass'!$D$23:$AB$30, MATCH($D25,'Rooms Walls and Glass'!$A$23:$A$30,0), MATCH('Unit 2 a'!AM$7,'Rooms Walls and Glass'!$D$1:$AB$1,0))=0,"",INDEX('Rooms Walls and Glass'!$D$23:$AB$30, MATCH($D25,'Rooms Walls and Glass'!$A$23:$A$30,0), MATCH('Unit 2 a'!AM$7,'Rooms Walls and Glass'!$D$1:$AB$1,0))))</f>
        <v/>
      </c>
      <c r="AN25" s="69" t="str">
        <f t="shared" si="28"/>
        <v>-</v>
      </c>
    </row>
    <row r="26" spans="2:40" ht="11.25" customHeight="1" thickBot="1" x14ac:dyDescent="0.2">
      <c r="B26" s="214"/>
      <c r="C26" s="15" t="s">
        <v>38</v>
      </c>
      <c r="D26" s="13" t="str">
        <f>'Rooms Walls and Glass'!A28</f>
        <v>South</v>
      </c>
      <c r="E26" s="13">
        <f>INDEX('Glass CLF Calculation'!$A$20:$G$27,MATCH('Unit 2 a'!D26,'Glass CLF Calculation'!$A$20:$A$27,0),7)</f>
        <v>16</v>
      </c>
      <c r="F26" s="14">
        <f>INDEX(Summary!$F$19:$F$30,MATCH('Unit 2 a'!C26,Summary!$D$19:$D$30,0))</f>
        <v>7.6999999999999999E-2</v>
      </c>
      <c r="G26" s="14">
        <f t="shared" si="29"/>
        <v>1.232</v>
      </c>
      <c r="H26" s="16" t="s">
        <v>6</v>
      </c>
      <c r="I26" s="65">
        <f t="shared" si="13"/>
        <v>0</v>
      </c>
      <c r="J26" s="68">
        <f t="shared" si="14"/>
        <v>0</v>
      </c>
      <c r="K26" s="66" t="str">
        <f>IF(K$7="","",IF(INDEX('Rooms Walls and Glass'!$D$23:$AB$30, MATCH($D26,'Rooms Walls and Glass'!$A$23:$A$30,0), MATCH('Unit 2 a'!K$7,'Rooms Walls and Glass'!$D$1:$AB$1,0))=0,"",INDEX('Rooms Walls and Glass'!$D$23:$AB$30, MATCH($D26,'Rooms Walls and Glass'!$A$23:$A$30,0), MATCH('Unit 2 a'!K$7,'Rooms Walls and Glass'!$D$1:$AB$1,0))))</f>
        <v/>
      </c>
      <c r="L26" s="68" t="str">
        <f t="shared" si="15"/>
        <v>-</v>
      </c>
      <c r="M26" s="66" t="str">
        <f>IF(M$7="","",IF(INDEX('Rooms Walls and Glass'!$D$23:$AB$30, MATCH($D26,'Rooms Walls and Glass'!$A$23:$A$30,0), MATCH('Unit 2 a'!M$7,'Rooms Walls and Glass'!$D$1:$AB$1,0))=0,"",INDEX('Rooms Walls and Glass'!$D$23:$AB$30, MATCH($D26,'Rooms Walls and Glass'!$A$23:$A$30,0), MATCH('Unit 2 a'!M$7,'Rooms Walls and Glass'!$D$1:$AB$1,0))))</f>
        <v/>
      </c>
      <c r="N26" s="68" t="str">
        <f t="shared" si="16"/>
        <v>-</v>
      </c>
      <c r="O26" s="66" t="str">
        <f>IF(O$7="","",IF(INDEX('Rooms Walls and Glass'!$D$23:$AB$30, MATCH($D26,'Rooms Walls and Glass'!$A$23:$A$30,0), MATCH('Unit 2 a'!O$7,'Rooms Walls and Glass'!$D$1:$AB$1,0))=0,"",INDEX('Rooms Walls and Glass'!$D$23:$AB$30, MATCH($D26,'Rooms Walls and Glass'!$A$23:$A$30,0), MATCH('Unit 2 a'!O$7,'Rooms Walls and Glass'!$D$1:$AB$1,0))))</f>
        <v/>
      </c>
      <c r="P26" s="68" t="str">
        <f t="shared" si="17"/>
        <v>-</v>
      </c>
      <c r="Q26" s="66" t="str">
        <f>IF(Q$7="","",IF(INDEX('Rooms Walls and Glass'!$D$23:$AB$30, MATCH($D26,'Rooms Walls and Glass'!$A$23:$A$30,0), MATCH('Unit 2 a'!Q$7,'Rooms Walls and Glass'!$D$1:$AB$1,0))=0,"",INDEX('Rooms Walls and Glass'!$D$23:$AB$30, MATCH($D26,'Rooms Walls and Glass'!$A$23:$A$30,0), MATCH('Unit 2 a'!Q$7,'Rooms Walls and Glass'!$D$1:$AB$1,0))))</f>
        <v/>
      </c>
      <c r="R26" s="68" t="str">
        <f t="shared" si="18"/>
        <v>-</v>
      </c>
      <c r="S26" s="66" t="str">
        <f>IF(S$7="","",IF(INDEX('Rooms Walls and Glass'!$D$23:$AB$30, MATCH($D26,'Rooms Walls and Glass'!$A$23:$A$30,0), MATCH('Unit 2 a'!S$7,'Rooms Walls and Glass'!$D$1:$AB$1,0))=0,"",INDEX('Rooms Walls and Glass'!$D$23:$AB$30, MATCH($D26,'Rooms Walls and Glass'!$A$23:$A$30,0), MATCH('Unit 2 a'!S$7,'Rooms Walls and Glass'!$D$1:$AB$1,0))))</f>
        <v/>
      </c>
      <c r="T26" s="68" t="str">
        <f t="shared" si="19"/>
        <v>-</v>
      </c>
      <c r="U26" s="66" t="str">
        <f>IF(U$7="","",IF(INDEX('Rooms Walls and Glass'!$D$23:$AB$30, MATCH($D26,'Rooms Walls and Glass'!$A$23:$A$30,0), MATCH('Unit 2 a'!U$7,'Rooms Walls and Glass'!$D$1:$AB$1,0))=0,"",INDEX('Rooms Walls and Glass'!$D$23:$AB$30, MATCH($D26,'Rooms Walls and Glass'!$A$23:$A$30,0), MATCH('Unit 2 a'!U$7,'Rooms Walls and Glass'!$D$1:$AB$1,0))))</f>
        <v/>
      </c>
      <c r="V26" s="68" t="str">
        <f t="shared" si="20"/>
        <v>-</v>
      </c>
      <c r="W26" s="66" t="str">
        <f>IF(W$7="","",IF(INDEX('Rooms Walls and Glass'!$D$23:$AB$30, MATCH($D26,'Rooms Walls and Glass'!$A$23:$A$30,0), MATCH('Unit 2 a'!W$7,'Rooms Walls and Glass'!$D$1:$AB$1,0))=0,"",INDEX('Rooms Walls and Glass'!$D$23:$AB$30, MATCH($D26,'Rooms Walls and Glass'!$A$23:$A$30,0), MATCH('Unit 2 a'!W$7,'Rooms Walls and Glass'!$D$1:$AB$1,0))))</f>
        <v/>
      </c>
      <c r="X26" s="68" t="str">
        <f t="shared" si="21"/>
        <v>-</v>
      </c>
      <c r="Y26" s="66" t="str">
        <f>IF(Y$7="","",IF(INDEX('Rooms Walls and Glass'!$D$23:$AB$30, MATCH($D26,'Rooms Walls and Glass'!$A$23:$A$30,0), MATCH('Unit 2 a'!Y$7,'Rooms Walls and Glass'!$D$1:$AB$1,0))=0,"",INDEX('Rooms Walls and Glass'!$D$23:$AB$30, MATCH($D26,'Rooms Walls and Glass'!$A$23:$A$30,0), MATCH('Unit 2 a'!Y$7,'Rooms Walls and Glass'!$D$1:$AB$1,0))))</f>
        <v/>
      </c>
      <c r="Z26" s="68" t="str">
        <f t="shared" si="22"/>
        <v>-</v>
      </c>
      <c r="AA26" s="66" t="str">
        <f>IF(AA$7="","",IF(INDEX('Rooms Walls and Glass'!$D$23:$AB$30, MATCH($D26,'Rooms Walls and Glass'!$A$23:$A$30,0), MATCH('Unit 2 a'!AA$7,'Rooms Walls and Glass'!$D$1:$AB$1,0))=0,"",INDEX('Rooms Walls and Glass'!$D$23:$AB$30, MATCH($D26,'Rooms Walls and Glass'!$A$23:$A$30,0), MATCH('Unit 2 a'!AA$7,'Rooms Walls and Glass'!$D$1:$AB$1,0))))</f>
        <v/>
      </c>
      <c r="AB26" s="68" t="str">
        <f t="shared" si="23"/>
        <v>-</v>
      </c>
      <c r="AC26" s="66" t="str">
        <f>IF(AC$7="","",IF(INDEX('Rooms Walls and Glass'!$D$23:$AB$30, MATCH($D26,'Rooms Walls and Glass'!$A$23:$A$30,0), MATCH('Unit 2 a'!AC$7,'Rooms Walls and Glass'!$D$1:$AB$1,0))=0,"",INDEX('Rooms Walls and Glass'!$D$23:$AB$30, MATCH($D26,'Rooms Walls and Glass'!$A$23:$A$30,0), MATCH('Unit 2 a'!AC$7,'Rooms Walls and Glass'!$D$1:$AB$1,0))))</f>
        <v/>
      </c>
      <c r="AD26" s="68" t="str">
        <f t="shared" ref="AD26:AD47" si="30">IF(AC26="","-",AC26*$G26)</f>
        <v>-</v>
      </c>
      <c r="AE26" s="66" t="str">
        <f>IF(AE$7="","",IF(INDEX('Rooms Walls and Glass'!$D$23:$AB$30, MATCH($D26,'Rooms Walls and Glass'!$A$23:$A$30,0), MATCH('Unit 2 a'!AE$7,'Rooms Walls and Glass'!$D$1:$AB$1,0))=0,"",INDEX('Rooms Walls and Glass'!$D$23:$AB$30, MATCH($D26,'Rooms Walls and Glass'!$A$23:$A$30,0), MATCH('Unit 2 a'!AE$7,'Rooms Walls and Glass'!$D$1:$AB$1,0))))</f>
        <v/>
      </c>
      <c r="AF26" s="68" t="str">
        <f t="shared" ref="AF26:AF47" si="31">IF(AE26="","-",AE26*$G26)</f>
        <v>-</v>
      </c>
      <c r="AG26" s="66" t="str">
        <f>IF(AG$7="","",IF(INDEX('Rooms Walls and Glass'!$D$23:$AB$30, MATCH($D26,'Rooms Walls and Glass'!$A$23:$A$30,0), MATCH('Unit 2 a'!AG$7,'Rooms Walls and Glass'!$D$1:$AB$1,0))=0,"",INDEX('Rooms Walls and Glass'!$D$23:$AB$30, MATCH($D26,'Rooms Walls and Glass'!$A$23:$A$30,0), MATCH('Unit 2 a'!AG$7,'Rooms Walls and Glass'!$D$1:$AB$1,0))))</f>
        <v/>
      </c>
      <c r="AH26" s="68" t="str">
        <f t="shared" si="25"/>
        <v>-</v>
      </c>
      <c r="AI26" s="66" t="str">
        <f>IF(AI$7="","",IF(INDEX('Rooms Walls and Glass'!$D$23:$AB$30, MATCH($D26,'Rooms Walls and Glass'!$A$23:$A$30,0), MATCH('Unit 2 a'!AI$7,'Rooms Walls and Glass'!$D$1:$AB$1,0))=0,"",INDEX('Rooms Walls and Glass'!$D$23:$AB$30, MATCH($D26,'Rooms Walls and Glass'!$A$23:$A$30,0), MATCH('Unit 2 a'!AI$7,'Rooms Walls and Glass'!$D$1:$AB$1,0))))</f>
        <v/>
      </c>
      <c r="AJ26" s="69" t="str">
        <f t="shared" si="26"/>
        <v>-</v>
      </c>
      <c r="AK26" s="66" t="str">
        <f>IF(AK$7="","",IF(INDEX('Rooms Walls and Glass'!$D$23:$AB$30, MATCH($D26,'Rooms Walls and Glass'!$A$23:$A$30,0), MATCH('Unit 2 a'!AK$7,'Rooms Walls and Glass'!$D$1:$AB$1,0))=0,"",INDEX('Rooms Walls and Glass'!$D$23:$AB$30, MATCH($D26,'Rooms Walls and Glass'!$A$23:$A$30,0), MATCH('Unit 2 a'!AK$7,'Rooms Walls and Glass'!$D$1:$AB$1,0))))</f>
        <v/>
      </c>
      <c r="AL26" s="68" t="str">
        <f t="shared" si="27"/>
        <v>-</v>
      </c>
      <c r="AM26" s="66" t="str">
        <f>IF(AM$7="","",IF(INDEX('Rooms Walls and Glass'!$D$23:$AB$30, MATCH($D26,'Rooms Walls and Glass'!$A$23:$A$30,0), MATCH('Unit 2 a'!AM$7,'Rooms Walls and Glass'!$D$1:$AB$1,0))=0,"",INDEX('Rooms Walls and Glass'!$D$23:$AB$30, MATCH($D26,'Rooms Walls and Glass'!$A$23:$A$30,0), MATCH('Unit 2 a'!AM$7,'Rooms Walls and Glass'!$D$1:$AB$1,0))))</f>
        <v/>
      </c>
      <c r="AN26" s="69" t="str">
        <f t="shared" si="28"/>
        <v>-</v>
      </c>
    </row>
    <row r="27" spans="2:40" ht="11.25" customHeight="1" thickBot="1" x14ac:dyDescent="0.2">
      <c r="B27" s="214"/>
      <c r="C27" s="15" t="s">
        <v>38</v>
      </c>
      <c r="D27" s="13" t="str">
        <f>'Rooms Walls and Glass'!A29</f>
        <v>SouthWest</v>
      </c>
      <c r="E27" s="13">
        <f>INDEX('Glass CLF Calculation'!$A$20:$G$27,MATCH('Unit 2 a'!D27,'Glass CLF Calculation'!$A$20:$A$27,0),7)</f>
        <v>21</v>
      </c>
      <c r="F27" s="14">
        <f>INDEX(Summary!$F$19:$F$30,MATCH('Unit 2 a'!C27,Summary!$D$19:$D$30,0))</f>
        <v>7.6999999999999999E-2</v>
      </c>
      <c r="G27" s="14">
        <f t="shared" si="29"/>
        <v>1.617</v>
      </c>
      <c r="H27" s="16" t="s">
        <v>6</v>
      </c>
      <c r="I27" s="65">
        <f t="shared" si="13"/>
        <v>0</v>
      </c>
      <c r="J27" s="68">
        <f t="shared" si="14"/>
        <v>0</v>
      </c>
      <c r="K27" s="66" t="str">
        <f>IF(K$7="","",IF(INDEX('Rooms Walls and Glass'!$D$23:$AB$30, MATCH($D27,'Rooms Walls and Glass'!$A$23:$A$30,0), MATCH('Unit 2 a'!K$7,'Rooms Walls and Glass'!$D$1:$AB$1,0))=0,"",INDEX('Rooms Walls and Glass'!$D$23:$AB$30, MATCH($D27,'Rooms Walls and Glass'!$A$23:$A$30,0), MATCH('Unit 2 a'!K$7,'Rooms Walls and Glass'!$D$1:$AB$1,0))))</f>
        <v/>
      </c>
      <c r="L27" s="68" t="str">
        <f t="shared" si="15"/>
        <v>-</v>
      </c>
      <c r="M27" s="66" t="str">
        <f>IF(M$7="","",IF(INDEX('Rooms Walls and Glass'!$D$23:$AB$30, MATCH($D27,'Rooms Walls and Glass'!$A$23:$A$30,0), MATCH('Unit 2 a'!M$7,'Rooms Walls and Glass'!$D$1:$AB$1,0))=0,"",INDEX('Rooms Walls and Glass'!$D$23:$AB$30, MATCH($D27,'Rooms Walls and Glass'!$A$23:$A$30,0), MATCH('Unit 2 a'!M$7,'Rooms Walls and Glass'!$D$1:$AB$1,0))))</f>
        <v/>
      </c>
      <c r="N27" s="68" t="str">
        <f t="shared" si="16"/>
        <v>-</v>
      </c>
      <c r="O27" s="66" t="str">
        <f>IF(O$7="","",IF(INDEX('Rooms Walls and Glass'!$D$23:$AB$30, MATCH($D27,'Rooms Walls and Glass'!$A$23:$A$30,0), MATCH('Unit 2 a'!O$7,'Rooms Walls and Glass'!$D$1:$AB$1,0))=0,"",INDEX('Rooms Walls and Glass'!$D$23:$AB$30, MATCH($D27,'Rooms Walls and Glass'!$A$23:$A$30,0), MATCH('Unit 2 a'!O$7,'Rooms Walls and Glass'!$D$1:$AB$1,0))))</f>
        <v/>
      </c>
      <c r="P27" s="68" t="str">
        <f t="shared" si="17"/>
        <v>-</v>
      </c>
      <c r="Q27" s="66" t="str">
        <f>IF(Q$7="","",IF(INDEX('Rooms Walls and Glass'!$D$23:$AB$30, MATCH($D27,'Rooms Walls and Glass'!$A$23:$A$30,0), MATCH('Unit 2 a'!Q$7,'Rooms Walls and Glass'!$D$1:$AB$1,0))=0,"",INDEX('Rooms Walls and Glass'!$D$23:$AB$30, MATCH($D27,'Rooms Walls and Glass'!$A$23:$A$30,0), MATCH('Unit 2 a'!Q$7,'Rooms Walls and Glass'!$D$1:$AB$1,0))))</f>
        <v/>
      </c>
      <c r="R27" s="68" t="str">
        <f t="shared" si="18"/>
        <v>-</v>
      </c>
      <c r="S27" s="66" t="str">
        <f>IF(S$7="","",IF(INDEX('Rooms Walls and Glass'!$D$23:$AB$30, MATCH($D27,'Rooms Walls and Glass'!$A$23:$A$30,0), MATCH('Unit 2 a'!S$7,'Rooms Walls and Glass'!$D$1:$AB$1,0))=0,"",INDEX('Rooms Walls and Glass'!$D$23:$AB$30, MATCH($D27,'Rooms Walls and Glass'!$A$23:$A$30,0), MATCH('Unit 2 a'!S$7,'Rooms Walls and Glass'!$D$1:$AB$1,0))))</f>
        <v/>
      </c>
      <c r="T27" s="68" t="str">
        <f t="shared" si="19"/>
        <v>-</v>
      </c>
      <c r="U27" s="66" t="str">
        <f>IF(U$7="","",IF(INDEX('Rooms Walls and Glass'!$D$23:$AB$30, MATCH($D27,'Rooms Walls and Glass'!$A$23:$A$30,0), MATCH('Unit 2 a'!U$7,'Rooms Walls and Glass'!$D$1:$AB$1,0))=0,"",INDEX('Rooms Walls and Glass'!$D$23:$AB$30, MATCH($D27,'Rooms Walls and Glass'!$A$23:$A$30,0), MATCH('Unit 2 a'!U$7,'Rooms Walls and Glass'!$D$1:$AB$1,0))))</f>
        <v/>
      </c>
      <c r="V27" s="68" t="str">
        <f t="shared" si="20"/>
        <v>-</v>
      </c>
      <c r="W27" s="66" t="str">
        <f>IF(W$7="","",IF(INDEX('Rooms Walls and Glass'!$D$23:$AB$30, MATCH($D27,'Rooms Walls and Glass'!$A$23:$A$30,0), MATCH('Unit 2 a'!W$7,'Rooms Walls and Glass'!$D$1:$AB$1,0))=0,"",INDEX('Rooms Walls and Glass'!$D$23:$AB$30, MATCH($D27,'Rooms Walls and Glass'!$A$23:$A$30,0), MATCH('Unit 2 a'!W$7,'Rooms Walls and Glass'!$D$1:$AB$1,0))))</f>
        <v/>
      </c>
      <c r="X27" s="68" t="str">
        <f t="shared" si="21"/>
        <v>-</v>
      </c>
      <c r="Y27" s="66" t="str">
        <f>IF(Y$7="","",IF(INDEX('Rooms Walls and Glass'!$D$23:$AB$30, MATCH($D27,'Rooms Walls and Glass'!$A$23:$A$30,0), MATCH('Unit 2 a'!Y$7,'Rooms Walls and Glass'!$D$1:$AB$1,0))=0,"",INDEX('Rooms Walls and Glass'!$D$23:$AB$30, MATCH($D27,'Rooms Walls and Glass'!$A$23:$A$30,0), MATCH('Unit 2 a'!Y$7,'Rooms Walls and Glass'!$D$1:$AB$1,0))))</f>
        <v/>
      </c>
      <c r="Z27" s="68" t="str">
        <f t="shared" si="22"/>
        <v>-</v>
      </c>
      <c r="AA27" s="66" t="str">
        <f>IF(AA$7="","",IF(INDEX('Rooms Walls and Glass'!$D$23:$AB$30, MATCH($D27,'Rooms Walls and Glass'!$A$23:$A$30,0), MATCH('Unit 2 a'!AA$7,'Rooms Walls and Glass'!$D$1:$AB$1,0))=0,"",INDEX('Rooms Walls and Glass'!$D$23:$AB$30, MATCH($D27,'Rooms Walls and Glass'!$A$23:$A$30,0), MATCH('Unit 2 a'!AA$7,'Rooms Walls and Glass'!$D$1:$AB$1,0))))</f>
        <v/>
      </c>
      <c r="AB27" s="68" t="str">
        <f t="shared" si="23"/>
        <v>-</v>
      </c>
      <c r="AC27" s="66" t="str">
        <f>IF(AC$7="","",IF(INDEX('Rooms Walls and Glass'!$D$23:$AB$30, MATCH($D27,'Rooms Walls and Glass'!$A$23:$A$30,0), MATCH('Unit 2 a'!AC$7,'Rooms Walls and Glass'!$D$1:$AB$1,0))=0,"",INDEX('Rooms Walls and Glass'!$D$23:$AB$30, MATCH($D27,'Rooms Walls and Glass'!$A$23:$A$30,0), MATCH('Unit 2 a'!AC$7,'Rooms Walls and Glass'!$D$1:$AB$1,0))))</f>
        <v/>
      </c>
      <c r="AD27" s="68" t="str">
        <f t="shared" si="30"/>
        <v>-</v>
      </c>
      <c r="AE27" s="66" t="str">
        <f>IF(AE$7="","",IF(INDEX('Rooms Walls and Glass'!$D$23:$AB$30, MATCH($D27,'Rooms Walls and Glass'!$A$23:$A$30,0), MATCH('Unit 2 a'!AE$7,'Rooms Walls and Glass'!$D$1:$AB$1,0))=0,"",INDEX('Rooms Walls and Glass'!$D$23:$AB$30, MATCH($D27,'Rooms Walls and Glass'!$A$23:$A$30,0), MATCH('Unit 2 a'!AE$7,'Rooms Walls and Glass'!$D$1:$AB$1,0))))</f>
        <v/>
      </c>
      <c r="AF27" s="68" t="str">
        <f t="shared" si="31"/>
        <v>-</v>
      </c>
      <c r="AG27" s="66" t="str">
        <f>IF(AG$7="","",IF(INDEX('Rooms Walls and Glass'!$D$23:$AB$30, MATCH($D27,'Rooms Walls and Glass'!$A$23:$A$30,0), MATCH('Unit 2 a'!AG$7,'Rooms Walls and Glass'!$D$1:$AB$1,0))=0,"",INDEX('Rooms Walls and Glass'!$D$23:$AB$30, MATCH($D27,'Rooms Walls and Glass'!$A$23:$A$30,0), MATCH('Unit 2 a'!AG$7,'Rooms Walls and Glass'!$D$1:$AB$1,0))))</f>
        <v/>
      </c>
      <c r="AH27" s="68" t="str">
        <f t="shared" si="25"/>
        <v>-</v>
      </c>
      <c r="AI27" s="66" t="str">
        <f>IF(AI$7="","",IF(INDEX('Rooms Walls and Glass'!$D$23:$AB$30, MATCH($D27,'Rooms Walls and Glass'!$A$23:$A$30,0), MATCH('Unit 2 a'!AI$7,'Rooms Walls and Glass'!$D$1:$AB$1,0))=0,"",INDEX('Rooms Walls and Glass'!$D$23:$AB$30, MATCH($D27,'Rooms Walls and Glass'!$A$23:$A$30,0), MATCH('Unit 2 a'!AI$7,'Rooms Walls and Glass'!$D$1:$AB$1,0))))</f>
        <v/>
      </c>
      <c r="AJ27" s="69" t="str">
        <f t="shared" si="26"/>
        <v>-</v>
      </c>
      <c r="AK27" s="66" t="str">
        <f>IF(AK$7="","",IF(INDEX('Rooms Walls and Glass'!$D$23:$AB$30, MATCH($D27,'Rooms Walls and Glass'!$A$23:$A$30,0), MATCH('Unit 2 a'!AK$7,'Rooms Walls and Glass'!$D$1:$AB$1,0))=0,"",INDEX('Rooms Walls and Glass'!$D$23:$AB$30, MATCH($D27,'Rooms Walls and Glass'!$A$23:$A$30,0), MATCH('Unit 2 a'!AK$7,'Rooms Walls and Glass'!$D$1:$AB$1,0))))</f>
        <v/>
      </c>
      <c r="AL27" s="68" t="str">
        <f t="shared" si="27"/>
        <v>-</v>
      </c>
      <c r="AM27" s="66" t="str">
        <f>IF(AM$7="","",IF(INDEX('Rooms Walls and Glass'!$D$23:$AB$30, MATCH($D27,'Rooms Walls and Glass'!$A$23:$A$30,0), MATCH('Unit 2 a'!AM$7,'Rooms Walls and Glass'!$D$1:$AB$1,0))=0,"",INDEX('Rooms Walls and Glass'!$D$23:$AB$30, MATCH($D27,'Rooms Walls and Glass'!$A$23:$A$30,0), MATCH('Unit 2 a'!AM$7,'Rooms Walls and Glass'!$D$1:$AB$1,0))))</f>
        <v/>
      </c>
      <c r="AN27" s="69" t="str">
        <f t="shared" si="28"/>
        <v>-</v>
      </c>
    </row>
    <row r="28" spans="2:40" ht="11.25" customHeight="1" thickBot="1" x14ac:dyDescent="0.2">
      <c r="B28" s="213"/>
      <c r="C28" s="17" t="s">
        <v>38</v>
      </c>
      <c r="D28" s="13" t="str">
        <f>'Rooms Walls and Glass'!A30</f>
        <v>West</v>
      </c>
      <c r="E28" s="13">
        <f>INDEX('Glass CLF Calculation'!$A$20:$G$27,MATCH('Unit 2 a'!D28,'Glass CLF Calculation'!$A$20:$A$27,0),7)</f>
        <v>23</v>
      </c>
      <c r="F28" s="14">
        <f>INDEX(Summary!$F$19:$F$30,MATCH('Unit 2 a'!C28,Summary!$D$19:$D$30,0))</f>
        <v>7.6999999999999999E-2</v>
      </c>
      <c r="G28" s="14">
        <f t="shared" si="29"/>
        <v>1.7709999999999999</v>
      </c>
      <c r="H28" s="18" t="s">
        <v>6</v>
      </c>
      <c r="I28" s="65">
        <f t="shared" si="13"/>
        <v>0</v>
      </c>
      <c r="J28" s="70">
        <f t="shared" si="14"/>
        <v>0</v>
      </c>
      <c r="K28" s="66" t="str">
        <f>IF(K$7="","",IF(INDEX('Rooms Walls and Glass'!$D$23:$AB$30, MATCH($D28,'Rooms Walls and Glass'!$A$23:$A$30,0), MATCH('Unit 2 a'!K$7,'Rooms Walls and Glass'!$D$1:$AB$1,0))=0,"",INDEX('Rooms Walls and Glass'!$D$23:$AB$30, MATCH($D28,'Rooms Walls and Glass'!$A$23:$A$30,0), MATCH('Unit 2 a'!K$7,'Rooms Walls and Glass'!$D$1:$AB$1,0))))</f>
        <v/>
      </c>
      <c r="L28" s="70" t="str">
        <f t="shared" si="15"/>
        <v>-</v>
      </c>
      <c r="M28" s="66" t="str">
        <f>IF(M$7="","",IF(INDEX('Rooms Walls and Glass'!$D$23:$AB$30, MATCH($D28,'Rooms Walls and Glass'!$A$23:$A$30,0), MATCH('Unit 2 a'!M$7,'Rooms Walls and Glass'!$D$1:$AB$1,0))=0,"",INDEX('Rooms Walls and Glass'!$D$23:$AB$30, MATCH($D28,'Rooms Walls and Glass'!$A$23:$A$30,0), MATCH('Unit 2 a'!M$7,'Rooms Walls and Glass'!$D$1:$AB$1,0))))</f>
        <v/>
      </c>
      <c r="N28" s="70" t="str">
        <f t="shared" si="16"/>
        <v>-</v>
      </c>
      <c r="O28" s="66" t="str">
        <f>IF(O$7="","",IF(INDEX('Rooms Walls and Glass'!$D$23:$AB$30, MATCH($D28,'Rooms Walls and Glass'!$A$23:$A$30,0), MATCH('Unit 2 a'!O$7,'Rooms Walls and Glass'!$D$1:$AB$1,0))=0,"",INDEX('Rooms Walls and Glass'!$D$23:$AB$30, MATCH($D28,'Rooms Walls and Glass'!$A$23:$A$30,0), MATCH('Unit 2 a'!O$7,'Rooms Walls and Glass'!$D$1:$AB$1,0))))</f>
        <v/>
      </c>
      <c r="P28" s="70" t="str">
        <f t="shared" si="17"/>
        <v>-</v>
      </c>
      <c r="Q28" s="66" t="str">
        <f>IF(Q$7="","",IF(INDEX('Rooms Walls and Glass'!$D$23:$AB$30, MATCH($D28,'Rooms Walls and Glass'!$A$23:$A$30,0), MATCH('Unit 2 a'!Q$7,'Rooms Walls and Glass'!$D$1:$AB$1,0))=0,"",INDEX('Rooms Walls and Glass'!$D$23:$AB$30, MATCH($D28,'Rooms Walls and Glass'!$A$23:$A$30,0), MATCH('Unit 2 a'!Q$7,'Rooms Walls and Glass'!$D$1:$AB$1,0))))</f>
        <v/>
      </c>
      <c r="R28" s="70" t="str">
        <f t="shared" si="18"/>
        <v>-</v>
      </c>
      <c r="S28" s="66" t="str">
        <f>IF(S$7="","",IF(INDEX('Rooms Walls and Glass'!$D$23:$AB$30, MATCH($D28,'Rooms Walls and Glass'!$A$23:$A$30,0), MATCH('Unit 2 a'!S$7,'Rooms Walls and Glass'!$D$1:$AB$1,0))=0,"",INDEX('Rooms Walls and Glass'!$D$23:$AB$30, MATCH($D28,'Rooms Walls and Glass'!$A$23:$A$30,0), MATCH('Unit 2 a'!S$7,'Rooms Walls and Glass'!$D$1:$AB$1,0))))</f>
        <v/>
      </c>
      <c r="T28" s="70" t="str">
        <f t="shared" si="19"/>
        <v>-</v>
      </c>
      <c r="U28" s="66" t="str">
        <f>IF(U$7="","",IF(INDEX('Rooms Walls and Glass'!$D$23:$AB$30, MATCH($D28,'Rooms Walls and Glass'!$A$23:$A$30,0), MATCH('Unit 2 a'!U$7,'Rooms Walls and Glass'!$D$1:$AB$1,0))=0,"",INDEX('Rooms Walls and Glass'!$D$23:$AB$30, MATCH($D28,'Rooms Walls and Glass'!$A$23:$A$30,0), MATCH('Unit 2 a'!U$7,'Rooms Walls and Glass'!$D$1:$AB$1,0))))</f>
        <v/>
      </c>
      <c r="V28" s="70" t="str">
        <f t="shared" si="20"/>
        <v>-</v>
      </c>
      <c r="W28" s="66" t="str">
        <f>IF(W$7="","",IF(INDEX('Rooms Walls and Glass'!$D$23:$AB$30, MATCH($D28,'Rooms Walls and Glass'!$A$23:$A$30,0), MATCH('Unit 2 a'!W$7,'Rooms Walls and Glass'!$D$1:$AB$1,0))=0,"",INDEX('Rooms Walls and Glass'!$D$23:$AB$30, MATCH($D28,'Rooms Walls and Glass'!$A$23:$A$30,0), MATCH('Unit 2 a'!W$7,'Rooms Walls and Glass'!$D$1:$AB$1,0))))</f>
        <v/>
      </c>
      <c r="X28" s="70" t="str">
        <f t="shared" si="21"/>
        <v>-</v>
      </c>
      <c r="Y28" s="66" t="str">
        <f>IF(Y$7="","",IF(INDEX('Rooms Walls and Glass'!$D$23:$AB$30, MATCH($D28,'Rooms Walls and Glass'!$A$23:$A$30,0), MATCH('Unit 2 a'!Y$7,'Rooms Walls and Glass'!$D$1:$AB$1,0))=0,"",INDEX('Rooms Walls and Glass'!$D$23:$AB$30, MATCH($D28,'Rooms Walls and Glass'!$A$23:$A$30,0), MATCH('Unit 2 a'!Y$7,'Rooms Walls and Glass'!$D$1:$AB$1,0))))</f>
        <v/>
      </c>
      <c r="Z28" s="70" t="str">
        <f t="shared" si="22"/>
        <v>-</v>
      </c>
      <c r="AA28" s="66" t="str">
        <f>IF(AA$7="","",IF(INDEX('Rooms Walls and Glass'!$D$23:$AB$30, MATCH($D28,'Rooms Walls and Glass'!$A$23:$A$30,0), MATCH('Unit 2 a'!AA$7,'Rooms Walls and Glass'!$D$1:$AB$1,0))=0,"",INDEX('Rooms Walls and Glass'!$D$23:$AB$30, MATCH($D28,'Rooms Walls and Glass'!$A$23:$A$30,0), MATCH('Unit 2 a'!AA$7,'Rooms Walls and Glass'!$D$1:$AB$1,0))))</f>
        <v/>
      </c>
      <c r="AB28" s="70" t="str">
        <f t="shared" si="23"/>
        <v>-</v>
      </c>
      <c r="AC28" s="66" t="str">
        <f>IF(AC$7="","",IF(INDEX('Rooms Walls and Glass'!$D$23:$AB$30, MATCH($D28,'Rooms Walls and Glass'!$A$23:$A$30,0), MATCH('Unit 2 a'!AC$7,'Rooms Walls and Glass'!$D$1:$AB$1,0))=0,"",INDEX('Rooms Walls and Glass'!$D$23:$AB$30, MATCH($D28,'Rooms Walls and Glass'!$A$23:$A$30,0), MATCH('Unit 2 a'!AC$7,'Rooms Walls and Glass'!$D$1:$AB$1,0))))</f>
        <v/>
      </c>
      <c r="AD28" s="70" t="str">
        <f t="shared" si="30"/>
        <v>-</v>
      </c>
      <c r="AE28" s="66" t="str">
        <f>IF(AE$7="","",IF(INDEX('Rooms Walls and Glass'!$D$23:$AB$30, MATCH($D28,'Rooms Walls and Glass'!$A$23:$A$30,0), MATCH('Unit 2 a'!AE$7,'Rooms Walls and Glass'!$D$1:$AB$1,0))=0,"",INDEX('Rooms Walls and Glass'!$D$23:$AB$30, MATCH($D28,'Rooms Walls and Glass'!$A$23:$A$30,0), MATCH('Unit 2 a'!AE$7,'Rooms Walls and Glass'!$D$1:$AB$1,0))))</f>
        <v/>
      </c>
      <c r="AF28" s="70" t="str">
        <f t="shared" si="31"/>
        <v>-</v>
      </c>
      <c r="AG28" s="66" t="str">
        <f>IF(AG$7="","",IF(INDEX('Rooms Walls and Glass'!$D$23:$AB$30, MATCH($D28,'Rooms Walls and Glass'!$A$23:$A$30,0), MATCH('Unit 2 a'!AG$7,'Rooms Walls and Glass'!$D$1:$AB$1,0))=0,"",INDEX('Rooms Walls and Glass'!$D$23:$AB$30, MATCH($D28,'Rooms Walls and Glass'!$A$23:$A$30,0), MATCH('Unit 2 a'!AG$7,'Rooms Walls and Glass'!$D$1:$AB$1,0))))</f>
        <v/>
      </c>
      <c r="AH28" s="70" t="str">
        <f t="shared" si="25"/>
        <v>-</v>
      </c>
      <c r="AI28" s="66" t="str">
        <f>IF(AI$7="","",IF(INDEX('Rooms Walls and Glass'!$D$23:$AB$30, MATCH($D28,'Rooms Walls and Glass'!$A$23:$A$30,0), MATCH('Unit 2 a'!AI$7,'Rooms Walls and Glass'!$D$1:$AB$1,0))=0,"",INDEX('Rooms Walls and Glass'!$D$23:$AB$30, MATCH($D28,'Rooms Walls and Glass'!$A$23:$A$30,0), MATCH('Unit 2 a'!AI$7,'Rooms Walls and Glass'!$D$1:$AB$1,0))))</f>
        <v/>
      </c>
      <c r="AJ28" s="71" t="str">
        <f t="shared" si="26"/>
        <v>-</v>
      </c>
      <c r="AK28" s="66" t="str">
        <f>IF(AK$7="","",IF(INDEX('Rooms Walls and Glass'!$D$23:$AB$30, MATCH($D28,'Rooms Walls and Glass'!$A$23:$A$30,0), MATCH('Unit 2 a'!AK$7,'Rooms Walls and Glass'!$D$1:$AB$1,0))=0,"",INDEX('Rooms Walls and Glass'!$D$23:$AB$30, MATCH($D28,'Rooms Walls and Glass'!$A$23:$A$30,0), MATCH('Unit 2 a'!AK$7,'Rooms Walls and Glass'!$D$1:$AB$1,0))))</f>
        <v/>
      </c>
      <c r="AL28" s="70" t="str">
        <f t="shared" si="27"/>
        <v>-</v>
      </c>
      <c r="AM28" s="66" t="str">
        <f>IF(AM$7="","",IF(INDEX('Rooms Walls and Glass'!$D$23:$AB$30, MATCH($D28,'Rooms Walls and Glass'!$A$23:$A$30,0), MATCH('Unit 2 a'!AM$7,'Rooms Walls and Glass'!$D$1:$AB$1,0))=0,"",INDEX('Rooms Walls and Glass'!$D$23:$AB$30, MATCH($D28,'Rooms Walls and Glass'!$A$23:$A$30,0), MATCH('Unit 2 a'!AM$7,'Rooms Walls and Glass'!$D$1:$AB$1,0))))</f>
        <v/>
      </c>
      <c r="AN28" s="71" t="str">
        <f t="shared" si="28"/>
        <v>-</v>
      </c>
    </row>
    <row r="29" spans="2:40" ht="11.25" customHeight="1" thickBot="1" x14ac:dyDescent="0.2">
      <c r="B29" s="212" t="s">
        <v>78</v>
      </c>
      <c r="C29" s="12" t="s">
        <v>38</v>
      </c>
      <c r="D29" s="13" t="str">
        <f>'Rooms Walls and Glass'!A35</f>
        <v>NorthWest</v>
      </c>
      <c r="E29" s="13">
        <f>INDEX('Glass CLF Calculation'!$A$20:$G$27,MATCH('Unit 2 a'!D29,'Glass CLF Calculation'!$A$20:$A$27,0),7)</f>
        <v>19</v>
      </c>
      <c r="F29" s="14">
        <f>INDEX(Summary!$F$19:$F$30,MATCH('Unit 2 a'!C29,Summary!$D$19:$D$30,0))</f>
        <v>7.6999999999999999E-2</v>
      </c>
      <c r="G29" s="14">
        <f t="shared" si="29"/>
        <v>1.4630000000000001</v>
      </c>
      <c r="H29" s="13" t="s">
        <v>6</v>
      </c>
      <c r="I29" s="65">
        <f t="shared" si="13"/>
        <v>0</v>
      </c>
      <c r="J29" s="65">
        <f t="shared" si="14"/>
        <v>0</v>
      </c>
      <c r="K29" s="66" t="str">
        <f>IF(K$7="","",IF(INDEX('Rooms Walls and Glass'!$D$35:$AB$42, MATCH($D29,'Rooms Walls and Glass'!$A$35:$A$42,0), MATCH('Unit 2 a'!K$7,'Rooms Walls and Glass'!$D$1:$AB$1,0))=0,"",INDEX('Rooms Walls and Glass'!$D$35:$AB$42, MATCH($D29,'Rooms Walls and Glass'!$A$35:$A$42,0), MATCH('Unit 2 a'!K$7,'Rooms Walls and Glass'!$D$1:$AB$1,0))))</f>
        <v/>
      </c>
      <c r="L29" s="65" t="str">
        <f t="shared" si="15"/>
        <v>-</v>
      </c>
      <c r="M29" s="66" t="str">
        <f>IF(M$7="","",IF(INDEX('Rooms Walls and Glass'!$D$35:$AB$42, MATCH($D29,'Rooms Walls and Glass'!$A$35:$A$42,0), MATCH('Unit 2 a'!M$7,'Rooms Walls and Glass'!$D$1:$AB$1,0))=0,"",INDEX('Rooms Walls and Glass'!$D$35:$AB$42, MATCH($D29,'Rooms Walls and Glass'!$A$35:$A$42,0), MATCH('Unit 2 a'!M$7,'Rooms Walls and Glass'!$D$1:$AB$1,0))))</f>
        <v/>
      </c>
      <c r="N29" s="65" t="str">
        <f t="shared" si="16"/>
        <v>-</v>
      </c>
      <c r="O29" s="66" t="str">
        <f>IF(O$7="","",IF(INDEX('Rooms Walls and Glass'!$D$35:$AB$42, MATCH($D29,'Rooms Walls and Glass'!$A$35:$A$42,0), MATCH('Unit 2 a'!O$7,'Rooms Walls and Glass'!$D$1:$AB$1,0))=0,"",INDEX('Rooms Walls and Glass'!$D$35:$AB$42, MATCH($D29,'Rooms Walls and Glass'!$A$35:$A$42,0), MATCH('Unit 2 a'!O$7,'Rooms Walls and Glass'!$D$1:$AB$1,0))))</f>
        <v/>
      </c>
      <c r="P29" s="65" t="str">
        <f t="shared" si="17"/>
        <v>-</v>
      </c>
      <c r="Q29" s="66" t="str">
        <f>IF(Q$7="","",IF(INDEX('Rooms Walls and Glass'!$D$35:$AB$42, MATCH($D29,'Rooms Walls and Glass'!$A$35:$A$42,0), MATCH('Unit 2 a'!Q$7,'Rooms Walls and Glass'!$D$1:$AB$1,0))=0,"",INDEX('Rooms Walls and Glass'!$D$35:$AB$42, MATCH($D29,'Rooms Walls and Glass'!$A$35:$A$42,0), MATCH('Unit 2 a'!Q$7,'Rooms Walls and Glass'!$D$1:$AB$1,0))))</f>
        <v/>
      </c>
      <c r="R29" s="65" t="str">
        <f t="shared" si="18"/>
        <v>-</v>
      </c>
      <c r="S29" s="66" t="str">
        <f>IF(S$7="","",IF(INDEX('Rooms Walls and Glass'!$D$35:$AB$42, MATCH($D29,'Rooms Walls and Glass'!$A$35:$A$42,0), MATCH('Unit 2 a'!S$7,'Rooms Walls and Glass'!$D$1:$AB$1,0))=0,"",INDEX('Rooms Walls and Glass'!$D$35:$AB$42, MATCH($D29,'Rooms Walls and Glass'!$A$35:$A$42,0), MATCH('Unit 2 a'!S$7,'Rooms Walls and Glass'!$D$1:$AB$1,0))))</f>
        <v/>
      </c>
      <c r="T29" s="65" t="str">
        <f t="shared" si="19"/>
        <v>-</v>
      </c>
      <c r="U29" s="66" t="str">
        <f>IF(U$7="","",IF(INDEX('Rooms Walls and Glass'!$D$35:$AB$42, MATCH($D29,'Rooms Walls and Glass'!$A$35:$A$42,0), MATCH('Unit 2 a'!U$7,'Rooms Walls and Glass'!$D$1:$AB$1,0))=0,"",INDEX('Rooms Walls and Glass'!$D$35:$AB$42, MATCH($D29,'Rooms Walls and Glass'!$A$35:$A$42,0), MATCH('Unit 2 a'!U$7,'Rooms Walls and Glass'!$D$1:$AB$1,0))))</f>
        <v/>
      </c>
      <c r="V29" s="65" t="str">
        <f t="shared" si="20"/>
        <v>-</v>
      </c>
      <c r="W29" s="66" t="str">
        <f>IF(W$7="","",IF(INDEX('Rooms Walls and Glass'!$D$35:$AB$42, MATCH($D29,'Rooms Walls and Glass'!$A$35:$A$42,0), MATCH('Unit 2 a'!W$7,'Rooms Walls and Glass'!$D$1:$AB$1,0))=0,"",INDEX('Rooms Walls and Glass'!$D$35:$AB$42, MATCH($D29,'Rooms Walls and Glass'!$A$35:$A$42,0), MATCH('Unit 2 a'!W$7,'Rooms Walls and Glass'!$D$1:$AB$1,0))))</f>
        <v/>
      </c>
      <c r="X29" s="65" t="str">
        <f t="shared" si="21"/>
        <v>-</v>
      </c>
      <c r="Y29" s="66" t="str">
        <f>IF(Y$7="","",IF(INDEX('Rooms Walls and Glass'!$D$35:$AB$42, MATCH($D29,'Rooms Walls and Glass'!$A$35:$A$42,0), MATCH('Unit 2 a'!Y$7,'Rooms Walls and Glass'!$D$1:$AB$1,0))=0,"",INDEX('Rooms Walls and Glass'!$D$35:$AB$42, MATCH($D29,'Rooms Walls and Glass'!$A$35:$A$42,0), MATCH('Unit 2 a'!Y$7,'Rooms Walls and Glass'!$D$1:$AB$1,0))))</f>
        <v/>
      </c>
      <c r="Z29" s="65" t="str">
        <f t="shared" si="22"/>
        <v>-</v>
      </c>
      <c r="AA29" s="66" t="str">
        <f>IF(AA$7="","",IF(INDEX('Rooms Walls and Glass'!$D$35:$AB$42, MATCH($D29,'Rooms Walls and Glass'!$A$35:$A$42,0), MATCH('Unit 2 a'!AA$7,'Rooms Walls and Glass'!$D$1:$AB$1,0))=0,"",INDEX('Rooms Walls and Glass'!$D$35:$AB$42, MATCH($D29,'Rooms Walls and Glass'!$A$35:$A$42,0), MATCH('Unit 2 a'!AA$7,'Rooms Walls and Glass'!$D$1:$AB$1,0))))</f>
        <v/>
      </c>
      <c r="AB29" s="65" t="str">
        <f t="shared" si="23"/>
        <v>-</v>
      </c>
      <c r="AC29" s="66" t="str">
        <f>IF(AC$7="","",IF(INDEX('Rooms Walls and Glass'!$D$35:$AB$42, MATCH($D29,'Rooms Walls and Glass'!$A$35:$A$42,0), MATCH('Unit 2 a'!AC$7,'Rooms Walls and Glass'!$D$1:$AB$1,0))=0,"",INDEX('Rooms Walls and Glass'!$D$35:$AB$42, MATCH($D29,'Rooms Walls and Glass'!$A$35:$A$42,0), MATCH('Unit 2 a'!AC$7,'Rooms Walls and Glass'!$D$1:$AB$1,0))))</f>
        <v/>
      </c>
      <c r="AD29" s="65" t="str">
        <f t="shared" si="30"/>
        <v>-</v>
      </c>
      <c r="AE29" s="66" t="str">
        <f>IF(AE$7="","",IF(INDEX('Rooms Walls and Glass'!$D$35:$AB$42, MATCH($D29,'Rooms Walls and Glass'!$A$35:$A$42,0), MATCH('Unit 2 a'!AE$7,'Rooms Walls and Glass'!$D$1:$AB$1,0))=0,"",INDEX('Rooms Walls and Glass'!$D$35:$AB$42, MATCH($D29,'Rooms Walls and Glass'!$A$35:$A$42,0), MATCH('Unit 2 a'!AE$7,'Rooms Walls and Glass'!$D$1:$AB$1,0))))</f>
        <v/>
      </c>
      <c r="AF29" s="65" t="str">
        <f t="shared" si="31"/>
        <v>-</v>
      </c>
      <c r="AG29" s="66" t="str">
        <f>IF(AG$7="","",IF(INDEX('Rooms Walls and Glass'!$D$35:$AB$42, MATCH($D29,'Rooms Walls and Glass'!$A$35:$A$42,0), MATCH('Unit 2 a'!AG$7,'Rooms Walls and Glass'!$D$1:$AB$1,0))=0,"",INDEX('Rooms Walls and Glass'!$D$35:$AB$42, MATCH($D29,'Rooms Walls and Glass'!$A$35:$A$42,0), MATCH('Unit 2 a'!AG$7,'Rooms Walls and Glass'!$D$1:$AB$1,0))))</f>
        <v/>
      </c>
      <c r="AH29" s="65" t="str">
        <f t="shared" si="25"/>
        <v>-</v>
      </c>
      <c r="AI29" s="66" t="str">
        <f>IF(AI$7="","",IF(INDEX('Rooms Walls and Glass'!$D$35:$AB$42, MATCH($D29,'Rooms Walls and Glass'!$A$35:$A$42,0), MATCH('Unit 2 a'!AI$7,'Rooms Walls and Glass'!$D$1:$AB$1,0))=0,"",INDEX('Rooms Walls and Glass'!$D$35:$AB$42, MATCH($D29,'Rooms Walls and Glass'!$A$35:$A$42,0), MATCH('Unit 2 a'!AI$7,'Rooms Walls and Glass'!$D$1:$AB$1,0))))</f>
        <v/>
      </c>
      <c r="AJ29" s="67" t="str">
        <f t="shared" si="26"/>
        <v>-</v>
      </c>
      <c r="AK29" s="66" t="str">
        <f>IF(AK$7="","",IF(INDEX('Rooms Walls and Glass'!$D$35:$AB$42, MATCH($D29,'Rooms Walls and Glass'!$A$35:$A$42,0), MATCH('Unit 2 a'!AK$7,'Rooms Walls and Glass'!$D$1:$AB$1,0))=0,"",INDEX('Rooms Walls and Glass'!$D$35:$AB$42, MATCH($D29,'Rooms Walls and Glass'!$A$35:$A$42,0), MATCH('Unit 2 a'!AK$7,'Rooms Walls and Glass'!$D$1:$AB$1,0))))</f>
        <v/>
      </c>
      <c r="AL29" s="65" t="str">
        <f t="shared" si="27"/>
        <v>-</v>
      </c>
      <c r="AM29" s="66" t="str">
        <f>IF(AM$7="","",IF(INDEX('Rooms Walls and Glass'!$D$35:$AB$42, MATCH($D29,'Rooms Walls and Glass'!$A$35:$A$42,0), MATCH('Unit 2 a'!AM$7,'Rooms Walls and Glass'!$D$1:$AB$1,0))=0,"",INDEX('Rooms Walls and Glass'!$D$35:$AB$42, MATCH($D29,'Rooms Walls and Glass'!$A$35:$A$42,0), MATCH('Unit 2 a'!AM$7,'Rooms Walls and Glass'!$D$1:$AB$1,0))))</f>
        <v/>
      </c>
      <c r="AN29" s="67" t="str">
        <f t="shared" si="28"/>
        <v>-</v>
      </c>
    </row>
    <row r="30" spans="2:40" ht="11.25" customHeight="1" thickBot="1" x14ac:dyDescent="0.2">
      <c r="B30" s="214"/>
      <c r="C30" s="15" t="s">
        <v>38</v>
      </c>
      <c r="D30" s="13" t="str">
        <f>'Rooms Walls and Glass'!A36</f>
        <v>North</v>
      </c>
      <c r="E30" s="13">
        <f>INDEX('Glass CLF Calculation'!$A$20:$G$27,MATCH('Unit 2 a'!D30,'Glass CLF Calculation'!$A$20:$A$27,0),7)</f>
        <v>13</v>
      </c>
      <c r="F30" s="14">
        <f>INDEX(Summary!$F$19:$F$30,MATCH('Unit 2 a'!C30,Summary!$D$19:$D$30,0))</f>
        <v>7.6999999999999999E-2</v>
      </c>
      <c r="G30" s="14">
        <f t="shared" si="29"/>
        <v>1.0009999999999999</v>
      </c>
      <c r="H30" s="16" t="s">
        <v>6</v>
      </c>
      <c r="I30" s="65">
        <f t="shared" si="13"/>
        <v>0</v>
      </c>
      <c r="J30" s="68">
        <f t="shared" si="14"/>
        <v>0</v>
      </c>
      <c r="K30" s="66" t="str">
        <f>IF(K$7="","",IF(INDEX('Rooms Walls and Glass'!$D$35:$AB$42, MATCH($D30,'Rooms Walls and Glass'!$A$35:$A$42,0), MATCH('Unit 2 a'!K$7,'Rooms Walls and Glass'!$D$1:$AB$1,0))=0,"",INDEX('Rooms Walls and Glass'!$D$35:$AB$42, MATCH($D30,'Rooms Walls and Glass'!$A$35:$A$42,0), MATCH('Unit 2 a'!K$7,'Rooms Walls and Glass'!$D$1:$AB$1,0))))</f>
        <v/>
      </c>
      <c r="L30" s="68" t="str">
        <f t="shared" si="15"/>
        <v>-</v>
      </c>
      <c r="M30" s="66" t="str">
        <f>IF(M$7="","",IF(INDEX('Rooms Walls and Glass'!$D$35:$AB$42, MATCH($D30,'Rooms Walls and Glass'!$A$35:$A$42,0), MATCH('Unit 2 a'!M$7,'Rooms Walls and Glass'!$D$1:$AB$1,0))=0,"",INDEX('Rooms Walls and Glass'!$D$35:$AB$42, MATCH($D30,'Rooms Walls and Glass'!$A$35:$A$42,0), MATCH('Unit 2 a'!M$7,'Rooms Walls and Glass'!$D$1:$AB$1,0))))</f>
        <v/>
      </c>
      <c r="N30" s="68" t="str">
        <f t="shared" si="16"/>
        <v>-</v>
      </c>
      <c r="O30" s="66" t="str">
        <f>IF(O$7="","",IF(INDEX('Rooms Walls and Glass'!$D$35:$AB$42, MATCH($D30,'Rooms Walls and Glass'!$A$35:$A$42,0), MATCH('Unit 2 a'!O$7,'Rooms Walls and Glass'!$D$1:$AB$1,0))=0,"",INDEX('Rooms Walls and Glass'!$D$35:$AB$42, MATCH($D30,'Rooms Walls and Glass'!$A$35:$A$42,0), MATCH('Unit 2 a'!O$7,'Rooms Walls and Glass'!$D$1:$AB$1,0))))</f>
        <v/>
      </c>
      <c r="P30" s="68" t="str">
        <f t="shared" si="17"/>
        <v>-</v>
      </c>
      <c r="Q30" s="66" t="str">
        <f>IF(Q$7="","",IF(INDEX('Rooms Walls and Glass'!$D$35:$AB$42, MATCH($D30,'Rooms Walls and Glass'!$A$35:$A$42,0), MATCH('Unit 2 a'!Q$7,'Rooms Walls and Glass'!$D$1:$AB$1,0))=0,"",INDEX('Rooms Walls and Glass'!$D$35:$AB$42, MATCH($D30,'Rooms Walls and Glass'!$A$35:$A$42,0), MATCH('Unit 2 a'!Q$7,'Rooms Walls and Glass'!$D$1:$AB$1,0))))</f>
        <v/>
      </c>
      <c r="R30" s="68" t="str">
        <f t="shared" si="18"/>
        <v>-</v>
      </c>
      <c r="S30" s="66" t="str">
        <f>IF(S$7="","",IF(INDEX('Rooms Walls and Glass'!$D$35:$AB$42, MATCH($D30,'Rooms Walls and Glass'!$A$35:$A$42,0), MATCH('Unit 2 a'!S$7,'Rooms Walls and Glass'!$D$1:$AB$1,0))=0,"",INDEX('Rooms Walls and Glass'!$D$35:$AB$42, MATCH($D30,'Rooms Walls and Glass'!$A$35:$A$42,0), MATCH('Unit 2 a'!S$7,'Rooms Walls and Glass'!$D$1:$AB$1,0))))</f>
        <v/>
      </c>
      <c r="T30" s="68" t="str">
        <f t="shared" si="19"/>
        <v>-</v>
      </c>
      <c r="U30" s="66" t="str">
        <f>IF(U$7="","",IF(INDEX('Rooms Walls and Glass'!$D$35:$AB$42, MATCH($D30,'Rooms Walls and Glass'!$A$35:$A$42,0), MATCH('Unit 2 a'!U$7,'Rooms Walls and Glass'!$D$1:$AB$1,0))=0,"",INDEX('Rooms Walls and Glass'!$D$35:$AB$42, MATCH($D30,'Rooms Walls and Glass'!$A$35:$A$42,0), MATCH('Unit 2 a'!U$7,'Rooms Walls and Glass'!$D$1:$AB$1,0))))</f>
        <v/>
      </c>
      <c r="V30" s="68" t="str">
        <f t="shared" si="20"/>
        <v>-</v>
      </c>
      <c r="W30" s="66" t="str">
        <f>IF(W$7="","",IF(INDEX('Rooms Walls and Glass'!$D$35:$AB$42, MATCH($D30,'Rooms Walls and Glass'!$A$35:$A$42,0), MATCH('Unit 2 a'!W$7,'Rooms Walls and Glass'!$D$1:$AB$1,0))=0,"",INDEX('Rooms Walls and Glass'!$D$35:$AB$42, MATCH($D30,'Rooms Walls and Glass'!$A$35:$A$42,0), MATCH('Unit 2 a'!W$7,'Rooms Walls and Glass'!$D$1:$AB$1,0))))</f>
        <v/>
      </c>
      <c r="X30" s="68" t="str">
        <f t="shared" si="21"/>
        <v>-</v>
      </c>
      <c r="Y30" s="66" t="str">
        <f>IF(Y$7="","",IF(INDEX('Rooms Walls and Glass'!$D$35:$AB$42, MATCH($D30,'Rooms Walls and Glass'!$A$35:$A$42,0), MATCH('Unit 2 a'!Y$7,'Rooms Walls and Glass'!$D$1:$AB$1,0))=0,"",INDEX('Rooms Walls and Glass'!$D$35:$AB$42, MATCH($D30,'Rooms Walls and Glass'!$A$35:$A$42,0), MATCH('Unit 2 a'!Y$7,'Rooms Walls and Glass'!$D$1:$AB$1,0))))</f>
        <v/>
      </c>
      <c r="Z30" s="68" t="str">
        <f t="shared" si="22"/>
        <v>-</v>
      </c>
      <c r="AA30" s="66" t="str">
        <f>IF(AA$7="","",IF(INDEX('Rooms Walls and Glass'!$D$35:$AB$42, MATCH($D30,'Rooms Walls and Glass'!$A$35:$A$42,0), MATCH('Unit 2 a'!AA$7,'Rooms Walls and Glass'!$D$1:$AB$1,0))=0,"",INDEX('Rooms Walls and Glass'!$D$35:$AB$42, MATCH($D30,'Rooms Walls and Glass'!$A$35:$A$42,0), MATCH('Unit 2 a'!AA$7,'Rooms Walls and Glass'!$D$1:$AB$1,0))))</f>
        <v/>
      </c>
      <c r="AB30" s="68" t="str">
        <f t="shared" si="23"/>
        <v>-</v>
      </c>
      <c r="AC30" s="66" t="str">
        <f>IF(AC$7="","",IF(INDEX('Rooms Walls and Glass'!$D$35:$AB$42, MATCH($D30,'Rooms Walls and Glass'!$A$35:$A$42,0), MATCH('Unit 2 a'!AC$7,'Rooms Walls and Glass'!$D$1:$AB$1,0))=0,"",INDEX('Rooms Walls and Glass'!$D$35:$AB$42, MATCH($D30,'Rooms Walls and Glass'!$A$35:$A$42,0), MATCH('Unit 2 a'!AC$7,'Rooms Walls and Glass'!$D$1:$AB$1,0))))</f>
        <v/>
      </c>
      <c r="AD30" s="68" t="str">
        <f t="shared" si="30"/>
        <v>-</v>
      </c>
      <c r="AE30" s="66" t="str">
        <f>IF(AE$7="","",IF(INDEX('Rooms Walls and Glass'!$D$35:$AB$42, MATCH($D30,'Rooms Walls and Glass'!$A$35:$A$42,0), MATCH('Unit 2 a'!AE$7,'Rooms Walls and Glass'!$D$1:$AB$1,0))=0,"",INDEX('Rooms Walls and Glass'!$D$35:$AB$42, MATCH($D30,'Rooms Walls and Glass'!$A$35:$A$42,0), MATCH('Unit 2 a'!AE$7,'Rooms Walls and Glass'!$D$1:$AB$1,0))))</f>
        <v/>
      </c>
      <c r="AF30" s="68" t="str">
        <f t="shared" si="31"/>
        <v>-</v>
      </c>
      <c r="AG30" s="66" t="str">
        <f>IF(AG$7="","",IF(INDEX('Rooms Walls and Glass'!$D$35:$AB$42, MATCH($D30,'Rooms Walls and Glass'!$A$35:$A$42,0), MATCH('Unit 2 a'!AG$7,'Rooms Walls and Glass'!$D$1:$AB$1,0))=0,"",INDEX('Rooms Walls and Glass'!$D$35:$AB$42, MATCH($D30,'Rooms Walls and Glass'!$A$35:$A$42,0), MATCH('Unit 2 a'!AG$7,'Rooms Walls and Glass'!$D$1:$AB$1,0))))</f>
        <v/>
      </c>
      <c r="AH30" s="68" t="str">
        <f t="shared" si="25"/>
        <v>-</v>
      </c>
      <c r="AI30" s="66" t="str">
        <f>IF(AI$7="","",IF(INDEX('Rooms Walls and Glass'!$D$35:$AB$42, MATCH($D30,'Rooms Walls and Glass'!$A$35:$A$42,0), MATCH('Unit 2 a'!AI$7,'Rooms Walls and Glass'!$D$1:$AB$1,0))=0,"",INDEX('Rooms Walls and Glass'!$D$35:$AB$42, MATCH($D30,'Rooms Walls and Glass'!$A$35:$A$42,0), MATCH('Unit 2 a'!AI$7,'Rooms Walls and Glass'!$D$1:$AB$1,0))))</f>
        <v/>
      </c>
      <c r="AJ30" s="69" t="str">
        <f t="shared" si="26"/>
        <v>-</v>
      </c>
      <c r="AK30" s="66" t="str">
        <f>IF(AK$7="","",IF(INDEX('Rooms Walls and Glass'!$D$35:$AB$42, MATCH($D30,'Rooms Walls and Glass'!$A$35:$A$42,0), MATCH('Unit 2 a'!AK$7,'Rooms Walls and Glass'!$D$1:$AB$1,0))=0,"",INDEX('Rooms Walls and Glass'!$D$35:$AB$42, MATCH($D30,'Rooms Walls and Glass'!$A$35:$A$42,0), MATCH('Unit 2 a'!AK$7,'Rooms Walls and Glass'!$D$1:$AB$1,0))))</f>
        <v/>
      </c>
      <c r="AL30" s="68" t="str">
        <f t="shared" si="27"/>
        <v>-</v>
      </c>
      <c r="AM30" s="66" t="str">
        <f>IF(AM$7="","",IF(INDEX('Rooms Walls and Glass'!$D$35:$AB$42, MATCH($D30,'Rooms Walls and Glass'!$A$35:$A$42,0), MATCH('Unit 2 a'!AM$7,'Rooms Walls and Glass'!$D$1:$AB$1,0))=0,"",INDEX('Rooms Walls and Glass'!$D$35:$AB$42, MATCH($D30,'Rooms Walls and Glass'!$A$35:$A$42,0), MATCH('Unit 2 a'!AM$7,'Rooms Walls and Glass'!$D$1:$AB$1,0))))</f>
        <v/>
      </c>
      <c r="AN30" s="69" t="str">
        <f t="shared" si="28"/>
        <v>-</v>
      </c>
    </row>
    <row r="31" spans="2:40" ht="11.25" customHeight="1" thickBot="1" x14ac:dyDescent="0.2">
      <c r="B31" s="214"/>
      <c r="C31" s="15" t="s">
        <v>38</v>
      </c>
      <c r="D31" s="13" t="str">
        <f>'Rooms Walls and Glass'!A37</f>
        <v>NorthEast</v>
      </c>
      <c r="E31" s="13">
        <f>INDEX('Glass CLF Calculation'!$A$20:$G$27,MATCH('Unit 2 a'!D31,'Glass CLF Calculation'!$A$20:$A$27,0),7)</f>
        <v>19</v>
      </c>
      <c r="F31" s="14">
        <f>INDEX(Summary!$F$19:$F$30,MATCH('Unit 2 a'!C31,Summary!$D$19:$D$30,0))</f>
        <v>7.6999999999999999E-2</v>
      </c>
      <c r="G31" s="14">
        <f t="shared" si="29"/>
        <v>1.4630000000000001</v>
      </c>
      <c r="H31" s="16" t="s">
        <v>6</v>
      </c>
      <c r="I31" s="65">
        <f t="shared" si="13"/>
        <v>0</v>
      </c>
      <c r="J31" s="68">
        <f t="shared" si="14"/>
        <v>0</v>
      </c>
      <c r="K31" s="66" t="str">
        <f>IF(K$7="","",IF(INDEX('Rooms Walls and Glass'!$D$35:$AB$42, MATCH($D31,'Rooms Walls and Glass'!$A$35:$A$42,0), MATCH('Unit 2 a'!K$7,'Rooms Walls and Glass'!$D$1:$AB$1,0))=0,"",INDEX('Rooms Walls and Glass'!$D$35:$AB$42, MATCH($D31,'Rooms Walls and Glass'!$A$35:$A$42,0), MATCH('Unit 2 a'!K$7,'Rooms Walls and Glass'!$D$1:$AB$1,0))))</f>
        <v/>
      </c>
      <c r="L31" s="68" t="str">
        <f t="shared" si="15"/>
        <v>-</v>
      </c>
      <c r="M31" s="66" t="str">
        <f>IF(M$7="","",IF(INDEX('Rooms Walls and Glass'!$D$35:$AB$42, MATCH($D31,'Rooms Walls and Glass'!$A$35:$A$42,0), MATCH('Unit 2 a'!M$7,'Rooms Walls and Glass'!$D$1:$AB$1,0))=0,"",INDEX('Rooms Walls and Glass'!$D$35:$AB$42, MATCH($D31,'Rooms Walls and Glass'!$A$35:$A$42,0), MATCH('Unit 2 a'!M$7,'Rooms Walls and Glass'!$D$1:$AB$1,0))))</f>
        <v/>
      </c>
      <c r="N31" s="68" t="str">
        <f t="shared" si="16"/>
        <v>-</v>
      </c>
      <c r="O31" s="66" t="str">
        <f>IF(O$7="","",IF(INDEX('Rooms Walls and Glass'!$D$35:$AB$42, MATCH($D31,'Rooms Walls and Glass'!$A$35:$A$42,0), MATCH('Unit 2 a'!O$7,'Rooms Walls and Glass'!$D$1:$AB$1,0))=0,"",INDEX('Rooms Walls and Glass'!$D$35:$AB$42, MATCH($D31,'Rooms Walls and Glass'!$A$35:$A$42,0), MATCH('Unit 2 a'!O$7,'Rooms Walls and Glass'!$D$1:$AB$1,0))))</f>
        <v/>
      </c>
      <c r="P31" s="68" t="str">
        <f t="shared" si="17"/>
        <v>-</v>
      </c>
      <c r="Q31" s="66" t="str">
        <f>IF(Q$7="","",IF(INDEX('Rooms Walls and Glass'!$D$35:$AB$42, MATCH($D31,'Rooms Walls and Glass'!$A$35:$A$42,0), MATCH('Unit 2 a'!Q$7,'Rooms Walls and Glass'!$D$1:$AB$1,0))=0,"",INDEX('Rooms Walls and Glass'!$D$35:$AB$42, MATCH($D31,'Rooms Walls and Glass'!$A$35:$A$42,0), MATCH('Unit 2 a'!Q$7,'Rooms Walls and Glass'!$D$1:$AB$1,0))))</f>
        <v/>
      </c>
      <c r="R31" s="68" t="str">
        <f t="shared" si="18"/>
        <v>-</v>
      </c>
      <c r="S31" s="66" t="str">
        <f>IF(S$7="","",IF(INDEX('Rooms Walls and Glass'!$D$35:$AB$42, MATCH($D31,'Rooms Walls and Glass'!$A$35:$A$42,0), MATCH('Unit 2 a'!S$7,'Rooms Walls and Glass'!$D$1:$AB$1,0))=0,"",INDEX('Rooms Walls and Glass'!$D$35:$AB$42, MATCH($D31,'Rooms Walls and Glass'!$A$35:$A$42,0), MATCH('Unit 2 a'!S$7,'Rooms Walls and Glass'!$D$1:$AB$1,0))))</f>
        <v/>
      </c>
      <c r="T31" s="68" t="str">
        <f t="shared" si="19"/>
        <v>-</v>
      </c>
      <c r="U31" s="66" t="str">
        <f>IF(U$7="","",IF(INDEX('Rooms Walls and Glass'!$D$35:$AB$42, MATCH($D31,'Rooms Walls and Glass'!$A$35:$A$42,0), MATCH('Unit 2 a'!U$7,'Rooms Walls and Glass'!$D$1:$AB$1,0))=0,"",INDEX('Rooms Walls and Glass'!$D$35:$AB$42, MATCH($D31,'Rooms Walls and Glass'!$A$35:$A$42,0), MATCH('Unit 2 a'!U$7,'Rooms Walls and Glass'!$D$1:$AB$1,0))))</f>
        <v/>
      </c>
      <c r="V31" s="68" t="str">
        <f t="shared" si="20"/>
        <v>-</v>
      </c>
      <c r="W31" s="66" t="str">
        <f>IF(W$7="","",IF(INDEX('Rooms Walls and Glass'!$D$35:$AB$42, MATCH($D31,'Rooms Walls and Glass'!$A$35:$A$42,0), MATCH('Unit 2 a'!W$7,'Rooms Walls and Glass'!$D$1:$AB$1,0))=0,"",INDEX('Rooms Walls and Glass'!$D$35:$AB$42, MATCH($D31,'Rooms Walls and Glass'!$A$35:$A$42,0), MATCH('Unit 2 a'!W$7,'Rooms Walls and Glass'!$D$1:$AB$1,0))))</f>
        <v/>
      </c>
      <c r="X31" s="68" t="str">
        <f t="shared" si="21"/>
        <v>-</v>
      </c>
      <c r="Y31" s="66" t="str">
        <f>IF(Y$7="","",IF(INDEX('Rooms Walls and Glass'!$D$35:$AB$42, MATCH($D31,'Rooms Walls and Glass'!$A$35:$A$42,0), MATCH('Unit 2 a'!Y$7,'Rooms Walls and Glass'!$D$1:$AB$1,0))=0,"",INDEX('Rooms Walls and Glass'!$D$35:$AB$42, MATCH($D31,'Rooms Walls and Glass'!$A$35:$A$42,0), MATCH('Unit 2 a'!Y$7,'Rooms Walls and Glass'!$D$1:$AB$1,0))))</f>
        <v/>
      </c>
      <c r="Z31" s="68" t="str">
        <f t="shared" si="22"/>
        <v>-</v>
      </c>
      <c r="AA31" s="66" t="str">
        <f>IF(AA$7="","",IF(INDEX('Rooms Walls and Glass'!$D$35:$AB$42, MATCH($D31,'Rooms Walls and Glass'!$A$35:$A$42,0), MATCH('Unit 2 a'!AA$7,'Rooms Walls and Glass'!$D$1:$AB$1,0))=0,"",INDEX('Rooms Walls and Glass'!$D$35:$AB$42, MATCH($D31,'Rooms Walls and Glass'!$A$35:$A$42,0), MATCH('Unit 2 a'!AA$7,'Rooms Walls and Glass'!$D$1:$AB$1,0))))</f>
        <v/>
      </c>
      <c r="AB31" s="68" t="str">
        <f t="shared" si="23"/>
        <v>-</v>
      </c>
      <c r="AC31" s="66" t="str">
        <f>IF(AC$7="","",IF(INDEX('Rooms Walls and Glass'!$D$35:$AB$42, MATCH($D31,'Rooms Walls and Glass'!$A$35:$A$42,0), MATCH('Unit 2 a'!AC$7,'Rooms Walls and Glass'!$D$1:$AB$1,0))=0,"",INDEX('Rooms Walls and Glass'!$D$35:$AB$42, MATCH($D31,'Rooms Walls and Glass'!$A$35:$A$42,0), MATCH('Unit 2 a'!AC$7,'Rooms Walls and Glass'!$D$1:$AB$1,0))))</f>
        <v/>
      </c>
      <c r="AD31" s="68" t="str">
        <f t="shared" si="30"/>
        <v>-</v>
      </c>
      <c r="AE31" s="66" t="str">
        <f>IF(AE$7="","",IF(INDEX('Rooms Walls and Glass'!$D$35:$AB$42, MATCH($D31,'Rooms Walls and Glass'!$A$35:$A$42,0), MATCH('Unit 2 a'!AE$7,'Rooms Walls and Glass'!$D$1:$AB$1,0))=0,"",INDEX('Rooms Walls and Glass'!$D$35:$AB$42, MATCH($D31,'Rooms Walls and Glass'!$A$35:$A$42,0), MATCH('Unit 2 a'!AE$7,'Rooms Walls and Glass'!$D$1:$AB$1,0))))</f>
        <v/>
      </c>
      <c r="AF31" s="68" t="str">
        <f t="shared" si="31"/>
        <v>-</v>
      </c>
      <c r="AG31" s="66" t="str">
        <f>IF(AG$7="","",IF(INDEX('Rooms Walls and Glass'!$D$35:$AB$42, MATCH($D31,'Rooms Walls and Glass'!$A$35:$A$42,0), MATCH('Unit 2 a'!AG$7,'Rooms Walls and Glass'!$D$1:$AB$1,0))=0,"",INDEX('Rooms Walls and Glass'!$D$35:$AB$42, MATCH($D31,'Rooms Walls and Glass'!$A$35:$A$42,0), MATCH('Unit 2 a'!AG$7,'Rooms Walls and Glass'!$D$1:$AB$1,0))))</f>
        <v/>
      </c>
      <c r="AH31" s="68" t="str">
        <f t="shared" si="25"/>
        <v>-</v>
      </c>
      <c r="AI31" s="66" t="str">
        <f>IF(AI$7="","",IF(INDEX('Rooms Walls and Glass'!$D$35:$AB$42, MATCH($D31,'Rooms Walls and Glass'!$A$35:$A$42,0), MATCH('Unit 2 a'!AI$7,'Rooms Walls and Glass'!$D$1:$AB$1,0))=0,"",INDEX('Rooms Walls and Glass'!$D$35:$AB$42, MATCH($D31,'Rooms Walls and Glass'!$A$35:$A$42,0), MATCH('Unit 2 a'!AI$7,'Rooms Walls and Glass'!$D$1:$AB$1,0))))</f>
        <v/>
      </c>
      <c r="AJ31" s="69" t="str">
        <f t="shared" si="26"/>
        <v>-</v>
      </c>
      <c r="AK31" s="66" t="str">
        <f>IF(AK$7="","",IF(INDEX('Rooms Walls and Glass'!$D$35:$AB$42, MATCH($D31,'Rooms Walls and Glass'!$A$35:$A$42,0), MATCH('Unit 2 a'!AK$7,'Rooms Walls and Glass'!$D$1:$AB$1,0))=0,"",INDEX('Rooms Walls and Glass'!$D$35:$AB$42, MATCH($D31,'Rooms Walls and Glass'!$A$35:$A$42,0), MATCH('Unit 2 a'!AK$7,'Rooms Walls and Glass'!$D$1:$AB$1,0))))</f>
        <v/>
      </c>
      <c r="AL31" s="68" t="str">
        <f t="shared" si="27"/>
        <v>-</v>
      </c>
      <c r="AM31" s="66" t="str">
        <f>IF(AM$7="","",IF(INDEX('Rooms Walls and Glass'!$D$35:$AB$42, MATCH($D31,'Rooms Walls and Glass'!$A$35:$A$42,0), MATCH('Unit 2 a'!AM$7,'Rooms Walls and Glass'!$D$1:$AB$1,0))=0,"",INDEX('Rooms Walls and Glass'!$D$35:$AB$42, MATCH($D31,'Rooms Walls and Glass'!$A$35:$A$42,0), MATCH('Unit 2 a'!AM$7,'Rooms Walls and Glass'!$D$1:$AB$1,0))))</f>
        <v/>
      </c>
      <c r="AN31" s="69" t="str">
        <f t="shared" si="28"/>
        <v>-</v>
      </c>
    </row>
    <row r="32" spans="2:40" ht="11.25" customHeight="1" thickBot="1" x14ac:dyDescent="0.2">
      <c r="B32" s="214"/>
      <c r="C32" s="15" t="s">
        <v>38</v>
      </c>
      <c r="D32" s="13" t="str">
        <f>'Rooms Walls and Glass'!A38</f>
        <v>East</v>
      </c>
      <c r="E32" s="13">
        <f>INDEX('Glass CLF Calculation'!$A$20:$G$27,MATCH('Unit 2 a'!D32,'Glass CLF Calculation'!$A$20:$A$27,0),7)</f>
        <v>23</v>
      </c>
      <c r="F32" s="14">
        <f>INDEX(Summary!$F$19:$F$30,MATCH('Unit 2 a'!C32,Summary!$D$19:$D$30,0))</f>
        <v>7.6999999999999999E-2</v>
      </c>
      <c r="G32" s="14">
        <f t="shared" si="29"/>
        <v>1.7709999999999999</v>
      </c>
      <c r="H32" s="16" t="s">
        <v>6</v>
      </c>
      <c r="I32" s="65">
        <f t="shared" si="13"/>
        <v>0</v>
      </c>
      <c r="J32" s="68">
        <f t="shared" si="14"/>
        <v>0</v>
      </c>
      <c r="K32" s="66" t="str">
        <f>IF(K$7="","",IF(INDEX('Rooms Walls and Glass'!$D$35:$AB$42, MATCH($D32,'Rooms Walls and Glass'!$A$35:$A$42,0), MATCH('Unit 2 a'!K$7,'Rooms Walls and Glass'!$D$1:$AB$1,0))=0,"",INDEX('Rooms Walls and Glass'!$D$35:$AB$42, MATCH($D32,'Rooms Walls and Glass'!$A$35:$A$42,0), MATCH('Unit 2 a'!K$7,'Rooms Walls and Glass'!$D$1:$AB$1,0))))</f>
        <v/>
      </c>
      <c r="L32" s="68" t="str">
        <f t="shared" si="15"/>
        <v>-</v>
      </c>
      <c r="M32" s="66" t="str">
        <f>IF(M$7="","",IF(INDEX('Rooms Walls and Glass'!$D$35:$AB$42, MATCH($D32,'Rooms Walls and Glass'!$A$35:$A$42,0), MATCH('Unit 2 a'!M$7,'Rooms Walls and Glass'!$D$1:$AB$1,0))=0,"",INDEX('Rooms Walls and Glass'!$D$35:$AB$42, MATCH($D32,'Rooms Walls and Glass'!$A$35:$A$42,0), MATCH('Unit 2 a'!M$7,'Rooms Walls and Glass'!$D$1:$AB$1,0))))</f>
        <v/>
      </c>
      <c r="N32" s="68" t="str">
        <f t="shared" si="16"/>
        <v>-</v>
      </c>
      <c r="O32" s="66" t="str">
        <f>IF(O$7="","",IF(INDEX('Rooms Walls and Glass'!$D$35:$AB$42, MATCH($D32,'Rooms Walls and Glass'!$A$35:$A$42,0), MATCH('Unit 2 a'!O$7,'Rooms Walls and Glass'!$D$1:$AB$1,0))=0,"",INDEX('Rooms Walls and Glass'!$D$35:$AB$42, MATCH($D32,'Rooms Walls and Glass'!$A$35:$A$42,0), MATCH('Unit 2 a'!O$7,'Rooms Walls and Glass'!$D$1:$AB$1,0))))</f>
        <v/>
      </c>
      <c r="P32" s="68" t="str">
        <f t="shared" si="17"/>
        <v>-</v>
      </c>
      <c r="Q32" s="66" t="str">
        <f>IF(Q$7="","",IF(INDEX('Rooms Walls and Glass'!$D$35:$AB$42, MATCH($D32,'Rooms Walls and Glass'!$A$35:$A$42,0), MATCH('Unit 2 a'!Q$7,'Rooms Walls and Glass'!$D$1:$AB$1,0))=0,"",INDEX('Rooms Walls and Glass'!$D$35:$AB$42, MATCH($D32,'Rooms Walls and Glass'!$A$35:$A$42,0), MATCH('Unit 2 a'!Q$7,'Rooms Walls and Glass'!$D$1:$AB$1,0))))</f>
        <v/>
      </c>
      <c r="R32" s="68" t="str">
        <f t="shared" si="18"/>
        <v>-</v>
      </c>
      <c r="S32" s="66" t="str">
        <f>IF(S$7="","",IF(INDEX('Rooms Walls and Glass'!$D$35:$AB$42, MATCH($D32,'Rooms Walls and Glass'!$A$35:$A$42,0), MATCH('Unit 2 a'!S$7,'Rooms Walls and Glass'!$D$1:$AB$1,0))=0,"",INDEX('Rooms Walls and Glass'!$D$35:$AB$42, MATCH($D32,'Rooms Walls and Glass'!$A$35:$A$42,0), MATCH('Unit 2 a'!S$7,'Rooms Walls and Glass'!$D$1:$AB$1,0))))</f>
        <v/>
      </c>
      <c r="T32" s="68" t="str">
        <f t="shared" si="19"/>
        <v>-</v>
      </c>
      <c r="U32" s="66" t="str">
        <f>IF(U$7="","",IF(INDEX('Rooms Walls and Glass'!$D$35:$AB$42, MATCH($D32,'Rooms Walls and Glass'!$A$35:$A$42,0), MATCH('Unit 2 a'!U$7,'Rooms Walls and Glass'!$D$1:$AB$1,0))=0,"",INDEX('Rooms Walls and Glass'!$D$35:$AB$42, MATCH($D32,'Rooms Walls and Glass'!$A$35:$A$42,0), MATCH('Unit 2 a'!U$7,'Rooms Walls and Glass'!$D$1:$AB$1,0))))</f>
        <v/>
      </c>
      <c r="V32" s="68" t="str">
        <f t="shared" si="20"/>
        <v>-</v>
      </c>
      <c r="W32" s="66" t="str">
        <f>IF(W$7="","",IF(INDEX('Rooms Walls and Glass'!$D$35:$AB$42, MATCH($D32,'Rooms Walls and Glass'!$A$35:$A$42,0), MATCH('Unit 2 a'!W$7,'Rooms Walls and Glass'!$D$1:$AB$1,0))=0,"",INDEX('Rooms Walls and Glass'!$D$35:$AB$42, MATCH($D32,'Rooms Walls and Glass'!$A$35:$A$42,0), MATCH('Unit 2 a'!W$7,'Rooms Walls and Glass'!$D$1:$AB$1,0))))</f>
        <v/>
      </c>
      <c r="X32" s="68" t="str">
        <f t="shared" si="21"/>
        <v>-</v>
      </c>
      <c r="Y32" s="66" t="str">
        <f>IF(Y$7="","",IF(INDEX('Rooms Walls and Glass'!$D$35:$AB$42, MATCH($D32,'Rooms Walls and Glass'!$A$35:$A$42,0), MATCH('Unit 2 a'!Y$7,'Rooms Walls and Glass'!$D$1:$AB$1,0))=0,"",INDEX('Rooms Walls and Glass'!$D$35:$AB$42, MATCH($D32,'Rooms Walls and Glass'!$A$35:$A$42,0), MATCH('Unit 2 a'!Y$7,'Rooms Walls and Glass'!$D$1:$AB$1,0))))</f>
        <v/>
      </c>
      <c r="Z32" s="68" t="str">
        <f t="shared" si="22"/>
        <v>-</v>
      </c>
      <c r="AA32" s="66" t="str">
        <f>IF(AA$7="","",IF(INDEX('Rooms Walls and Glass'!$D$35:$AB$42, MATCH($D32,'Rooms Walls and Glass'!$A$35:$A$42,0), MATCH('Unit 2 a'!AA$7,'Rooms Walls and Glass'!$D$1:$AB$1,0))=0,"",INDEX('Rooms Walls and Glass'!$D$35:$AB$42, MATCH($D32,'Rooms Walls and Glass'!$A$35:$A$42,0), MATCH('Unit 2 a'!AA$7,'Rooms Walls and Glass'!$D$1:$AB$1,0))))</f>
        <v/>
      </c>
      <c r="AB32" s="68" t="str">
        <f t="shared" si="23"/>
        <v>-</v>
      </c>
      <c r="AC32" s="66" t="str">
        <f>IF(AC$7="","",IF(INDEX('Rooms Walls and Glass'!$D$35:$AB$42, MATCH($D32,'Rooms Walls and Glass'!$A$35:$A$42,0), MATCH('Unit 2 a'!AC$7,'Rooms Walls and Glass'!$D$1:$AB$1,0))=0,"",INDEX('Rooms Walls and Glass'!$D$35:$AB$42, MATCH($D32,'Rooms Walls and Glass'!$A$35:$A$42,0), MATCH('Unit 2 a'!AC$7,'Rooms Walls and Glass'!$D$1:$AB$1,0))))</f>
        <v/>
      </c>
      <c r="AD32" s="68" t="str">
        <f t="shared" si="30"/>
        <v>-</v>
      </c>
      <c r="AE32" s="66" t="str">
        <f>IF(AE$7="","",IF(INDEX('Rooms Walls and Glass'!$D$35:$AB$42, MATCH($D32,'Rooms Walls and Glass'!$A$35:$A$42,0), MATCH('Unit 2 a'!AE$7,'Rooms Walls and Glass'!$D$1:$AB$1,0))=0,"",INDEX('Rooms Walls and Glass'!$D$35:$AB$42, MATCH($D32,'Rooms Walls and Glass'!$A$35:$A$42,0), MATCH('Unit 2 a'!AE$7,'Rooms Walls and Glass'!$D$1:$AB$1,0))))</f>
        <v/>
      </c>
      <c r="AF32" s="68" t="str">
        <f t="shared" si="31"/>
        <v>-</v>
      </c>
      <c r="AG32" s="66" t="str">
        <f>IF(AG$7="","",IF(INDEX('Rooms Walls and Glass'!$D$35:$AB$42, MATCH($D32,'Rooms Walls and Glass'!$A$35:$A$42,0), MATCH('Unit 2 a'!AG$7,'Rooms Walls and Glass'!$D$1:$AB$1,0))=0,"",INDEX('Rooms Walls and Glass'!$D$35:$AB$42, MATCH($D32,'Rooms Walls and Glass'!$A$35:$A$42,0), MATCH('Unit 2 a'!AG$7,'Rooms Walls and Glass'!$D$1:$AB$1,0))))</f>
        <v/>
      </c>
      <c r="AH32" s="68" t="str">
        <f t="shared" si="25"/>
        <v>-</v>
      </c>
      <c r="AI32" s="66" t="str">
        <f>IF(AI$7="","",IF(INDEX('Rooms Walls and Glass'!$D$35:$AB$42, MATCH($D32,'Rooms Walls and Glass'!$A$35:$A$42,0), MATCH('Unit 2 a'!AI$7,'Rooms Walls and Glass'!$D$1:$AB$1,0))=0,"",INDEX('Rooms Walls and Glass'!$D$35:$AB$42, MATCH($D32,'Rooms Walls and Glass'!$A$35:$A$42,0), MATCH('Unit 2 a'!AI$7,'Rooms Walls and Glass'!$D$1:$AB$1,0))))</f>
        <v/>
      </c>
      <c r="AJ32" s="69" t="str">
        <f t="shared" si="26"/>
        <v>-</v>
      </c>
      <c r="AK32" s="66" t="str">
        <f>IF(AK$7="","",IF(INDEX('Rooms Walls and Glass'!$D$35:$AB$42, MATCH($D32,'Rooms Walls and Glass'!$A$35:$A$42,0), MATCH('Unit 2 a'!AK$7,'Rooms Walls and Glass'!$D$1:$AB$1,0))=0,"",INDEX('Rooms Walls and Glass'!$D$35:$AB$42, MATCH($D32,'Rooms Walls and Glass'!$A$35:$A$42,0), MATCH('Unit 2 a'!AK$7,'Rooms Walls and Glass'!$D$1:$AB$1,0))))</f>
        <v/>
      </c>
      <c r="AL32" s="68" t="str">
        <f t="shared" si="27"/>
        <v>-</v>
      </c>
      <c r="AM32" s="66" t="str">
        <f>IF(AM$7="","",IF(INDEX('Rooms Walls and Glass'!$D$35:$AB$42, MATCH($D32,'Rooms Walls and Glass'!$A$35:$A$42,0), MATCH('Unit 2 a'!AM$7,'Rooms Walls and Glass'!$D$1:$AB$1,0))=0,"",INDEX('Rooms Walls and Glass'!$D$35:$AB$42, MATCH($D32,'Rooms Walls and Glass'!$A$35:$A$42,0), MATCH('Unit 2 a'!AM$7,'Rooms Walls and Glass'!$D$1:$AB$1,0))))</f>
        <v/>
      </c>
      <c r="AN32" s="69" t="str">
        <f t="shared" si="28"/>
        <v>-</v>
      </c>
    </row>
    <row r="33" spans="2:40" ht="11.25" customHeight="1" thickBot="1" x14ac:dyDescent="0.2">
      <c r="B33" s="214"/>
      <c r="C33" s="15" t="s">
        <v>38</v>
      </c>
      <c r="D33" s="13" t="str">
        <f>'Rooms Walls and Glass'!A39</f>
        <v>SouthEast</v>
      </c>
      <c r="E33" s="13">
        <f>INDEX('Glass CLF Calculation'!$A$20:$G$27,MATCH('Unit 2 a'!D33,'Glass CLF Calculation'!$A$20:$A$27,0),7)</f>
        <v>21</v>
      </c>
      <c r="F33" s="14">
        <f>INDEX(Summary!$F$19:$F$30,MATCH('Unit 2 a'!C33,Summary!$D$19:$D$30,0))</f>
        <v>7.6999999999999999E-2</v>
      </c>
      <c r="G33" s="14">
        <f t="shared" si="29"/>
        <v>1.617</v>
      </c>
      <c r="H33" s="16" t="s">
        <v>6</v>
      </c>
      <c r="I33" s="65">
        <f t="shared" si="13"/>
        <v>0</v>
      </c>
      <c r="J33" s="68">
        <f t="shared" si="14"/>
        <v>0</v>
      </c>
      <c r="K33" s="66" t="str">
        <f>IF(K$7="","",IF(INDEX('Rooms Walls and Glass'!$D$35:$AB$42, MATCH($D33,'Rooms Walls and Glass'!$A$35:$A$42,0), MATCH('Unit 2 a'!K$7,'Rooms Walls and Glass'!$D$1:$AB$1,0))=0,"",INDEX('Rooms Walls and Glass'!$D$35:$AB$42, MATCH($D33,'Rooms Walls and Glass'!$A$35:$A$42,0), MATCH('Unit 2 a'!K$7,'Rooms Walls and Glass'!$D$1:$AB$1,0))))</f>
        <v/>
      </c>
      <c r="L33" s="68" t="str">
        <f t="shared" si="15"/>
        <v>-</v>
      </c>
      <c r="M33" s="66" t="str">
        <f>IF(M$7="","",IF(INDEX('Rooms Walls and Glass'!$D$35:$AB$42, MATCH($D33,'Rooms Walls and Glass'!$A$35:$A$42,0), MATCH('Unit 2 a'!M$7,'Rooms Walls and Glass'!$D$1:$AB$1,0))=0,"",INDEX('Rooms Walls and Glass'!$D$35:$AB$42, MATCH($D33,'Rooms Walls and Glass'!$A$35:$A$42,0), MATCH('Unit 2 a'!M$7,'Rooms Walls and Glass'!$D$1:$AB$1,0))))</f>
        <v/>
      </c>
      <c r="N33" s="68" t="str">
        <f t="shared" si="16"/>
        <v>-</v>
      </c>
      <c r="O33" s="66" t="str">
        <f>IF(O$7="","",IF(INDEX('Rooms Walls and Glass'!$D$35:$AB$42, MATCH($D33,'Rooms Walls and Glass'!$A$35:$A$42,0), MATCH('Unit 2 a'!O$7,'Rooms Walls and Glass'!$D$1:$AB$1,0))=0,"",INDEX('Rooms Walls and Glass'!$D$35:$AB$42, MATCH($D33,'Rooms Walls and Glass'!$A$35:$A$42,0), MATCH('Unit 2 a'!O$7,'Rooms Walls and Glass'!$D$1:$AB$1,0))))</f>
        <v/>
      </c>
      <c r="P33" s="68" t="str">
        <f t="shared" si="17"/>
        <v>-</v>
      </c>
      <c r="Q33" s="66" t="str">
        <f>IF(Q$7="","",IF(INDEX('Rooms Walls and Glass'!$D$35:$AB$42, MATCH($D33,'Rooms Walls and Glass'!$A$35:$A$42,0), MATCH('Unit 2 a'!Q$7,'Rooms Walls and Glass'!$D$1:$AB$1,0))=0,"",INDEX('Rooms Walls and Glass'!$D$35:$AB$42, MATCH($D33,'Rooms Walls and Glass'!$A$35:$A$42,0), MATCH('Unit 2 a'!Q$7,'Rooms Walls and Glass'!$D$1:$AB$1,0))))</f>
        <v/>
      </c>
      <c r="R33" s="68" t="str">
        <f t="shared" si="18"/>
        <v>-</v>
      </c>
      <c r="S33" s="66" t="str">
        <f>IF(S$7="","",IF(INDEX('Rooms Walls and Glass'!$D$35:$AB$42, MATCH($D33,'Rooms Walls and Glass'!$A$35:$A$42,0), MATCH('Unit 2 a'!S$7,'Rooms Walls and Glass'!$D$1:$AB$1,0))=0,"",INDEX('Rooms Walls and Glass'!$D$35:$AB$42, MATCH($D33,'Rooms Walls and Glass'!$A$35:$A$42,0), MATCH('Unit 2 a'!S$7,'Rooms Walls and Glass'!$D$1:$AB$1,0))))</f>
        <v/>
      </c>
      <c r="T33" s="68" t="str">
        <f t="shared" si="19"/>
        <v>-</v>
      </c>
      <c r="U33" s="66" t="str">
        <f>IF(U$7="","",IF(INDEX('Rooms Walls and Glass'!$D$35:$AB$42, MATCH($D33,'Rooms Walls and Glass'!$A$35:$A$42,0), MATCH('Unit 2 a'!U$7,'Rooms Walls and Glass'!$D$1:$AB$1,0))=0,"",INDEX('Rooms Walls and Glass'!$D$35:$AB$42, MATCH($D33,'Rooms Walls and Glass'!$A$35:$A$42,0), MATCH('Unit 2 a'!U$7,'Rooms Walls and Glass'!$D$1:$AB$1,0))))</f>
        <v/>
      </c>
      <c r="V33" s="68" t="str">
        <f t="shared" si="20"/>
        <v>-</v>
      </c>
      <c r="W33" s="66" t="str">
        <f>IF(W$7="","",IF(INDEX('Rooms Walls and Glass'!$D$35:$AB$42, MATCH($D33,'Rooms Walls and Glass'!$A$35:$A$42,0), MATCH('Unit 2 a'!W$7,'Rooms Walls and Glass'!$D$1:$AB$1,0))=0,"",INDEX('Rooms Walls and Glass'!$D$35:$AB$42, MATCH($D33,'Rooms Walls and Glass'!$A$35:$A$42,0), MATCH('Unit 2 a'!W$7,'Rooms Walls and Glass'!$D$1:$AB$1,0))))</f>
        <v/>
      </c>
      <c r="X33" s="68" t="str">
        <f t="shared" si="21"/>
        <v>-</v>
      </c>
      <c r="Y33" s="66" t="str">
        <f>IF(Y$7="","",IF(INDEX('Rooms Walls and Glass'!$D$35:$AB$42, MATCH($D33,'Rooms Walls and Glass'!$A$35:$A$42,0), MATCH('Unit 2 a'!Y$7,'Rooms Walls and Glass'!$D$1:$AB$1,0))=0,"",INDEX('Rooms Walls and Glass'!$D$35:$AB$42, MATCH($D33,'Rooms Walls and Glass'!$A$35:$A$42,0), MATCH('Unit 2 a'!Y$7,'Rooms Walls and Glass'!$D$1:$AB$1,0))))</f>
        <v/>
      </c>
      <c r="Z33" s="68" t="str">
        <f t="shared" si="22"/>
        <v>-</v>
      </c>
      <c r="AA33" s="66" t="str">
        <f>IF(AA$7="","",IF(INDEX('Rooms Walls and Glass'!$D$35:$AB$42, MATCH($D33,'Rooms Walls and Glass'!$A$35:$A$42,0), MATCH('Unit 2 a'!AA$7,'Rooms Walls and Glass'!$D$1:$AB$1,0))=0,"",INDEX('Rooms Walls and Glass'!$D$35:$AB$42, MATCH($D33,'Rooms Walls and Glass'!$A$35:$A$42,0), MATCH('Unit 2 a'!AA$7,'Rooms Walls and Glass'!$D$1:$AB$1,0))))</f>
        <v/>
      </c>
      <c r="AB33" s="68" t="str">
        <f t="shared" si="23"/>
        <v>-</v>
      </c>
      <c r="AC33" s="66" t="str">
        <f>IF(AC$7="","",IF(INDEX('Rooms Walls and Glass'!$D$35:$AB$42, MATCH($D33,'Rooms Walls and Glass'!$A$35:$A$42,0), MATCH('Unit 2 a'!AC$7,'Rooms Walls and Glass'!$D$1:$AB$1,0))=0,"",INDEX('Rooms Walls and Glass'!$D$35:$AB$42, MATCH($D33,'Rooms Walls and Glass'!$A$35:$A$42,0), MATCH('Unit 2 a'!AC$7,'Rooms Walls and Glass'!$D$1:$AB$1,0))))</f>
        <v/>
      </c>
      <c r="AD33" s="68" t="str">
        <f t="shared" si="30"/>
        <v>-</v>
      </c>
      <c r="AE33" s="66" t="str">
        <f>IF(AE$7="","",IF(INDEX('Rooms Walls and Glass'!$D$35:$AB$42, MATCH($D33,'Rooms Walls and Glass'!$A$35:$A$42,0), MATCH('Unit 2 a'!AE$7,'Rooms Walls and Glass'!$D$1:$AB$1,0))=0,"",INDEX('Rooms Walls and Glass'!$D$35:$AB$42, MATCH($D33,'Rooms Walls and Glass'!$A$35:$A$42,0), MATCH('Unit 2 a'!AE$7,'Rooms Walls and Glass'!$D$1:$AB$1,0))))</f>
        <v/>
      </c>
      <c r="AF33" s="68" t="str">
        <f t="shared" si="31"/>
        <v>-</v>
      </c>
      <c r="AG33" s="66" t="str">
        <f>IF(AG$7="","",IF(INDEX('Rooms Walls and Glass'!$D$35:$AB$42, MATCH($D33,'Rooms Walls and Glass'!$A$35:$A$42,0), MATCH('Unit 2 a'!AG$7,'Rooms Walls and Glass'!$D$1:$AB$1,0))=0,"",INDEX('Rooms Walls and Glass'!$D$35:$AB$42, MATCH($D33,'Rooms Walls and Glass'!$A$35:$A$42,0), MATCH('Unit 2 a'!AG$7,'Rooms Walls and Glass'!$D$1:$AB$1,0))))</f>
        <v/>
      </c>
      <c r="AH33" s="68" t="str">
        <f t="shared" si="25"/>
        <v>-</v>
      </c>
      <c r="AI33" s="66" t="str">
        <f>IF(AI$7="","",IF(INDEX('Rooms Walls and Glass'!$D$35:$AB$42, MATCH($D33,'Rooms Walls and Glass'!$A$35:$A$42,0), MATCH('Unit 2 a'!AI$7,'Rooms Walls and Glass'!$D$1:$AB$1,0))=0,"",INDEX('Rooms Walls and Glass'!$D$35:$AB$42, MATCH($D33,'Rooms Walls and Glass'!$A$35:$A$42,0), MATCH('Unit 2 a'!AI$7,'Rooms Walls and Glass'!$D$1:$AB$1,0))))</f>
        <v/>
      </c>
      <c r="AJ33" s="69" t="str">
        <f t="shared" si="26"/>
        <v>-</v>
      </c>
      <c r="AK33" s="66" t="str">
        <f>IF(AK$7="","",IF(INDEX('Rooms Walls and Glass'!$D$35:$AB$42, MATCH($D33,'Rooms Walls and Glass'!$A$35:$A$42,0), MATCH('Unit 2 a'!AK$7,'Rooms Walls and Glass'!$D$1:$AB$1,0))=0,"",INDEX('Rooms Walls and Glass'!$D$35:$AB$42, MATCH($D33,'Rooms Walls and Glass'!$A$35:$A$42,0), MATCH('Unit 2 a'!AK$7,'Rooms Walls and Glass'!$D$1:$AB$1,0))))</f>
        <v/>
      </c>
      <c r="AL33" s="68" t="str">
        <f t="shared" si="27"/>
        <v>-</v>
      </c>
      <c r="AM33" s="66" t="str">
        <f>IF(AM$7="","",IF(INDEX('Rooms Walls and Glass'!$D$35:$AB$42, MATCH($D33,'Rooms Walls and Glass'!$A$35:$A$42,0), MATCH('Unit 2 a'!AM$7,'Rooms Walls and Glass'!$D$1:$AB$1,0))=0,"",INDEX('Rooms Walls and Glass'!$D$35:$AB$42, MATCH($D33,'Rooms Walls and Glass'!$A$35:$A$42,0), MATCH('Unit 2 a'!AM$7,'Rooms Walls and Glass'!$D$1:$AB$1,0))))</f>
        <v/>
      </c>
      <c r="AN33" s="69" t="str">
        <f t="shared" si="28"/>
        <v>-</v>
      </c>
    </row>
    <row r="34" spans="2:40" ht="11.25" customHeight="1" thickBot="1" x14ac:dyDescent="0.2">
      <c r="B34" s="214"/>
      <c r="C34" s="15" t="s">
        <v>38</v>
      </c>
      <c r="D34" s="13" t="str">
        <f>'Rooms Walls and Glass'!A40</f>
        <v>South</v>
      </c>
      <c r="E34" s="13">
        <f>INDEX('Glass CLF Calculation'!$A$20:$G$27,MATCH('Unit 2 a'!D34,'Glass CLF Calculation'!$A$20:$A$27,0),7)</f>
        <v>16</v>
      </c>
      <c r="F34" s="14">
        <f>INDEX(Summary!$F$19:$F$30,MATCH('Unit 2 a'!C34,Summary!$D$19:$D$30,0))</f>
        <v>7.6999999999999999E-2</v>
      </c>
      <c r="G34" s="14">
        <f t="shared" si="29"/>
        <v>1.232</v>
      </c>
      <c r="H34" s="16" t="s">
        <v>6</v>
      </c>
      <c r="I34" s="65">
        <f t="shared" si="13"/>
        <v>0</v>
      </c>
      <c r="J34" s="68">
        <f t="shared" si="14"/>
        <v>0</v>
      </c>
      <c r="K34" s="66" t="str">
        <f>IF(K$7="","",IF(INDEX('Rooms Walls and Glass'!$D$35:$AB$42, MATCH($D34,'Rooms Walls and Glass'!$A$35:$A$42,0), MATCH('Unit 2 a'!K$7,'Rooms Walls and Glass'!$D$1:$AB$1,0))=0,"",INDEX('Rooms Walls and Glass'!$D$35:$AB$42, MATCH($D34,'Rooms Walls and Glass'!$A$35:$A$42,0), MATCH('Unit 2 a'!K$7,'Rooms Walls and Glass'!$D$1:$AB$1,0))))</f>
        <v/>
      </c>
      <c r="L34" s="68" t="str">
        <f t="shared" si="15"/>
        <v>-</v>
      </c>
      <c r="M34" s="66" t="str">
        <f>IF(M$7="","",IF(INDEX('Rooms Walls and Glass'!$D$35:$AB$42, MATCH($D34,'Rooms Walls and Glass'!$A$35:$A$42,0), MATCH('Unit 2 a'!M$7,'Rooms Walls and Glass'!$D$1:$AB$1,0))=0,"",INDEX('Rooms Walls and Glass'!$D$35:$AB$42, MATCH($D34,'Rooms Walls and Glass'!$A$35:$A$42,0), MATCH('Unit 2 a'!M$7,'Rooms Walls and Glass'!$D$1:$AB$1,0))))</f>
        <v/>
      </c>
      <c r="N34" s="68" t="str">
        <f t="shared" si="16"/>
        <v>-</v>
      </c>
      <c r="O34" s="66" t="str">
        <f>IF(O$7="","",IF(INDEX('Rooms Walls and Glass'!$D$35:$AB$42, MATCH($D34,'Rooms Walls and Glass'!$A$35:$A$42,0), MATCH('Unit 2 a'!O$7,'Rooms Walls and Glass'!$D$1:$AB$1,0))=0,"",INDEX('Rooms Walls and Glass'!$D$35:$AB$42, MATCH($D34,'Rooms Walls and Glass'!$A$35:$A$42,0), MATCH('Unit 2 a'!O$7,'Rooms Walls and Glass'!$D$1:$AB$1,0))))</f>
        <v/>
      </c>
      <c r="P34" s="68" t="str">
        <f t="shared" si="17"/>
        <v>-</v>
      </c>
      <c r="Q34" s="66" t="str">
        <f>IF(Q$7="","",IF(INDEX('Rooms Walls and Glass'!$D$35:$AB$42, MATCH($D34,'Rooms Walls and Glass'!$A$35:$A$42,0), MATCH('Unit 2 a'!Q$7,'Rooms Walls and Glass'!$D$1:$AB$1,0))=0,"",INDEX('Rooms Walls and Glass'!$D$35:$AB$42, MATCH($D34,'Rooms Walls and Glass'!$A$35:$A$42,0), MATCH('Unit 2 a'!Q$7,'Rooms Walls and Glass'!$D$1:$AB$1,0))))</f>
        <v/>
      </c>
      <c r="R34" s="68" t="str">
        <f t="shared" si="18"/>
        <v>-</v>
      </c>
      <c r="S34" s="66" t="str">
        <f>IF(S$7="","",IF(INDEX('Rooms Walls and Glass'!$D$35:$AB$42, MATCH($D34,'Rooms Walls and Glass'!$A$35:$A$42,0), MATCH('Unit 2 a'!S$7,'Rooms Walls and Glass'!$D$1:$AB$1,0))=0,"",INDEX('Rooms Walls and Glass'!$D$35:$AB$42, MATCH($D34,'Rooms Walls and Glass'!$A$35:$A$42,0), MATCH('Unit 2 a'!S$7,'Rooms Walls and Glass'!$D$1:$AB$1,0))))</f>
        <v/>
      </c>
      <c r="T34" s="68" t="str">
        <f t="shared" si="19"/>
        <v>-</v>
      </c>
      <c r="U34" s="66" t="str">
        <f>IF(U$7="","",IF(INDEX('Rooms Walls and Glass'!$D$35:$AB$42, MATCH($D34,'Rooms Walls and Glass'!$A$35:$A$42,0), MATCH('Unit 2 a'!U$7,'Rooms Walls and Glass'!$D$1:$AB$1,0))=0,"",INDEX('Rooms Walls and Glass'!$D$35:$AB$42, MATCH($D34,'Rooms Walls and Glass'!$A$35:$A$42,0), MATCH('Unit 2 a'!U$7,'Rooms Walls and Glass'!$D$1:$AB$1,0))))</f>
        <v/>
      </c>
      <c r="V34" s="68" t="str">
        <f t="shared" si="20"/>
        <v>-</v>
      </c>
      <c r="W34" s="66" t="str">
        <f>IF(W$7="","",IF(INDEX('Rooms Walls and Glass'!$D$35:$AB$42, MATCH($D34,'Rooms Walls and Glass'!$A$35:$A$42,0), MATCH('Unit 2 a'!W$7,'Rooms Walls and Glass'!$D$1:$AB$1,0))=0,"",INDEX('Rooms Walls and Glass'!$D$35:$AB$42, MATCH($D34,'Rooms Walls and Glass'!$A$35:$A$42,0), MATCH('Unit 2 a'!W$7,'Rooms Walls and Glass'!$D$1:$AB$1,0))))</f>
        <v/>
      </c>
      <c r="X34" s="68" t="str">
        <f t="shared" si="21"/>
        <v>-</v>
      </c>
      <c r="Y34" s="66" t="str">
        <f>IF(Y$7="","",IF(INDEX('Rooms Walls and Glass'!$D$35:$AB$42, MATCH($D34,'Rooms Walls and Glass'!$A$35:$A$42,0), MATCH('Unit 2 a'!Y$7,'Rooms Walls and Glass'!$D$1:$AB$1,0))=0,"",INDEX('Rooms Walls and Glass'!$D$35:$AB$42, MATCH($D34,'Rooms Walls and Glass'!$A$35:$A$42,0), MATCH('Unit 2 a'!Y$7,'Rooms Walls and Glass'!$D$1:$AB$1,0))))</f>
        <v/>
      </c>
      <c r="Z34" s="68" t="str">
        <f t="shared" si="22"/>
        <v>-</v>
      </c>
      <c r="AA34" s="66" t="str">
        <f>IF(AA$7="","",IF(INDEX('Rooms Walls and Glass'!$D$35:$AB$42, MATCH($D34,'Rooms Walls and Glass'!$A$35:$A$42,0), MATCH('Unit 2 a'!AA$7,'Rooms Walls and Glass'!$D$1:$AB$1,0))=0,"",INDEX('Rooms Walls and Glass'!$D$35:$AB$42, MATCH($D34,'Rooms Walls and Glass'!$A$35:$A$42,0), MATCH('Unit 2 a'!AA$7,'Rooms Walls and Glass'!$D$1:$AB$1,0))))</f>
        <v/>
      </c>
      <c r="AB34" s="68" t="str">
        <f t="shared" si="23"/>
        <v>-</v>
      </c>
      <c r="AC34" s="66" t="str">
        <f>IF(AC$7="","",IF(INDEX('Rooms Walls and Glass'!$D$35:$AB$42, MATCH($D34,'Rooms Walls and Glass'!$A$35:$A$42,0), MATCH('Unit 2 a'!AC$7,'Rooms Walls and Glass'!$D$1:$AB$1,0))=0,"",INDEX('Rooms Walls and Glass'!$D$35:$AB$42, MATCH($D34,'Rooms Walls and Glass'!$A$35:$A$42,0), MATCH('Unit 2 a'!AC$7,'Rooms Walls and Glass'!$D$1:$AB$1,0))))</f>
        <v/>
      </c>
      <c r="AD34" s="68" t="str">
        <f t="shared" si="30"/>
        <v>-</v>
      </c>
      <c r="AE34" s="66" t="str">
        <f>IF(AE$7="","",IF(INDEX('Rooms Walls and Glass'!$D$35:$AB$42, MATCH($D34,'Rooms Walls and Glass'!$A$35:$A$42,0), MATCH('Unit 2 a'!AE$7,'Rooms Walls and Glass'!$D$1:$AB$1,0))=0,"",INDEX('Rooms Walls and Glass'!$D$35:$AB$42, MATCH($D34,'Rooms Walls and Glass'!$A$35:$A$42,0), MATCH('Unit 2 a'!AE$7,'Rooms Walls and Glass'!$D$1:$AB$1,0))))</f>
        <v/>
      </c>
      <c r="AF34" s="68" t="str">
        <f t="shared" si="31"/>
        <v>-</v>
      </c>
      <c r="AG34" s="66" t="str">
        <f>IF(AG$7="","",IF(INDEX('Rooms Walls and Glass'!$D$35:$AB$42, MATCH($D34,'Rooms Walls and Glass'!$A$35:$A$42,0), MATCH('Unit 2 a'!AG$7,'Rooms Walls and Glass'!$D$1:$AB$1,0))=0,"",INDEX('Rooms Walls and Glass'!$D$35:$AB$42, MATCH($D34,'Rooms Walls and Glass'!$A$35:$A$42,0), MATCH('Unit 2 a'!AG$7,'Rooms Walls and Glass'!$D$1:$AB$1,0))))</f>
        <v/>
      </c>
      <c r="AH34" s="68" t="str">
        <f t="shared" si="25"/>
        <v>-</v>
      </c>
      <c r="AI34" s="66" t="str">
        <f>IF(AI$7="","",IF(INDEX('Rooms Walls and Glass'!$D$35:$AB$42, MATCH($D34,'Rooms Walls and Glass'!$A$35:$A$42,0), MATCH('Unit 2 a'!AI$7,'Rooms Walls and Glass'!$D$1:$AB$1,0))=0,"",INDEX('Rooms Walls and Glass'!$D$35:$AB$42, MATCH($D34,'Rooms Walls and Glass'!$A$35:$A$42,0), MATCH('Unit 2 a'!AI$7,'Rooms Walls and Glass'!$D$1:$AB$1,0))))</f>
        <v/>
      </c>
      <c r="AJ34" s="69" t="str">
        <f t="shared" si="26"/>
        <v>-</v>
      </c>
      <c r="AK34" s="66" t="str">
        <f>IF(AK$7="","",IF(INDEX('Rooms Walls and Glass'!$D$35:$AB$42, MATCH($D34,'Rooms Walls and Glass'!$A$35:$A$42,0), MATCH('Unit 2 a'!AK$7,'Rooms Walls and Glass'!$D$1:$AB$1,0))=0,"",INDEX('Rooms Walls and Glass'!$D$35:$AB$42, MATCH($D34,'Rooms Walls and Glass'!$A$35:$A$42,0), MATCH('Unit 2 a'!AK$7,'Rooms Walls and Glass'!$D$1:$AB$1,0))))</f>
        <v/>
      </c>
      <c r="AL34" s="68" t="str">
        <f t="shared" si="27"/>
        <v>-</v>
      </c>
      <c r="AM34" s="66" t="str">
        <f>IF(AM$7="","",IF(INDEX('Rooms Walls and Glass'!$D$35:$AB$42, MATCH($D34,'Rooms Walls and Glass'!$A$35:$A$42,0), MATCH('Unit 2 a'!AM$7,'Rooms Walls and Glass'!$D$1:$AB$1,0))=0,"",INDEX('Rooms Walls and Glass'!$D$35:$AB$42, MATCH($D34,'Rooms Walls and Glass'!$A$35:$A$42,0), MATCH('Unit 2 a'!AM$7,'Rooms Walls and Glass'!$D$1:$AB$1,0))))</f>
        <v/>
      </c>
      <c r="AN34" s="69" t="str">
        <f t="shared" si="28"/>
        <v>-</v>
      </c>
    </row>
    <row r="35" spans="2:40" ht="11.25" customHeight="1" thickBot="1" x14ac:dyDescent="0.2">
      <c r="B35" s="214"/>
      <c r="C35" s="15" t="s">
        <v>38</v>
      </c>
      <c r="D35" s="13" t="str">
        <f>'Rooms Walls and Glass'!A41</f>
        <v>SouthWest</v>
      </c>
      <c r="E35" s="13">
        <f>INDEX('Glass CLF Calculation'!$A$20:$G$27,MATCH('Unit 2 a'!D35,'Glass CLF Calculation'!$A$20:$A$27,0),7)</f>
        <v>21</v>
      </c>
      <c r="F35" s="14">
        <f>INDEX(Summary!$F$19:$F$30,MATCH('Unit 2 a'!C35,Summary!$D$19:$D$30,0))</f>
        <v>7.6999999999999999E-2</v>
      </c>
      <c r="G35" s="14">
        <f t="shared" si="29"/>
        <v>1.617</v>
      </c>
      <c r="H35" s="16" t="s">
        <v>6</v>
      </c>
      <c r="I35" s="65">
        <f t="shared" si="13"/>
        <v>0</v>
      </c>
      <c r="J35" s="68">
        <f t="shared" si="14"/>
        <v>0</v>
      </c>
      <c r="K35" s="66" t="str">
        <f>IF(K$7="","",IF(INDEX('Rooms Walls and Glass'!$D$35:$AB$42, MATCH($D35,'Rooms Walls and Glass'!$A$35:$A$42,0), MATCH('Unit 2 a'!K$7,'Rooms Walls and Glass'!$D$1:$AB$1,0))=0,"",INDEX('Rooms Walls and Glass'!$D$35:$AB$42, MATCH($D35,'Rooms Walls and Glass'!$A$35:$A$42,0), MATCH('Unit 2 a'!K$7,'Rooms Walls and Glass'!$D$1:$AB$1,0))))</f>
        <v/>
      </c>
      <c r="L35" s="68" t="str">
        <f t="shared" si="15"/>
        <v>-</v>
      </c>
      <c r="M35" s="66" t="str">
        <f>IF(M$7="","",IF(INDEX('Rooms Walls and Glass'!$D$35:$AB$42, MATCH($D35,'Rooms Walls and Glass'!$A$35:$A$42,0), MATCH('Unit 2 a'!M$7,'Rooms Walls and Glass'!$D$1:$AB$1,0))=0,"",INDEX('Rooms Walls and Glass'!$D$35:$AB$42, MATCH($D35,'Rooms Walls and Glass'!$A$35:$A$42,0), MATCH('Unit 2 a'!M$7,'Rooms Walls and Glass'!$D$1:$AB$1,0))))</f>
        <v/>
      </c>
      <c r="N35" s="68" t="str">
        <f t="shared" si="16"/>
        <v>-</v>
      </c>
      <c r="O35" s="66" t="str">
        <f>IF(O$7="","",IF(INDEX('Rooms Walls and Glass'!$D$35:$AB$42, MATCH($D35,'Rooms Walls and Glass'!$A$35:$A$42,0), MATCH('Unit 2 a'!O$7,'Rooms Walls and Glass'!$D$1:$AB$1,0))=0,"",INDEX('Rooms Walls and Glass'!$D$35:$AB$42, MATCH($D35,'Rooms Walls and Glass'!$A$35:$A$42,0), MATCH('Unit 2 a'!O$7,'Rooms Walls and Glass'!$D$1:$AB$1,0))))</f>
        <v/>
      </c>
      <c r="P35" s="68" t="str">
        <f t="shared" si="17"/>
        <v>-</v>
      </c>
      <c r="Q35" s="66" t="str">
        <f>IF(Q$7="","",IF(INDEX('Rooms Walls and Glass'!$D$35:$AB$42, MATCH($D35,'Rooms Walls and Glass'!$A$35:$A$42,0), MATCH('Unit 2 a'!Q$7,'Rooms Walls and Glass'!$D$1:$AB$1,0))=0,"",INDEX('Rooms Walls and Glass'!$D$35:$AB$42, MATCH($D35,'Rooms Walls and Glass'!$A$35:$A$42,0), MATCH('Unit 2 a'!Q$7,'Rooms Walls and Glass'!$D$1:$AB$1,0))))</f>
        <v/>
      </c>
      <c r="R35" s="68" t="str">
        <f t="shared" si="18"/>
        <v>-</v>
      </c>
      <c r="S35" s="66" t="str">
        <f>IF(S$7="","",IF(INDEX('Rooms Walls and Glass'!$D$35:$AB$42, MATCH($D35,'Rooms Walls and Glass'!$A$35:$A$42,0), MATCH('Unit 2 a'!S$7,'Rooms Walls and Glass'!$D$1:$AB$1,0))=0,"",INDEX('Rooms Walls and Glass'!$D$35:$AB$42, MATCH($D35,'Rooms Walls and Glass'!$A$35:$A$42,0), MATCH('Unit 2 a'!S$7,'Rooms Walls and Glass'!$D$1:$AB$1,0))))</f>
        <v/>
      </c>
      <c r="T35" s="68" t="str">
        <f t="shared" si="19"/>
        <v>-</v>
      </c>
      <c r="U35" s="66" t="str">
        <f>IF(U$7="","",IF(INDEX('Rooms Walls and Glass'!$D$35:$AB$42, MATCH($D35,'Rooms Walls and Glass'!$A$35:$A$42,0), MATCH('Unit 2 a'!U$7,'Rooms Walls and Glass'!$D$1:$AB$1,0))=0,"",INDEX('Rooms Walls and Glass'!$D$35:$AB$42, MATCH($D35,'Rooms Walls and Glass'!$A$35:$A$42,0), MATCH('Unit 2 a'!U$7,'Rooms Walls and Glass'!$D$1:$AB$1,0))))</f>
        <v/>
      </c>
      <c r="V35" s="68" t="str">
        <f t="shared" si="20"/>
        <v>-</v>
      </c>
      <c r="W35" s="66" t="str">
        <f>IF(W$7="","",IF(INDEX('Rooms Walls and Glass'!$D$35:$AB$42, MATCH($D35,'Rooms Walls and Glass'!$A$35:$A$42,0), MATCH('Unit 2 a'!W$7,'Rooms Walls and Glass'!$D$1:$AB$1,0))=0,"",INDEX('Rooms Walls and Glass'!$D$35:$AB$42, MATCH($D35,'Rooms Walls and Glass'!$A$35:$A$42,0), MATCH('Unit 2 a'!W$7,'Rooms Walls and Glass'!$D$1:$AB$1,0))))</f>
        <v/>
      </c>
      <c r="X35" s="68" t="str">
        <f t="shared" si="21"/>
        <v>-</v>
      </c>
      <c r="Y35" s="66" t="str">
        <f>IF(Y$7="","",IF(INDEX('Rooms Walls and Glass'!$D$35:$AB$42, MATCH($D35,'Rooms Walls and Glass'!$A$35:$A$42,0), MATCH('Unit 2 a'!Y$7,'Rooms Walls and Glass'!$D$1:$AB$1,0))=0,"",INDEX('Rooms Walls and Glass'!$D$35:$AB$42, MATCH($D35,'Rooms Walls and Glass'!$A$35:$A$42,0), MATCH('Unit 2 a'!Y$7,'Rooms Walls and Glass'!$D$1:$AB$1,0))))</f>
        <v/>
      </c>
      <c r="Z35" s="68" t="str">
        <f t="shared" si="22"/>
        <v>-</v>
      </c>
      <c r="AA35" s="66" t="str">
        <f>IF(AA$7="","",IF(INDEX('Rooms Walls and Glass'!$D$35:$AB$42, MATCH($D35,'Rooms Walls and Glass'!$A$35:$A$42,0), MATCH('Unit 2 a'!AA$7,'Rooms Walls and Glass'!$D$1:$AB$1,0))=0,"",INDEX('Rooms Walls and Glass'!$D$35:$AB$42, MATCH($D35,'Rooms Walls and Glass'!$A$35:$A$42,0), MATCH('Unit 2 a'!AA$7,'Rooms Walls and Glass'!$D$1:$AB$1,0))))</f>
        <v/>
      </c>
      <c r="AB35" s="68" t="str">
        <f t="shared" si="23"/>
        <v>-</v>
      </c>
      <c r="AC35" s="66" t="str">
        <f>IF(AC$7="","",IF(INDEX('Rooms Walls and Glass'!$D$35:$AB$42, MATCH($D35,'Rooms Walls and Glass'!$A$35:$A$42,0), MATCH('Unit 2 a'!AC$7,'Rooms Walls and Glass'!$D$1:$AB$1,0))=0,"",INDEX('Rooms Walls and Glass'!$D$35:$AB$42, MATCH($D35,'Rooms Walls and Glass'!$A$35:$A$42,0), MATCH('Unit 2 a'!AC$7,'Rooms Walls and Glass'!$D$1:$AB$1,0))))</f>
        <v/>
      </c>
      <c r="AD35" s="68" t="str">
        <f t="shared" si="30"/>
        <v>-</v>
      </c>
      <c r="AE35" s="66" t="str">
        <f>IF(AE$7="","",IF(INDEX('Rooms Walls and Glass'!$D$35:$AB$42, MATCH($D35,'Rooms Walls and Glass'!$A$35:$A$42,0), MATCH('Unit 2 a'!AE$7,'Rooms Walls and Glass'!$D$1:$AB$1,0))=0,"",INDEX('Rooms Walls and Glass'!$D$35:$AB$42, MATCH($D35,'Rooms Walls and Glass'!$A$35:$A$42,0), MATCH('Unit 2 a'!AE$7,'Rooms Walls and Glass'!$D$1:$AB$1,0))))</f>
        <v/>
      </c>
      <c r="AF35" s="68" t="str">
        <f t="shared" si="31"/>
        <v>-</v>
      </c>
      <c r="AG35" s="66" t="str">
        <f>IF(AG$7="","",IF(INDEX('Rooms Walls and Glass'!$D$35:$AB$42, MATCH($D35,'Rooms Walls and Glass'!$A$35:$A$42,0), MATCH('Unit 2 a'!AG$7,'Rooms Walls and Glass'!$D$1:$AB$1,0))=0,"",INDEX('Rooms Walls and Glass'!$D$35:$AB$42, MATCH($D35,'Rooms Walls and Glass'!$A$35:$A$42,0), MATCH('Unit 2 a'!AG$7,'Rooms Walls and Glass'!$D$1:$AB$1,0))))</f>
        <v/>
      </c>
      <c r="AH35" s="68" t="str">
        <f t="shared" si="25"/>
        <v>-</v>
      </c>
      <c r="AI35" s="66" t="str">
        <f>IF(AI$7="","",IF(INDEX('Rooms Walls and Glass'!$D$35:$AB$42, MATCH($D35,'Rooms Walls and Glass'!$A$35:$A$42,0), MATCH('Unit 2 a'!AI$7,'Rooms Walls and Glass'!$D$1:$AB$1,0))=0,"",INDEX('Rooms Walls and Glass'!$D$35:$AB$42, MATCH($D35,'Rooms Walls and Glass'!$A$35:$A$42,0), MATCH('Unit 2 a'!AI$7,'Rooms Walls and Glass'!$D$1:$AB$1,0))))</f>
        <v/>
      </c>
      <c r="AJ35" s="69" t="str">
        <f t="shared" si="26"/>
        <v>-</v>
      </c>
      <c r="AK35" s="66" t="str">
        <f>IF(AK$7="","",IF(INDEX('Rooms Walls and Glass'!$D$35:$AB$42, MATCH($D35,'Rooms Walls and Glass'!$A$35:$A$42,0), MATCH('Unit 2 a'!AK$7,'Rooms Walls and Glass'!$D$1:$AB$1,0))=0,"",INDEX('Rooms Walls and Glass'!$D$35:$AB$42, MATCH($D35,'Rooms Walls and Glass'!$A$35:$A$42,0), MATCH('Unit 2 a'!AK$7,'Rooms Walls and Glass'!$D$1:$AB$1,0))))</f>
        <v/>
      </c>
      <c r="AL35" s="68" t="str">
        <f t="shared" si="27"/>
        <v>-</v>
      </c>
      <c r="AM35" s="66" t="str">
        <f>IF(AM$7="","",IF(INDEX('Rooms Walls and Glass'!$D$35:$AB$42, MATCH($D35,'Rooms Walls and Glass'!$A$35:$A$42,0), MATCH('Unit 2 a'!AM$7,'Rooms Walls and Glass'!$D$1:$AB$1,0))=0,"",INDEX('Rooms Walls and Glass'!$D$35:$AB$42, MATCH($D35,'Rooms Walls and Glass'!$A$35:$A$42,0), MATCH('Unit 2 a'!AM$7,'Rooms Walls and Glass'!$D$1:$AB$1,0))))</f>
        <v/>
      </c>
      <c r="AN35" s="69" t="str">
        <f t="shared" si="28"/>
        <v>-</v>
      </c>
    </row>
    <row r="36" spans="2:40" ht="11.25" customHeight="1" thickBot="1" x14ac:dyDescent="0.2">
      <c r="B36" s="213"/>
      <c r="C36" s="17" t="s">
        <v>38</v>
      </c>
      <c r="D36" s="13" t="str">
        <f>'Rooms Walls and Glass'!A42</f>
        <v>West</v>
      </c>
      <c r="E36" s="13">
        <f>INDEX('Glass CLF Calculation'!$A$20:$G$27,MATCH('Unit 2 a'!D36,'Glass CLF Calculation'!$A$20:$A$27,0),7)</f>
        <v>23</v>
      </c>
      <c r="F36" s="14">
        <f>INDEX(Summary!$F$19:$F$30,MATCH('Unit 2 a'!C36,Summary!$D$19:$D$30,0))</f>
        <v>7.6999999999999999E-2</v>
      </c>
      <c r="G36" s="14">
        <f t="shared" si="29"/>
        <v>1.7709999999999999</v>
      </c>
      <c r="H36" s="18" t="s">
        <v>6</v>
      </c>
      <c r="I36" s="65">
        <f t="shared" si="13"/>
        <v>0</v>
      </c>
      <c r="J36" s="70">
        <f t="shared" si="14"/>
        <v>0</v>
      </c>
      <c r="K36" s="66" t="str">
        <f>IF(K$7="","",IF(INDEX('Rooms Walls and Glass'!$D$35:$AB$42, MATCH($D36,'Rooms Walls and Glass'!$A$35:$A$42,0), MATCH('Unit 2 a'!K$7,'Rooms Walls and Glass'!$D$1:$AB$1,0))=0,"",INDEX('Rooms Walls and Glass'!$D$35:$AB$42, MATCH($D36,'Rooms Walls and Glass'!$A$35:$A$42,0), MATCH('Unit 2 a'!K$7,'Rooms Walls and Glass'!$D$1:$AB$1,0))))</f>
        <v/>
      </c>
      <c r="L36" s="70" t="str">
        <f t="shared" si="15"/>
        <v>-</v>
      </c>
      <c r="M36" s="66" t="str">
        <f>IF(M$7="","",IF(INDEX('Rooms Walls and Glass'!$D$35:$AB$42, MATCH($D36,'Rooms Walls and Glass'!$A$35:$A$42,0), MATCH('Unit 2 a'!M$7,'Rooms Walls and Glass'!$D$1:$AB$1,0))=0,"",INDEX('Rooms Walls and Glass'!$D$35:$AB$42, MATCH($D36,'Rooms Walls and Glass'!$A$35:$A$42,0), MATCH('Unit 2 a'!M$7,'Rooms Walls and Glass'!$D$1:$AB$1,0))))</f>
        <v/>
      </c>
      <c r="N36" s="70" t="str">
        <f t="shared" si="16"/>
        <v>-</v>
      </c>
      <c r="O36" s="66" t="str">
        <f>IF(O$7="","",IF(INDEX('Rooms Walls and Glass'!$D$35:$AB$42, MATCH($D36,'Rooms Walls and Glass'!$A$35:$A$42,0), MATCH('Unit 2 a'!O$7,'Rooms Walls and Glass'!$D$1:$AB$1,0))=0,"",INDEX('Rooms Walls and Glass'!$D$35:$AB$42, MATCH($D36,'Rooms Walls and Glass'!$A$35:$A$42,0), MATCH('Unit 2 a'!O$7,'Rooms Walls and Glass'!$D$1:$AB$1,0))))</f>
        <v/>
      </c>
      <c r="P36" s="70" t="str">
        <f t="shared" si="17"/>
        <v>-</v>
      </c>
      <c r="Q36" s="66" t="str">
        <f>IF(Q$7="","",IF(INDEX('Rooms Walls and Glass'!$D$35:$AB$42, MATCH($D36,'Rooms Walls and Glass'!$A$35:$A$42,0), MATCH('Unit 2 a'!Q$7,'Rooms Walls and Glass'!$D$1:$AB$1,0))=0,"",INDEX('Rooms Walls and Glass'!$D$35:$AB$42, MATCH($D36,'Rooms Walls and Glass'!$A$35:$A$42,0), MATCH('Unit 2 a'!Q$7,'Rooms Walls and Glass'!$D$1:$AB$1,0))))</f>
        <v/>
      </c>
      <c r="R36" s="70" t="str">
        <f t="shared" si="18"/>
        <v>-</v>
      </c>
      <c r="S36" s="66" t="str">
        <f>IF(S$7="","",IF(INDEX('Rooms Walls and Glass'!$D$35:$AB$42, MATCH($D36,'Rooms Walls and Glass'!$A$35:$A$42,0), MATCH('Unit 2 a'!S$7,'Rooms Walls and Glass'!$D$1:$AB$1,0))=0,"",INDEX('Rooms Walls and Glass'!$D$35:$AB$42, MATCH($D36,'Rooms Walls and Glass'!$A$35:$A$42,0), MATCH('Unit 2 a'!S$7,'Rooms Walls and Glass'!$D$1:$AB$1,0))))</f>
        <v/>
      </c>
      <c r="T36" s="70" t="str">
        <f t="shared" si="19"/>
        <v>-</v>
      </c>
      <c r="U36" s="66" t="str">
        <f>IF(U$7="","",IF(INDEX('Rooms Walls and Glass'!$D$35:$AB$42, MATCH($D36,'Rooms Walls and Glass'!$A$35:$A$42,0), MATCH('Unit 2 a'!U$7,'Rooms Walls and Glass'!$D$1:$AB$1,0))=0,"",INDEX('Rooms Walls and Glass'!$D$35:$AB$42, MATCH($D36,'Rooms Walls and Glass'!$A$35:$A$42,0), MATCH('Unit 2 a'!U$7,'Rooms Walls and Glass'!$D$1:$AB$1,0))))</f>
        <v/>
      </c>
      <c r="V36" s="70" t="str">
        <f t="shared" si="20"/>
        <v>-</v>
      </c>
      <c r="W36" s="66" t="str">
        <f>IF(W$7="","",IF(INDEX('Rooms Walls and Glass'!$D$35:$AB$42, MATCH($D36,'Rooms Walls and Glass'!$A$35:$A$42,0), MATCH('Unit 2 a'!W$7,'Rooms Walls and Glass'!$D$1:$AB$1,0))=0,"",INDEX('Rooms Walls and Glass'!$D$35:$AB$42, MATCH($D36,'Rooms Walls and Glass'!$A$35:$A$42,0), MATCH('Unit 2 a'!W$7,'Rooms Walls and Glass'!$D$1:$AB$1,0))))</f>
        <v/>
      </c>
      <c r="X36" s="70" t="str">
        <f t="shared" si="21"/>
        <v>-</v>
      </c>
      <c r="Y36" s="66" t="str">
        <f>IF(Y$7="","",IF(INDEX('Rooms Walls and Glass'!$D$35:$AB$42, MATCH($D36,'Rooms Walls and Glass'!$A$35:$A$42,0), MATCH('Unit 2 a'!Y$7,'Rooms Walls and Glass'!$D$1:$AB$1,0))=0,"",INDEX('Rooms Walls and Glass'!$D$35:$AB$42, MATCH($D36,'Rooms Walls and Glass'!$A$35:$A$42,0), MATCH('Unit 2 a'!Y$7,'Rooms Walls and Glass'!$D$1:$AB$1,0))))</f>
        <v/>
      </c>
      <c r="Z36" s="70" t="str">
        <f t="shared" si="22"/>
        <v>-</v>
      </c>
      <c r="AA36" s="66" t="str">
        <f>IF(AA$7="","",IF(INDEX('Rooms Walls and Glass'!$D$35:$AB$42, MATCH($D36,'Rooms Walls and Glass'!$A$35:$A$42,0), MATCH('Unit 2 a'!AA$7,'Rooms Walls and Glass'!$D$1:$AB$1,0))=0,"",INDEX('Rooms Walls and Glass'!$D$35:$AB$42, MATCH($D36,'Rooms Walls and Glass'!$A$35:$A$42,0), MATCH('Unit 2 a'!AA$7,'Rooms Walls and Glass'!$D$1:$AB$1,0))))</f>
        <v/>
      </c>
      <c r="AB36" s="70" t="str">
        <f t="shared" si="23"/>
        <v>-</v>
      </c>
      <c r="AC36" s="66" t="str">
        <f>IF(AC$7="","",IF(INDEX('Rooms Walls and Glass'!$D$35:$AB$42, MATCH($D36,'Rooms Walls and Glass'!$A$35:$A$42,0), MATCH('Unit 2 a'!AC$7,'Rooms Walls and Glass'!$D$1:$AB$1,0))=0,"",INDEX('Rooms Walls and Glass'!$D$35:$AB$42, MATCH($D36,'Rooms Walls and Glass'!$A$35:$A$42,0), MATCH('Unit 2 a'!AC$7,'Rooms Walls and Glass'!$D$1:$AB$1,0))))</f>
        <v/>
      </c>
      <c r="AD36" s="70" t="str">
        <f t="shared" si="30"/>
        <v>-</v>
      </c>
      <c r="AE36" s="66" t="str">
        <f>IF(AE$7="","",IF(INDEX('Rooms Walls and Glass'!$D$35:$AB$42, MATCH($D36,'Rooms Walls and Glass'!$A$35:$A$42,0), MATCH('Unit 2 a'!AE$7,'Rooms Walls and Glass'!$D$1:$AB$1,0))=0,"",INDEX('Rooms Walls and Glass'!$D$35:$AB$42, MATCH($D36,'Rooms Walls and Glass'!$A$35:$A$42,0), MATCH('Unit 2 a'!AE$7,'Rooms Walls and Glass'!$D$1:$AB$1,0))))</f>
        <v/>
      </c>
      <c r="AF36" s="70" t="str">
        <f t="shared" si="31"/>
        <v>-</v>
      </c>
      <c r="AG36" s="66" t="str">
        <f>IF(AG$7="","",IF(INDEX('Rooms Walls and Glass'!$D$35:$AB$42, MATCH($D36,'Rooms Walls and Glass'!$A$35:$A$42,0), MATCH('Unit 2 a'!AG$7,'Rooms Walls and Glass'!$D$1:$AB$1,0))=0,"",INDEX('Rooms Walls and Glass'!$D$35:$AB$42, MATCH($D36,'Rooms Walls and Glass'!$A$35:$A$42,0), MATCH('Unit 2 a'!AG$7,'Rooms Walls and Glass'!$D$1:$AB$1,0))))</f>
        <v/>
      </c>
      <c r="AH36" s="70" t="str">
        <f t="shared" si="25"/>
        <v>-</v>
      </c>
      <c r="AI36" s="66" t="str">
        <f>IF(AI$7="","",IF(INDEX('Rooms Walls and Glass'!$D$35:$AB$42, MATCH($D36,'Rooms Walls and Glass'!$A$35:$A$42,0), MATCH('Unit 2 a'!AI$7,'Rooms Walls and Glass'!$D$1:$AB$1,0))=0,"",INDEX('Rooms Walls and Glass'!$D$35:$AB$42, MATCH($D36,'Rooms Walls and Glass'!$A$35:$A$42,0), MATCH('Unit 2 a'!AI$7,'Rooms Walls and Glass'!$D$1:$AB$1,0))))</f>
        <v/>
      </c>
      <c r="AJ36" s="71" t="str">
        <f t="shared" si="26"/>
        <v>-</v>
      </c>
      <c r="AK36" s="66" t="str">
        <f>IF(AK$7="","",IF(INDEX('Rooms Walls and Glass'!$D$35:$AB$42, MATCH($D36,'Rooms Walls and Glass'!$A$35:$A$42,0), MATCH('Unit 2 a'!AK$7,'Rooms Walls and Glass'!$D$1:$AB$1,0))=0,"",INDEX('Rooms Walls and Glass'!$D$35:$AB$42, MATCH($D36,'Rooms Walls and Glass'!$A$35:$A$42,0), MATCH('Unit 2 a'!AK$7,'Rooms Walls and Glass'!$D$1:$AB$1,0))))</f>
        <v/>
      </c>
      <c r="AL36" s="70" t="str">
        <f t="shared" si="27"/>
        <v>-</v>
      </c>
      <c r="AM36" s="66" t="str">
        <f>IF(AM$7="","",IF(INDEX('Rooms Walls and Glass'!$D$35:$AB$42, MATCH($D36,'Rooms Walls and Glass'!$A$35:$A$42,0), MATCH('Unit 2 a'!AM$7,'Rooms Walls and Glass'!$D$1:$AB$1,0))=0,"",INDEX('Rooms Walls and Glass'!$D$35:$AB$42, MATCH($D36,'Rooms Walls and Glass'!$A$35:$A$42,0), MATCH('Unit 2 a'!AM$7,'Rooms Walls and Glass'!$D$1:$AB$1,0))))</f>
        <v/>
      </c>
      <c r="AN36" s="71" t="str">
        <f t="shared" si="28"/>
        <v>-</v>
      </c>
    </row>
    <row r="37" spans="2:40" ht="11.25" customHeight="1" thickBot="1" x14ac:dyDescent="0.2">
      <c r="B37" s="212" t="s">
        <v>80</v>
      </c>
      <c r="C37" s="12" t="s">
        <v>39</v>
      </c>
      <c r="D37" s="13" t="s">
        <v>45</v>
      </c>
      <c r="E37" s="13">
        <v>0</v>
      </c>
      <c r="F37" s="14">
        <f>INDEX(Summary!$F$19:$F$30,MATCH('Unit 2 a'!C37,Summary!$D$19:$D$30,0))</f>
        <v>6.7000000000000004E-2</v>
      </c>
      <c r="G37" s="14">
        <f t="shared" si="29"/>
        <v>0</v>
      </c>
      <c r="H37" s="13" t="s">
        <v>6</v>
      </c>
      <c r="I37" s="65">
        <f t="shared" si="13"/>
        <v>0</v>
      </c>
      <c r="J37" s="65">
        <f t="shared" si="14"/>
        <v>0</v>
      </c>
      <c r="K37" s="66" t="str">
        <f>IF(K$7="","",IF(INDEX('Rooms Walls and Glass'!$D$46:$AB$50, MATCH($D37,'Rooms Walls and Glass'!$A$46:$A$50,0), MATCH('Unit 2 a'!K$7,'Rooms Walls and Glass'!$D$1:$AB$1,0))=0,"",INDEX('Rooms Walls and Glass'!$D$46:$AB$50, MATCH($D37,'Rooms Walls and Glass'!$A$46:$A$50,0), MATCH('Unit 2 a'!K$7,'Rooms Walls and Glass'!$D$1:$AB$1,0))))</f>
        <v/>
      </c>
      <c r="L37" s="65" t="str">
        <f t="shared" si="15"/>
        <v>-</v>
      </c>
      <c r="M37" s="66" t="str">
        <f>IF(M$7="","",IF(INDEX('Rooms Walls and Glass'!$D$46:$AB$50, MATCH($D37,'Rooms Walls and Glass'!$A$46:$A$50,0), MATCH('Unit 2 a'!M$7,'Rooms Walls and Glass'!$D$1:$AB$1,0))=0,"",INDEX('Rooms Walls and Glass'!$D$46:$AB$50, MATCH($D37,'Rooms Walls and Glass'!$A$46:$A$50,0), MATCH('Unit 2 a'!M$7,'Rooms Walls and Glass'!$D$1:$AB$1,0))))</f>
        <v/>
      </c>
      <c r="N37" s="65" t="str">
        <f t="shared" si="16"/>
        <v>-</v>
      </c>
      <c r="O37" s="66" t="str">
        <f>IF(O$7="","",IF(INDEX('Rooms Walls and Glass'!$D$46:$AB$50, MATCH($D37,'Rooms Walls and Glass'!$A$46:$A$50,0), MATCH('Unit 2 a'!O$7,'Rooms Walls and Glass'!$D$1:$AB$1,0))=0,"",INDEX('Rooms Walls and Glass'!$D$46:$AB$50, MATCH($D37,'Rooms Walls and Glass'!$A$46:$A$50,0), MATCH('Unit 2 a'!O$7,'Rooms Walls and Glass'!$D$1:$AB$1,0))))</f>
        <v/>
      </c>
      <c r="P37" s="65" t="str">
        <f t="shared" si="17"/>
        <v>-</v>
      </c>
      <c r="Q37" s="66" t="str">
        <f>IF(Q$7="","",IF(INDEX('Rooms Walls and Glass'!$D$46:$AB$50, MATCH($D37,'Rooms Walls and Glass'!$A$46:$A$50,0), MATCH('Unit 2 a'!Q$7,'Rooms Walls and Glass'!$D$1:$AB$1,0))=0,"",INDEX('Rooms Walls and Glass'!$D$46:$AB$50, MATCH($D37,'Rooms Walls and Glass'!$A$46:$A$50,0), MATCH('Unit 2 a'!Q$7,'Rooms Walls and Glass'!$D$1:$AB$1,0))))</f>
        <v/>
      </c>
      <c r="R37" s="65" t="str">
        <f t="shared" si="18"/>
        <v>-</v>
      </c>
      <c r="S37" s="66" t="str">
        <f>IF(S$7="","",IF(INDEX('Rooms Walls and Glass'!$D$46:$AB$50, MATCH($D37,'Rooms Walls and Glass'!$A$46:$A$50,0), MATCH('Unit 2 a'!S$7,'Rooms Walls and Glass'!$D$1:$AB$1,0))=0,"",INDEX('Rooms Walls and Glass'!$D$46:$AB$50, MATCH($D37,'Rooms Walls and Glass'!$A$46:$A$50,0), MATCH('Unit 2 a'!S$7,'Rooms Walls and Glass'!$D$1:$AB$1,0))))</f>
        <v/>
      </c>
      <c r="T37" s="65" t="str">
        <f t="shared" si="19"/>
        <v>-</v>
      </c>
      <c r="U37" s="66" t="str">
        <f>IF(U$7="","",IF(INDEX('Rooms Walls and Glass'!$D$46:$AB$50, MATCH($D37,'Rooms Walls and Glass'!$A$46:$A$50,0), MATCH('Unit 2 a'!U$7,'Rooms Walls and Glass'!$D$1:$AB$1,0))=0,"",INDEX('Rooms Walls and Glass'!$D$46:$AB$50, MATCH($D37,'Rooms Walls and Glass'!$A$46:$A$50,0), MATCH('Unit 2 a'!U$7,'Rooms Walls and Glass'!$D$1:$AB$1,0))))</f>
        <v/>
      </c>
      <c r="V37" s="65" t="str">
        <f t="shared" si="20"/>
        <v>-</v>
      </c>
      <c r="W37" s="66" t="str">
        <f>IF(W$7="","",IF(INDEX('Rooms Walls and Glass'!$D$46:$AB$50, MATCH($D37,'Rooms Walls and Glass'!$A$46:$A$50,0), MATCH('Unit 2 a'!W$7,'Rooms Walls and Glass'!$D$1:$AB$1,0))=0,"",INDEX('Rooms Walls and Glass'!$D$46:$AB$50, MATCH($D37,'Rooms Walls and Glass'!$A$46:$A$50,0), MATCH('Unit 2 a'!W$7,'Rooms Walls and Glass'!$D$1:$AB$1,0))))</f>
        <v/>
      </c>
      <c r="X37" s="65" t="str">
        <f t="shared" si="21"/>
        <v>-</v>
      </c>
      <c r="Y37" s="66" t="str">
        <f>IF(Y$7="","",IF(INDEX('Rooms Walls and Glass'!$D$46:$AB$50, MATCH($D37,'Rooms Walls and Glass'!$A$46:$A$50,0), MATCH('Unit 2 a'!Y$7,'Rooms Walls and Glass'!$D$1:$AB$1,0))=0,"",INDEX('Rooms Walls and Glass'!$D$46:$AB$50, MATCH($D37,'Rooms Walls and Glass'!$A$46:$A$50,0), MATCH('Unit 2 a'!Y$7,'Rooms Walls and Glass'!$D$1:$AB$1,0))))</f>
        <v/>
      </c>
      <c r="Z37" s="65" t="str">
        <f t="shared" si="22"/>
        <v>-</v>
      </c>
      <c r="AA37" s="66" t="str">
        <f>IF(AA$7="","",IF(INDEX('Rooms Walls and Glass'!$D$46:$AB$50, MATCH($D37,'Rooms Walls and Glass'!$A$46:$A$50,0), MATCH('Unit 2 a'!AA$7,'Rooms Walls and Glass'!$D$1:$AB$1,0))=0,"",INDEX('Rooms Walls and Glass'!$D$46:$AB$50, MATCH($D37,'Rooms Walls and Glass'!$A$46:$A$50,0), MATCH('Unit 2 a'!AA$7,'Rooms Walls and Glass'!$D$1:$AB$1,0))))</f>
        <v/>
      </c>
      <c r="AB37" s="65" t="str">
        <f t="shared" si="23"/>
        <v>-</v>
      </c>
      <c r="AC37" s="66" t="str">
        <f>IF(AC$7="","",IF(INDEX('Rooms Walls and Glass'!$D$46:$AB$50, MATCH($D37,'Rooms Walls and Glass'!$A$46:$A$50,0), MATCH('Unit 2 a'!AC$7,'Rooms Walls and Glass'!$D$1:$AB$1,0))=0,"",INDEX('Rooms Walls and Glass'!$D$46:$AB$50, MATCH($D37,'Rooms Walls and Glass'!$A$46:$A$50,0), MATCH('Unit 2 a'!AC$7,'Rooms Walls and Glass'!$D$1:$AB$1,0))))</f>
        <v/>
      </c>
      <c r="AD37" s="65" t="str">
        <f t="shared" si="30"/>
        <v>-</v>
      </c>
      <c r="AE37" s="66" t="str">
        <f>IF(AE$7="","",IF(INDEX('Rooms Walls and Glass'!$D$46:$AB$50, MATCH($D37,'Rooms Walls and Glass'!$A$46:$A$50,0), MATCH('Unit 2 a'!AE$7,'Rooms Walls and Glass'!$D$1:$AB$1,0))=0,"",INDEX('Rooms Walls and Glass'!$D$46:$AB$50, MATCH($D37,'Rooms Walls and Glass'!$A$46:$A$50,0), MATCH('Unit 2 a'!AE$7,'Rooms Walls and Glass'!$D$1:$AB$1,0))))</f>
        <v/>
      </c>
      <c r="AF37" s="65" t="str">
        <f t="shared" si="31"/>
        <v>-</v>
      </c>
      <c r="AG37" s="66" t="str">
        <f>IF(AG$7="","",IF(INDEX('Rooms Walls and Glass'!$D$46:$AB$50, MATCH($D37,'Rooms Walls and Glass'!$A$46:$A$50,0), MATCH('Unit 2 a'!AG$7,'Rooms Walls and Glass'!$D$1:$AB$1,0))=0,"",INDEX('Rooms Walls and Glass'!$D$46:$AB$50, MATCH($D37,'Rooms Walls and Glass'!$A$46:$A$50,0), MATCH('Unit 2 a'!AG$7,'Rooms Walls and Glass'!$D$1:$AB$1,0))))</f>
        <v/>
      </c>
      <c r="AH37" s="65" t="str">
        <f t="shared" si="25"/>
        <v>-</v>
      </c>
      <c r="AI37" s="66" t="str">
        <f>IF(AI$7="","",IF(INDEX('Rooms Walls and Glass'!$D$46:$AB$50, MATCH($D37,'Rooms Walls and Glass'!$A$46:$A$50,0), MATCH('Unit 2 a'!AI$7,'Rooms Walls and Glass'!$D$1:$AB$1,0))=0,"",INDEX('Rooms Walls and Glass'!$D$46:$AB$50, MATCH($D37,'Rooms Walls and Glass'!$A$46:$A$50,0), MATCH('Unit 2 a'!AI$7,'Rooms Walls and Glass'!$D$1:$AB$1,0))))</f>
        <v/>
      </c>
      <c r="AJ37" s="67" t="str">
        <f t="shared" si="26"/>
        <v>-</v>
      </c>
      <c r="AK37" s="66" t="str">
        <f>IF(AK$7="","",IF(INDEX('Rooms Walls and Glass'!$D$46:$AB$50, MATCH($D37,'Rooms Walls and Glass'!$A$46:$A$50,0), MATCH('Unit 2 a'!AK$7,'Rooms Walls and Glass'!$D$1:$AB$1,0))=0,"",INDEX('Rooms Walls and Glass'!$D$46:$AB$50, MATCH($D37,'Rooms Walls and Glass'!$A$46:$A$50,0), MATCH('Unit 2 a'!AK$7,'Rooms Walls and Glass'!$D$1:$AB$1,0))))</f>
        <v/>
      </c>
      <c r="AL37" s="65" t="str">
        <f t="shared" si="27"/>
        <v>-</v>
      </c>
      <c r="AM37" s="66" t="str">
        <f>IF(AM$7="","",IF(INDEX('Rooms Walls and Glass'!$D$46:$AB$50, MATCH($D37,'Rooms Walls and Glass'!$A$46:$A$50,0), MATCH('Unit 2 a'!AM$7,'Rooms Walls and Glass'!$D$1:$AB$1,0))=0,"",INDEX('Rooms Walls and Glass'!$D$46:$AB$50, MATCH($D37,'Rooms Walls and Glass'!$A$46:$A$50,0), MATCH('Unit 2 a'!AM$7,'Rooms Walls and Glass'!$D$1:$AB$1,0))))</f>
        <v/>
      </c>
      <c r="AN37" s="67" t="str">
        <f t="shared" si="28"/>
        <v>-</v>
      </c>
    </row>
    <row r="38" spans="2:40" ht="11.25" customHeight="1" thickBot="1" x14ac:dyDescent="0.2">
      <c r="B38" s="214"/>
      <c r="C38" s="15" t="s">
        <v>38</v>
      </c>
      <c r="D38" s="16" t="s">
        <v>46</v>
      </c>
      <c r="E38" s="16">
        <v>10</v>
      </c>
      <c r="F38" s="14">
        <f>INDEX(Summary!$F$19:$F$30,MATCH('Unit 2 a'!C38,Summary!$D$19:$D$30,0))</f>
        <v>7.6999999999999999E-2</v>
      </c>
      <c r="G38" s="14">
        <f t="shared" si="29"/>
        <v>0.77</v>
      </c>
      <c r="H38" s="16" t="s">
        <v>6</v>
      </c>
      <c r="I38" s="65">
        <f t="shared" si="13"/>
        <v>0</v>
      </c>
      <c r="J38" s="68">
        <f t="shared" si="14"/>
        <v>0</v>
      </c>
      <c r="K38" s="66" t="str">
        <f>IF(K$7="","",IF(INDEX('Rooms Walls and Glass'!$D$46:$AB$50, MATCH($D38,'Rooms Walls and Glass'!$A$46:$A$50,0), MATCH('Unit 2 a'!K$7,'Rooms Walls and Glass'!$D$1:$AB$1,0))=0,"",INDEX('Rooms Walls and Glass'!$D$46:$AB$50, MATCH($D38,'Rooms Walls and Glass'!$A$46:$A$50,0), MATCH('Unit 2 a'!K$7,'Rooms Walls and Glass'!$D$1:$AB$1,0))))</f>
        <v/>
      </c>
      <c r="L38" s="68" t="str">
        <f t="shared" si="15"/>
        <v>-</v>
      </c>
      <c r="M38" s="66" t="str">
        <f>IF(M$7="","",IF(INDEX('Rooms Walls and Glass'!$D$46:$AB$50, MATCH($D38,'Rooms Walls and Glass'!$A$46:$A$50,0), MATCH('Unit 2 a'!M$7,'Rooms Walls and Glass'!$D$1:$AB$1,0))=0,"",INDEX('Rooms Walls and Glass'!$D$46:$AB$50, MATCH($D38,'Rooms Walls and Glass'!$A$46:$A$50,0), MATCH('Unit 2 a'!M$7,'Rooms Walls and Glass'!$D$1:$AB$1,0))))</f>
        <v/>
      </c>
      <c r="N38" s="68" t="str">
        <f t="shared" si="16"/>
        <v>-</v>
      </c>
      <c r="O38" s="66" t="str">
        <f>IF(O$7="","",IF(INDEX('Rooms Walls and Glass'!$D$46:$AB$50, MATCH($D38,'Rooms Walls and Glass'!$A$46:$A$50,0), MATCH('Unit 2 a'!O$7,'Rooms Walls and Glass'!$D$1:$AB$1,0))=0,"",INDEX('Rooms Walls and Glass'!$D$46:$AB$50, MATCH($D38,'Rooms Walls and Glass'!$A$46:$A$50,0), MATCH('Unit 2 a'!O$7,'Rooms Walls and Glass'!$D$1:$AB$1,0))))</f>
        <v/>
      </c>
      <c r="P38" s="68" t="str">
        <f t="shared" si="17"/>
        <v>-</v>
      </c>
      <c r="Q38" s="66" t="str">
        <f>IF(Q$7="","",IF(INDEX('Rooms Walls and Glass'!$D$46:$AB$50, MATCH($D38,'Rooms Walls and Glass'!$A$46:$A$50,0), MATCH('Unit 2 a'!Q$7,'Rooms Walls and Glass'!$D$1:$AB$1,0))=0,"",INDEX('Rooms Walls and Glass'!$D$46:$AB$50, MATCH($D38,'Rooms Walls and Glass'!$A$46:$A$50,0), MATCH('Unit 2 a'!Q$7,'Rooms Walls and Glass'!$D$1:$AB$1,0))))</f>
        <v/>
      </c>
      <c r="R38" s="68" t="str">
        <f t="shared" si="18"/>
        <v>-</v>
      </c>
      <c r="S38" s="66" t="str">
        <f>IF(S$7="","",IF(INDEX('Rooms Walls and Glass'!$D$46:$AB$50, MATCH($D38,'Rooms Walls and Glass'!$A$46:$A$50,0), MATCH('Unit 2 a'!S$7,'Rooms Walls and Glass'!$D$1:$AB$1,0))=0,"",INDEX('Rooms Walls and Glass'!$D$46:$AB$50, MATCH($D38,'Rooms Walls and Glass'!$A$46:$A$50,0), MATCH('Unit 2 a'!S$7,'Rooms Walls and Glass'!$D$1:$AB$1,0))))</f>
        <v/>
      </c>
      <c r="T38" s="68" t="str">
        <f t="shared" si="19"/>
        <v>-</v>
      </c>
      <c r="U38" s="66" t="str">
        <f>IF(U$7="","",IF(INDEX('Rooms Walls and Glass'!$D$46:$AB$50, MATCH($D38,'Rooms Walls and Glass'!$A$46:$A$50,0), MATCH('Unit 2 a'!U$7,'Rooms Walls and Glass'!$D$1:$AB$1,0))=0,"",INDEX('Rooms Walls and Glass'!$D$46:$AB$50, MATCH($D38,'Rooms Walls and Glass'!$A$46:$A$50,0), MATCH('Unit 2 a'!U$7,'Rooms Walls and Glass'!$D$1:$AB$1,0))))</f>
        <v/>
      </c>
      <c r="V38" s="68" t="str">
        <f t="shared" si="20"/>
        <v>-</v>
      </c>
      <c r="W38" s="66" t="str">
        <f>IF(W$7="","",IF(INDEX('Rooms Walls and Glass'!$D$46:$AB$50, MATCH($D38,'Rooms Walls and Glass'!$A$46:$A$50,0), MATCH('Unit 2 a'!W$7,'Rooms Walls and Glass'!$D$1:$AB$1,0))=0,"",INDEX('Rooms Walls and Glass'!$D$46:$AB$50, MATCH($D38,'Rooms Walls and Glass'!$A$46:$A$50,0), MATCH('Unit 2 a'!W$7,'Rooms Walls and Glass'!$D$1:$AB$1,0))))</f>
        <v/>
      </c>
      <c r="X38" s="68" t="str">
        <f t="shared" si="21"/>
        <v>-</v>
      </c>
      <c r="Y38" s="66" t="str">
        <f>IF(Y$7="","",IF(INDEX('Rooms Walls and Glass'!$D$46:$AB$50, MATCH($D38,'Rooms Walls and Glass'!$A$46:$A$50,0), MATCH('Unit 2 a'!Y$7,'Rooms Walls and Glass'!$D$1:$AB$1,0))=0,"",INDEX('Rooms Walls and Glass'!$D$46:$AB$50, MATCH($D38,'Rooms Walls and Glass'!$A$46:$A$50,0), MATCH('Unit 2 a'!Y$7,'Rooms Walls and Glass'!$D$1:$AB$1,0))))</f>
        <v/>
      </c>
      <c r="Z38" s="68" t="str">
        <f t="shared" si="22"/>
        <v>-</v>
      </c>
      <c r="AA38" s="66" t="str">
        <f>IF(AA$7="","",IF(INDEX('Rooms Walls and Glass'!$D$46:$AB$50, MATCH($D38,'Rooms Walls and Glass'!$A$46:$A$50,0), MATCH('Unit 2 a'!AA$7,'Rooms Walls and Glass'!$D$1:$AB$1,0))=0,"",INDEX('Rooms Walls and Glass'!$D$46:$AB$50, MATCH($D38,'Rooms Walls and Glass'!$A$46:$A$50,0), MATCH('Unit 2 a'!AA$7,'Rooms Walls and Glass'!$D$1:$AB$1,0))))</f>
        <v/>
      </c>
      <c r="AB38" s="68" t="str">
        <f t="shared" si="23"/>
        <v>-</v>
      </c>
      <c r="AC38" s="66" t="str">
        <f>IF(AC$7="","",IF(INDEX('Rooms Walls and Glass'!$D$46:$AB$50, MATCH($D38,'Rooms Walls and Glass'!$A$46:$A$50,0), MATCH('Unit 2 a'!AC$7,'Rooms Walls and Glass'!$D$1:$AB$1,0))=0,"",INDEX('Rooms Walls and Glass'!$D$46:$AB$50, MATCH($D38,'Rooms Walls and Glass'!$A$46:$A$50,0), MATCH('Unit 2 a'!AC$7,'Rooms Walls and Glass'!$D$1:$AB$1,0))))</f>
        <v/>
      </c>
      <c r="AD38" s="68" t="str">
        <f t="shared" si="30"/>
        <v>-</v>
      </c>
      <c r="AE38" s="66" t="str">
        <f>IF(AE$7="","",IF(INDEX('Rooms Walls and Glass'!$D$46:$AB$50, MATCH($D38,'Rooms Walls and Glass'!$A$46:$A$50,0), MATCH('Unit 2 a'!AE$7,'Rooms Walls and Glass'!$D$1:$AB$1,0))=0,"",INDEX('Rooms Walls and Glass'!$D$46:$AB$50, MATCH($D38,'Rooms Walls and Glass'!$A$46:$A$50,0), MATCH('Unit 2 a'!AE$7,'Rooms Walls and Glass'!$D$1:$AB$1,0))))</f>
        <v/>
      </c>
      <c r="AF38" s="68" t="str">
        <f t="shared" si="31"/>
        <v>-</v>
      </c>
      <c r="AG38" s="66" t="str">
        <f>IF(AG$7="","",IF(INDEX('Rooms Walls and Glass'!$D$46:$AB$50, MATCH($D38,'Rooms Walls and Glass'!$A$46:$A$50,0), MATCH('Unit 2 a'!AG$7,'Rooms Walls and Glass'!$D$1:$AB$1,0))=0,"",INDEX('Rooms Walls and Glass'!$D$46:$AB$50, MATCH($D38,'Rooms Walls and Glass'!$A$46:$A$50,0), MATCH('Unit 2 a'!AG$7,'Rooms Walls and Glass'!$D$1:$AB$1,0))))</f>
        <v/>
      </c>
      <c r="AH38" s="68" t="str">
        <f t="shared" si="25"/>
        <v>-</v>
      </c>
      <c r="AI38" s="66" t="str">
        <f>IF(AI$7="","",IF(INDEX('Rooms Walls and Glass'!$D$46:$AB$50, MATCH($D38,'Rooms Walls and Glass'!$A$46:$A$50,0), MATCH('Unit 2 a'!AI$7,'Rooms Walls and Glass'!$D$1:$AB$1,0))=0,"",INDEX('Rooms Walls and Glass'!$D$46:$AB$50, MATCH($D38,'Rooms Walls and Glass'!$A$46:$A$50,0), MATCH('Unit 2 a'!AI$7,'Rooms Walls and Glass'!$D$1:$AB$1,0))))</f>
        <v/>
      </c>
      <c r="AJ38" s="69" t="str">
        <f t="shared" si="26"/>
        <v>-</v>
      </c>
      <c r="AK38" s="66" t="str">
        <f>IF(AK$7="","",IF(INDEX('Rooms Walls and Glass'!$D$46:$AB$50, MATCH($D38,'Rooms Walls and Glass'!$A$46:$A$50,0), MATCH('Unit 2 a'!AK$7,'Rooms Walls and Glass'!$D$1:$AB$1,0))=0,"",INDEX('Rooms Walls and Glass'!$D$46:$AB$50, MATCH($D38,'Rooms Walls and Glass'!$A$46:$A$50,0), MATCH('Unit 2 a'!AK$7,'Rooms Walls and Glass'!$D$1:$AB$1,0))))</f>
        <v/>
      </c>
      <c r="AL38" s="68" t="str">
        <f t="shared" si="27"/>
        <v>-</v>
      </c>
      <c r="AM38" s="66" t="str">
        <f>IF(AM$7="","",IF(INDEX('Rooms Walls and Glass'!$D$46:$AB$50, MATCH($D38,'Rooms Walls and Glass'!$A$46:$A$50,0), MATCH('Unit 2 a'!AM$7,'Rooms Walls and Glass'!$D$1:$AB$1,0))=0,"",INDEX('Rooms Walls and Glass'!$D$46:$AB$50, MATCH($D38,'Rooms Walls and Glass'!$A$46:$A$50,0), MATCH('Unit 2 a'!AM$7,'Rooms Walls and Glass'!$D$1:$AB$1,0))))</f>
        <v/>
      </c>
      <c r="AN38" s="69" t="str">
        <f t="shared" si="28"/>
        <v>-</v>
      </c>
    </row>
    <row r="39" spans="2:40" ht="11.25" customHeight="1" thickBot="1" x14ac:dyDescent="0.2">
      <c r="B39" s="214"/>
      <c r="C39" s="15" t="s">
        <v>38</v>
      </c>
      <c r="D39" s="16" t="s">
        <v>36</v>
      </c>
      <c r="E39" s="16">
        <v>30</v>
      </c>
      <c r="F39" s="14">
        <f>INDEX(Summary!$F$19:$F$30,MATCH('Unit 2 a'!C39,Summary!$D$19:$D$30,0))</f>
        <v>7.6999999999999999E-2</v>
      </c>
      <c r="G39" s="14">
        <f t="shared" si="29"/>
        <v>2.31</v>
      </c>
      <c r="H39" s="19" t="s">
        <v>6</v>
      </c>
      <c r="I39" s="65">
        <f t="shared" si="13"/>
        <v>0</v>
      </c>
      <c r="J39" s="68">
        <f t="shared" si="14"/>
        <v>0</v>
      </c>
      <c r="K39" s="66" t="str">
        <f>IF(K$7="","",IF(INDEX('Rooms Walls and Glass'!$D$46:$AB$50, MATCH($D39,'Rooms Walls and Glass'!$A$46:$A$50,0), MATCH('Unit 2 a'!K$7,'Rooms Walls and Glass'!$D$1:$AB$1,0))=0,"",INDEX('Rooms Walls and Glass'!$D$46:$AB$50, MATCH($D39,'Rooms Walls and Glass'!$A$46:$A$50,0), MATCH('Unit 2 a'!K$7,'Rooms Walls and Glass'!$D$1:$AB$1,0))))</f>
        <v/>
      </c>
      <c r="L39" s="68" t="str">
        <f t="shared" si="15"/>
        <v>-</v>
      </c>
      <c r="M39" s="66" t="str">
        <f>IF(M$7="","",IF(INDEX('Rooms Walls and Glass'!$D$46:$AB$50, MATCH($D39,'Rooms Walls and Glass'!$A$46:$A$50,0), MATCH('Unit 2 a'!M$7,'Rooms Walls and Glass'!$D$1:$AB$1,0))=0,"",INDEX('Rooms Walls and Glass'!$D$46:$AB$50, MATCH($D39,'Rooms Walls and Glass'!$A$46:$A$50,0), MATCH('Unit 2 a'!M$7,'Rooms Walls and Glass'!$D$1:$AB$1,0))))</f>
        <v/>
      </c>
      <c r="N39" s="68" t="str">
        <f t="shared" si="16"/>
        <v>-</v>
      </c>
      <c r="O39" s="66" t="str">
        <f>IF(O$7="","",IF(INDEX('Rooms Walls and Glass'!$D$46:$AB$50, MATCH($D39,'Rooms Walls and Glass'!$A$46:$A$50,0), MATCH('Unit 2 a'!O$7,'Rooms Walls and Glass'!$D$1:$AB$1,0))=0,"",INDEX('Rooms Walls and Glass'!$D$46:$AB$50, MATCH($D39,'Rooms Walls and Glass'!$A$46:$A$50,0), MATCH('Unit 2 a'!O$7,'Rooms Walls and Glass'!$D$1:$AB$1,0))))</f>
        <v/>
      </c>
      <c r="P39" s="68" t="str">
        <f t="shared" si="17"/>
        <v>-</v>
      </c>
      <c r="Q39" s="66" t="str">
        <f>IF(Q$7="","",IF(INDEX('Rooms Walls and Glass'!$D$46:$AB$50, MATCH($D39,'Rooms Walls and Glass'!$A$46:$A$50,0), MATCH('Unit 2 a'!Q$7,'Rooms Walls and Glass'!$D$1:$AB$1,0))=0,"",INDEX('Rooms Walls and Glass'!$D$46:$AB$50, MATCH($D39,'Rooms Walls and Glass'!$A$46:$A$50,0), MATCH('Unit 2 a'!Q$7,'Rooms Walls and Glass'!$D$1:$AB$1,0))))</f>
        <v/>
      </c>
      <c r="R39" s="68" t="str">
        <f t="shared" si="18"/>
        <v>-</v>
      </c>
      <c r="S39" s="66" t="str">
        <f>IF(S$7="","",IF(INDEX('Rooms Walls and Glass'!$D$46:$AB$50, MATCH($D39,'Rooms Walls and Glass'!$A$46:$A$50,0), MATCH('Unit 2 a'!S$7,'Rooms Walls and Glass'!$D$1:$AB$1,0))=0,"",INDEX('Rooms Walls and Glass'!$D$46:$AB$50, MATCH($D39,'Rooms Walls and Glass'!$A$46:$A$50,0), MATCH('Unit 2 a'!S$7,'Rooms Walls and Glass'!$D$1:$AB$1,0))))</f>
        <v/>
      </c>
      <c r="T39" s="68" t="str">
        <f t="shared" si="19"/>
        <v>-</v>
      </c>
      <c r="U39" s="66" t="str">
        <f>IF(U$7="","",IF(INDEX('Rooms Walls and Glass'!$D$46:$AB$50, MATCH($D39,'Rooms Walls and Glass'!$A$46:$A$50,0), MATCH('Unit 2 a'!U$7,'Rooms Walls and Glass'!$D$1:$AB$1,0))=0,"",INDEX('Rooms Walls and Glass'!$D$46:$AB$50, MATCH($D39,'Rooms Walls and Glass'!$A$46:$A$50,0), MATCH('Unit 2 a'!U$7,'Rooms Walls and Glass'!$D$1:$AB$1,0))))</f>
        <v/>
      </c>
      <c r="V39" s="68" t="str">
        <f t="shared" si="20"/>
        <v>-</v>
      </c>
      <c r="W39" s="66" t="str">
        <f>IF(W$7="","",IF(INDEX('Rooms Walls and Glass'!$D$46:$AB$50, MATCH($D39,'Rooms Walls and Glass'!$A$46:$A$50,0), MATCH('Unit 2 a'!W$7,'Rooms Walls and Glass'!$D$1:$AB$1,0))=0,"",INDEX('Rooms Walls and Glass'!$D$46:$AB$50, MATCH($D39,'Rooms Walls and Glass'!$A$46:$A$50,0), MATCH('Unit 2 a'!W$7,'Rooms Walls and Glass'!$D$1:$AB$1,0))))</f>
        <v/>
      </c>
      <c r="X39" s="68" t="str">
        <f t="shared" si="21"/>
        <v>-</v>
      </c>
      <c r="Y39" s="66" t="str">
        <f>IF(Y$7="","",IF(INDEX('Rooms Walls and Glass'!$D$46:$AB$50, MATCH($D39,'Rooms Walls and Glass'!$A$46:$A$50,0), MATCH('Unit 2 a'!Y$7,'Rooms Walls and Glass'!$D$1:$AB$1,0))=0,"",INDEX('Rooms Walls and Glass'!$D$46:$AB$50, MATCH($D39,'Rooms Walls and Glass'!$A$46:$A$50,0), MATCH('Unit 2 a'!Y$7,'Rooms Walls and Glass'!$D$1:$AB$1,0))))</f>
        <v/>
      </c>
      <c r="Z39" s="68" t="str">
        <f t="shared" si="22"/>
        <v>-</v>
      </c>
      <c r="AA39" s="66" t="str">
        <f>IF(AA$7="","",IF(INDEX('Rooms Walls and Glass'!$D$46:$AB$50, MATCH($D39,'Rooms Walls and Glass'!$A$46:$A$50,0), MATCH('Unit 2 a'!AA$7,'Rooms Walls and Glass'!$D$1:$AB$1,0))=0,"",INDEX('Rooms Walls and Glass'!$D$46:$AB$50, MATCH($D39,'Rooms Walls and Glass'!$A$46:$A$50,0), MATCH('Unit 2 a'!AA$7,'Rooms Walls and Glass'!$D$1:$AB$1,0))))</f>
        <v/>
      </c>
      <c r="AB39" s="68" t="str">
        <f t="shared" si="23"/>
        <v>-</v>
      </c>
      <c r="AC39" s="66" t="str">
        <f>IF(AC$7="","",IF(INDEX('Rooms Walls and Glass'!$D$46:$AB$50, MATCH($D39,'Rooms Walls and Glass'!$A$46:$A$50,0), MATCH('Unit 2 a'!AC$7,'Rooms Walls and Glass'!$D$1:$AB$1,0))=0,"",INDEX('Rooms Walls and Glass'!$D$46:$AB$50, MATCH($D39,'Rooms Walls and Glass'!$A$46:$A$50,0), MATCH('Unit 2 a'!AC$7,'Rooms Walls and Glass'!$D$1:$AB$1,0))))</f>
        <v/>
      </c>
      <c r="AD39" s="68" t="str">
        <f t="shared" si="30"/>
        <v>-</v>
      </c>
      <c r="AE39" s="66" t="str">
        <f>IF(AE$7="","",IF(INDEX('Rooms Walls and Glass'!$D$46:$AB$50, MATCH($D39,'Rooms Walls and Glass'!$A$46:$A$50,0), MATCH('Unit 2 a'!AE$7,'Rooms Walls and Glass'!$D$1:$AB$1,0))=0,"",INDEX('Rooms Walls and Glass'!$D$46:$AB$50, MATCH($D39,'Rooms Walls and Glass'!$A$46:$A$50,0), MATCH('Unit 2 a'!AE$7,'Rooms Walls and Glass'!$D$1:$AB$1,0))))</f>
        <v/>
      </c>
      <c r="AF39" s="68" t="str">
        <f t="shared" si="31"/>
        <v>-</v>
      </c>
      <c r="AG39" s="66" t="str">
        <f>IF(AG$7="","",IF(INDEX('Rooms Walls and Glass'!$D$46:$AB$50, MATCH($D39,'Rooms Walls and Glass'!$A$46:$A$50,0), MATCH('Unit 2 a'!AG$7,'Rooms Walls and Glass'!$D$1:$AB$1,0))=0,"",INDEX('Rooms Walls and Glass'!$D$46:$AB$50, MATCH($D39,'Rooms Walls and Glass'!$A$46:$A$50,0), MATCH('Unit 2 a'!AG$7,'Rooms Walls and Glass'!$D$1:$AB$1,0))))</f>
        <v/>
      </c>
      <c r="AH39" s="68" t="str">
        <f t="shared" si="25"/>
        <v>-</v>
      </c>
      <c r="AI39" s="66" t="str">
        <f>IF(AI$7="","",IF(INDEX('Rooms Walls and Glass'!$D$46:$AB$50, MATCH($D39,'Rooms Walls and Glass'!$A$46:$A$50,0), MATCH('Unit 2 a'!AI$7,'Rooms Walls and Glass'!$D$1:$AB$1,0))=0,"",INDEX('Rooms Walls and Glass'!$D$46:$AB$50, MATCH($D39,'Rooms Walls and Glass'!$A$46:$A$50,0), MATCH('Unit 2 a'!AI$7,'Rooms Walls and Glass'!$D$1:$AB$1,0))))</f>
        <v/>
      </c>
      <c r="AJ39" s="69" t="str">
        <f t="shared" si="26"/>
        <v>-</v>
      </c>
      <c r="AK39" s="66" t="str">
        <f>IF(AK$7="","",IF(INDEX('Rooms Walls and Glass'!$D$46:$AB$50, MATCH($D39,'Rooms Walls and Glass'!$A$46:$A$50,0), MATCH('Unit 2 a'!AK$7,'Rooms Walls and Glass'!$D$1:$AB$1,0))=0,"",INDEX('Rooms Walls and Glass'!$D$46:$AB$50, MATCH($D39,'Rooms Walls and Glass'!$A$46:$A$50,0), MATCH('Unit 2 a'!AK$7,'Rooms Walls and Glass'!$D$1:$AB$1,0))))</f>
        <v/>
      </c>
      <c r="AL39" s="68" t="str">
        <f t="shared" si="27"/>
        <v>-</v>
      </c>
      <c r="AM39" s="66" t="str">
        <f>IF(AM$7="","",IF(INDEX('Rooms Walls and Glass'!$D$46:$AB$50, MATCH($D39,'Rooms Walls and Glass'!$A$46:$A$50,0), MATCH('Unit 2 a'!AM$7,'Rooms Walls and Glass'!$D$1:$AB$1,0))=0,"",INDEX('Rooms Walls and Glass'!$D$46:$AB$50, MATCH($D39,'Rooms Walls and Glass'!$A$46:$A$50,0), MATCH('Unit 2 a'!AM$7,'Rooms Walls and Glass'!$D$1:$AB$1,0))))</f>
        <v/>
      </c>
      <c r="AN39" s="69" t="str">
        <f t="shared" si="28"/>
        <v>-</v>
      </c>
    </row>
    <row r="40" spans="2:40" ht="11.25" customHeight="1" thickBot="1" x14ac:dyDescent="0.2">
      <c r="B40" s="214"/>
      <c r="C40" s="15" t="s">
        <v>40</v>
      </c>
      <c r="D40" s="16" t="s">
        <v>47</v>
      </c>
      <c r="E40" s="16">
        <f>IF(Summary!P26="R-21 Spray Foam",15,55)</f>
        <v>55</v>
      </c>
      <c r="F40" s="14">
        <f>INDEX(Summary!$F$19:$F$30,MATCH('Unit 2 a'!C40,Summary!$D$19:$D$30,0))</f>
        <v>5.2999999999999999E-2</v>
      </c>
      <c r="G40" s="14">
        <f t="shared" si="29"/>
        <v>2.915</v>
      </c>
      <c r="H40" s="16" t="s">
        <v>6</v>
      </c>
      <c r="I40" s="65">
        <f t="shared" si="13"/>
        <v>0</v>
      </c>
      <c r="J40" s="68">
        <f t="shared" si="14"/>
        <v>0</v>
      </c>
      <c r="K40" s="66" t="str">
        <f>IF(K$7="","",IF(INDEX('Rooms Walls and Glass'!$D$46:$AB$50, MATCH($D40,'Rooms Walls and Glass'!$A$46:$A$50,0), MATCH('Unit 2 a'!K$7,'Rooms Walls and Glass'!$D$1:$AB$1,0))=0,"",INDEX('Rooms Walls and Glass'!$D$46:$AB$50, MATCH($D40,'Rooms Walls and Glass'!$A$46:$A$50,0), MATCH('Unit 2 a'!K$7,'Rooms Walls and Glass'!$D$1:$AB$1,0))))</f>
        <v/>
      </c>
      <c r="L40" s="68" t="str">
        <f t="shared" si="15"/>
        <v>-</v>
      </c>
      <c r="M40" s="66" t="str">
        <f>IF(M$7="","",IF(INDEX('Rooms Walls and Glass'!$D$46:$AB$50, MATCH($D40,'Rooms Walls and Glass'!$A$46:$A$50,0), MATCH('Unit 2 a'!M$7,'Rooms Walls and Glass'!$D$1:$AB$1,0))=0,"",INDEX('Rooms Walls and Glass'!$D$46:$AB$50, MATCH($D40,'Rooms Walls and Glass'!$A$46:$A$50,0), MATCH('Unit 2 a'!M$7,'Rooms Walls and Glass'!$D$1:$AB$1,0))))</f>
        <v/>
      </c>
      <c r="N40" s="68" t="str">
        <f t="shared" si="16"/>
        <v>-</v>
      </c>
      <c r="O40" s="66" t="str">
        <f>IF(O$7="","",IF(INDEX('Rooms Walls and Glass'!$D$46:$AB$50, MATCH($D40,'Rooms Walls and Glass'!$A$46:$A$50,0), MATCH('Unit 2 a'!O$7,'Rooms Walls and Glass'!$D$1:$AB$1,0))=0,"",INDEX('Rooms Walls and Glass'!$D$46:$AB$50, MATCH($D40,'Rooms Walls and Glass'!$A$46:$A$50,0), MATCH('Unit 2 a'!O$7,'Rooms Walls and Glass'!$D$1:$AB$1,0))))</f>
        <v/>
      </c>
      <c r="P40" s="68" t="str">
        <f t="shared" si="17"/>
        <v>-</v>
      </c>
      <c r="Q40" s="66" t="str">
        <f>IF(Q$7="","",IF(INDEX('Rooms Walls and Glass'!$D$46:$AB$50, MATCH($D40,'Rooms Walls and Glass'!$A$46:$A$50,0), MATCH('Unit 2 a'!Q$7,'Rooms Walls and Glass'!$D$1:$AB$1,0))=0,"",INDEX('Rooms Walls and Glass'!$D$46:$AB$50, MATCH($D40,'Rooms Walls and Glass'!$A$46:$A$50,0), MATCH('Unit 2 a'!Q$7,'Rooms Walls and Glass'!$D$1:$AB$1,0))))</f>
        <v/>
      </c>
      <c r="R40" s="68" t="str">
        <f t="shared" si="18"/>
        <v>-</v>
      </c>
      <c r="S40" s="66" t="str">
        <f>IF(S$7="","",IF(INDEX('Rooms Walls and Glass'!$D$46:$AB$50, MATCH($D40,'Rooms Walls and Glass'!$A$46:$A$50,0), MATCH('Unit 2 a'!S$7,'Rooms Walls and Glass'!$D$1:$AB$1,0))=0,"",INDEX('Rooms Walls and Glass'!$D$46:$AB$50, MATCH($D40,'Rooms Walls and Glass'!$A$46:$A$50,0), MATCH('Unit 2 a'!S$7,'Rooms Walls and Glass'!$D$1:$AB$1,0))))</f>
        <v/>
      </c>
      <c r="T40" s="68" t="str">
        <f t="shared" si="19"/>
        <v>-</v>
      </c>
      <c r="U40" s="66" t="str">
        <f>IF(U$7="","",IF(INDEX('Rooms Walls and Glass'!$D$46:$AB$50, MATCH($D40,'Rooms Walls and Glass'!$A$46:$A$50,0), MATCH('Unit 2 a'!U$7,'Rooms Walls and Glass'!$D$1:$AB$1,0))=0,"",INDEX('Rooms Walls and Glass'!$D$46:$AB$50, MATCH($D40,'Rooms Walls and Glass'!$A$46:$A$50,0), MATCH('Unit 2 a'!U$7,'Rooms Walls and Glass'!$D$1:$AB$1,0))))</f>
        <v/>
      </c>
      <c r="V40" s="68" t="str">
        <f t="shared" si="20"/>
        <v>-</v>
      </c>
      <c r="W40" s="66" t="str">
        <f>IF(W$7="","",IF(INDEX('Rooms Walls and Glass'!$D$46:$AB$50, MATCH($D40,'Rooms Walls and Glass'!$A$46:$A$50,0), MATCH('Unit 2 a'!W$7,'Rooms Walls and Glass'!$D$1:$AB$1,0))=0,"",INDEX('Rooms Walls and Glass'!$D$46:$AB$50, MATCH($D40,'Rooms Walls and Glass'!$A$46:$A$50,0), MATCH('Unit 2 a'!W$7,'Rooms Walls and Glass'!$D$1:$AB$1,0))))</f>
        <v/>
      </c>
      <c r="X40" s="68" t="str">
        <f t="shared" si="21"/>
        <v>-</v>
      </c>
      <c r="Y40" s="66" t="str">
        <f>IF(Y$7="","",IF(INDEX('Rooms Walls and Glass'!$D$46:$AB$50, MATCH($D40,'Rooms Walls and Glass'!$A$46:$A$50,0), MATCH('Unit 2 a'!Y$7,'Rooms Walls and Glass'!$D$1:$AB$1,0))=0,"",INDEX('Rooms Walls and Glass'!$D$46:$AB$50, MATCH($D40,'Rooms Walls and Glass'!$A$46:$A$50,0), MATCH('Unit 2 a'!Y$7,'Rooms Walls and Glass'!$D$1:$AB$1,0))))</f>
        <v/>
      </c>
      <c r="Z40" s="68" t="str">
        <f t="shared" si="22"/>
        <v>-</v>
      </c>
      <c r="AA40" s="66" t="str">
        <f>IF(AA$7="","",IF(INDEX('Rooms Walls and Glass'!$D$46:$AB$50, MATCH($D40,'Rooms Walls and Glass'!$A$46:$A$50,0), MATCH('Unit 2 a'!AA$7,'Rooms Walls and Glass'!$D$1:$AB$1,0))=0,"",INDEX('Rooms Walls and Glass'!$D$46:$AB$50, MATCH($D40,'Rooms Walls and Glass'!$A$46:$A$50,0), MATCH('Unit 2 a'!AA$7,'Rooms Walls and Glass'!$D$1:$AB$1,0))))</f>
        <v/>
      </c>
      <c r="AB40" s="68" t="str">
        <f t="shared" si="23"/>
        <v>-</v>
      </c>
      <c r="AC40" s="66" t="str">
        <f>IF(AC$7="","",IF(INDEX('Rooms Walls and Glass'!$D$46:$AB$50, MATCH($D40,'Rooms Walls and Glass'!$A$46:$A$50,0), MATCH('Unit 2 a'!AC$7,'Rooms Walls and Glass'!$D$1:$AB$1,0))=0,"",INDEX('Rooms Walls and Glass'!$D$46:$AB$50, MATCH($D40,'Rooms Walls and Glass'!$A$46:$A$50,0), MATCH('Unit 2 a'!AC$7,'Rooms Walls and Glass'!$D$1:$AB$1,0))))</f>
        <v/>
      </c>
      <c r="AD40" s="68" t="str">
        <f t="shared" si="30"/>
        <v>-</v>
      </c>
      <c r="AE40" s="66" t="str">
        <f>IF(AE$7="","",IF(INDEX('Rooms Walls and Glass'!$D$46:$AB$50, MATCH($D40,'Rooms Walls and Glass'!$A$46:$A$50,0), MATCH('Unit 2 a'!AE$7,'Rooms Walls and Glass'!$D$1:$AB$1,0))=0,"",INDEX('Rooms Walls and Glass'!$D$46:$AB$50, MATCH($D40,'Rooms Walls and Glass'!$A$46:$A$50,0), MATCH('Unit 2 a'!AE$7,'Rooms Walls and Glass'!$D$1:$AB$1,0))))</f>
        <v/>
      </c>
      <c r="AF40" s="68" t="str">
        <f t="shared" si="31"/>
        <v>-</v>
      </c>
      <c r="AG40" s="66" t="str">
        <f>IF(AG$7="","",IF(INDEX('Rooms Walls and Glass'!$D$46:$AB$50, MATCH($D40,'Rooms Walls and Glass'!$A$46:$A$50,0), MATCH('Unit 2 a'!AG$7,'Rooms Walls and Glass'!$D$1:$AB$1,0))=0,"",INDEX('Rooms Walls and Glass'!$D$46:$AB$50, MATCH($D40,'Rooms Walls and Glass'!$A$46:$A$50,0), MATCH('Unit 2 a'!AG$7,'Rooms Walls and Glass'!$D$1:$AB$1,0))))</f>
        <v/>
      </c>
      <c r="AH40" s="68" t="str">
        <f t="shared" si="25"/>
        <v>-</v>
      </c>
      <c r="AI40" s="66" t="str">
        <f>IF(AI$7="","",IF(INDEX('Rooms Walls and Glass'!$D$46:$AB$50, MATCH($D40,'Rooms Walls and Glass'!$A$46:$A$50,0), MATCH('Unit 2 a'!AI$7,'Rooms Walls and Glass'!$D$1:$AB$1,0))=0,"",INDEX('Rooms Walls and Glass'!$D$46:$AB$50, MATCH($D40,'Rooms Walls and Glass'!$A$46:$A$50,0), MATCH('Unit 2 a'!AI$7,'Rooms Walls and Glass'!$D$1:$AB$1,0))))</f>
        <v/>
      </c>
      <c r="AJ40" s="69" t="str">
        <f t="shared" si="26"/>
        <v>-</v>
      </c>
      <c r="AK40" s="66" t="str">
        <f>IF(AK$7="","",IF(INDEX('Rooms Walls and Glass'!$D$46:$AB$50, MATCH($D40,'Rooms Walls and Glass'!$A$46:$A$50,0), MATCH('Unit 2 a'!AK$7,'Rooms Walls and Glass'!$D$1:$AB$1,0))=0,"",INDEX('Rooms Walls and Glass'!$D$46:$AB$50, MATCH($D40,'Rooms Walls and Glass'!$A$46:$A$50,0), MATCH('Unit 2 a'!AK$7,'Rooms Walls and Glass'!$D$1:$AB$1,0))))</f>
        <v/>
      </c>
      <c r="AL40" s="68" t="str">
        <f t="shared" si="27"/>
        <v>-</v>
      </c>
      <c r="AM40" s="66" t="str">
        <f>IF(AM$7="","",IF(INDEX('Rooms Walls and Glass'!$D$46:$AB$50, MATCH($D40,'Rooms Walls and Glass'!$A$46:$A$50,0), MATCH('Unit 2 a'!AM$7,'Rooms Walls and Glass'!$D$1:$AB$1,0))=0,"",INDEX('Rooms Walls and Glass'!$D$46:$AB$50, MATCH($D40,'Rooms Walls and Glass'!$A$46:$A$50,0), MATCH('Unit 2 a'!AM$7,'Rooms Walls and Glass'!$D$1:$AB$1,0))))</f>
        <v/>
      </c>
      <c r="AN40" s="69" t="str">
        <f t="shared" si="28"/>
        <v>-</v>
      </c>
    </row>
    <row r="41" spans="2:40" ht="11.25" customHeight="1" thickBot="1" x14ac:dyDescent="0.2">
      <c r="B41" s="213"/>
      <c r="C41" s="17" t="s">
        <v>40</v>
      </c>
      <c r="D41" s="18" t="s">
        <v>48</v>
      </c>
      <c r="E41" s="16">
        <f>IF(Summary!P27="R-21 Spray Foam",15,55)</f>
        <v>55</v>
      </c>
      <c r="F41" s="14">
        <f>INDEX(Summary!$F$19:$F$30,MATCH('Unit 2 a'!C41,Summary!$D$19:$D$30,0))</f>
        <v>5.2999999999999999E-2</v>
      </c>
      <c r="G41" s="14">
        <f t="shared" si="29"/>
        <v>2.915</v>
      </c>
      <c r="H41" s="18" t="s">
        <v>6</v>
      </c>
      <c r="I41" s="65">
        <f t="shared" si="13"/>
        <v>0</v>
      </c>
      <c r="J41" s="70">
        <f t="shared" si="14"/>
        <v>0</v>
      </c>
      <c r="K41" s="66" t="str">
        <f>IF(K$7="","",IF(INDEX('Rooms Walls and Glass'!$D$46:$AB$50, MATCH($D41,'Rooms Walls and Glass'!$A$46:$A$50,0), MATCH('Unit 2 a'!K$7,'Rooms Walls and Glass'!$D$1:$AB$1,0))=0,"",INDEX('Rooms Walls and Glass'!$D$46:$AB$50, MATCH($D41,'Rooms Walls and Glass'!$A$46:$A$50,0), MATCH('Unit 2 a'!K$7,'Rooms Walls and Glass'!$D$1:$AB$1,0))))</f>
        <v/>
      </c>
      <c r="L41" s="70" t="str">
        <f t="shared" si="15"/>
        <v>-</v>
      </c>
      <c r="M41" s="66" t="str">
        <f>IF(M$7="","",IF(INDEX('Rooms Walls and Glass'!$D$46:$AB$50, MATCH($D41,'Rooms Walls and Glass'!$A$46:$A$50,0), MATCH('Unit 2 a'!M$7,'Rooms Walls and Glass'!$D$1:$AB$1,0))=0,"",INDEX('Rooms Walls and Glass'!$D$46:$AB$50, MATCH($D41,'Rooms Walls and Glass'!$A$46:$A$50,0), MATCH('Unit 2 a'!M$7,'Rooms Walls and Glass'!$D$1:$AB$1,0))))</f>
        <v/>
      </c>
      <c r="N41" s="70" t="str">
        <f t="shared" si="16"/>
        <v>-</v>
      </c>
      <c r="O41" s="66" t="str">
        <f>IF(O$7="","",IF(INDEX('Rooms Walls and Glass'!$D$46:$AB$50, MATCH($D41,'Rooms Walls and Glass'!$A$46:$A$50,0), MATCH('Unit 2 a'!O$7,'Rooms Walls and Glass'!$D$1:$AB$1,0))=0,"",INDEX('Rooms Walls and Glass'!$D$46:$AB$50, MATCH($D41,'Rooms Walls and Glass'!$A$46:$A$50,0), MATCH('Unit 2 a'!O$7,'Rooms Walls and Glass'!$D$1:$AB$1,0))))</f>
        <v/>
      </c>
      <c r="P41" s="70" t="str">
        <f t="shared" si="17"/>
        <v>-</v>
      </c>
      <c r="Q41" s="66" t="str">
        <f>IF(Q$7="","",IF(INDEX('Rooms Walls and Glass'!$D$46:$AB$50, MATCH($D41,'Rooms Walls and Glass'!$A$46:$A$50,0), MATCH('Unit 2 a'!Q$7,'Rooms Walls and Glass'!$D$1:$AB$1,0))=0,"",INDEX('Rooms Walls and Glass'!$D$46:$AB$50, MATCH($D41,'Rooms Walls and Glass'!$A$46:$A$50,0), MATCH('Unit 2 a'!Q$7,'Rooms Walls and Glass'!$D$1:$AB$1,0))))</f>
        <v/>
      </c>
      <c r="R41" s="70" t="str">
        <f t="shared" si="18"/>
        <v>-</v>
      </c>
      <c r="S41" s="66" t="str">
        <f>IF(S$7="","",IF(INDEX('Rooms Walls and Glass'!$D$46:$AB$50, MATCH($D41,'Rooms Walls and Glass'!$A$46:$A$50,0), MATCH('Unit 2 a'!S$7,'Rooms Walls and Glass'!$D$1:$AB$1,0))=0,"",INDEX('Rooms Walls and Glass'!$D$46:$AB$50, MATCH($D41,'Rooms Walls and Glass'!$A$46:$A$50,0), MATCH('Unit 2 a'!S$7,'Rooms Walls and Glass'!$D$1:$AB$1,0))))</f>
        <v/>
      </c>
      <c r="T41" s="70" t="str">
        <f t="shared" si="19"/>
        <v>-</v>
      </c>
      <c r="U41" s="66" t="str">
        <f>IF(U$7="","",IF(INDEX('Rooms Walls and Glass'!$D$46:$AB$50, MATCH($D41,'Rooms Walls and Glass'!$A$46:$A$50,0), MATCH('Unit 2 a'!U$7,'Rooms Walls and Glass'!$D$1:$AB$1,0))=0,"",INDEX('Rooms Walls and Glass'!$D$46:$AB$50, MATCH($D41,'Rooms Walls and Glass'!$A$46:$A$50,0), MATCH('Unit 2 a'!U$7,'Rooms Walls and Glass'!$D$1:$AB$1,0))))</f>
        <v/>
      </c>
      <c r="V41" s="70" t="str">
        <f t="shared" si="20"/>
        <v>-</v>
      </c>
      <c r="W41" s="66" t="str">
        <f>IF(W$7="","",IF(INDEX('Rooms Walls and Glass'!$D$46:$AB$50, MATCH($D41,'Rooms Walls and Glass'!$A$46:$A$50,0), MATCH('Unit 2 a'!W$7,'Rooms Walls and Glass'!$D$1:$AB$1,0))=0,"",INDEX('Rooms Walls and Glass'!$D$46:$AB$50, MATCH($D41,'Rooms Walls and Glass'!$A$46:$A$50,0), MATCH('Unit 2 a'!W$7,'Rooms Walls and Glass'!$D$1:$AB$1,0))))</f>
        <v/>
      </c>
      <c r="X41" s="70" t="str">
        <f t="shared" si="21"/>
        <v>-</v>
      </c>
      <c r="Y41" s="66" t="str">
        <f>IF(Y$7="","",IF(INDEX('Rooms Walls and Glass'!$D$46:$AB$50, MATCH($D41,'Rooms Walls and Glass'!$A$46:$A$50,0), MATCH('Unit 2 a'!Y$7,'Rooms Walls and Glass'!$D$1:$AB$1,0))=0,"",INDEX('Rooms Walls and Glass'!$D$46:$AB$50, MATCH($D41,'Rooms Walls and Glass'!$A$46:$A$50,0), MATCH('Unit 2 a'!Y$7,'Rooms Walls and Glass'!$D$1:$AB$1,0))))</f>
        <v/>
      </c>
      <c r="Z41" s="70" t="str">
        <f t="shared" si="22"/>
        <v>-</v>
      </c>
      <c r="AA41" s="66" t="str">
        <f>IF(AA$7="","",IF(INDEX('Rooms Walls and Glass'!$D$46:$AB$50, MATCH($D41,'Rooms Walls and Glass'!$A$46:$A$50,0), MATCH('Unit 2 a'!AA$7,'Rooms Walls and Glass'!$D$1:$AB$1,0))=0,"",INDEX('Rooms Walls and Glass'!$D$46:$AB$50, MATCH($D41,'Rooms Walls and Glass'!$A$46:$A$50,0), MATCH('Unit 2 a'!AA$7,'Rooms Walls and Glass'!$D$1:$AB$1,0))))</f>
        <v/>
      </c>
      <c r="AB41" s="70" t="str">
        <f t="shared" si="23"/>
        <v>-</v>
      </c>
      <c r="AC41" s="66" t="str">
        <f>IF(AC$7="","",IF(INDEX('Rooms Walls and Glass'!$D$46:$AB$50, MATCH($D41,'Rooms Walls and Glass'!$A$46:$A$50,0), MATCH('Unit 2 a'!AC$7,'Rooms Walls and Glass'!$D$1:$AB$1,0))=0,"",INDEX('Rooms Walls and Glass'!$D$46:$AB$50, MATCH($D41,'Rooms Walls and Glass'!$A$46:$A$50,0), MATCH('Unit 2 a'!AC$7,'Rooms Walls and Glass'!$D$1:$AB$1,0))))</f>
        <v/>
      </c>
      <c r="AD41" s="70" t="str">
        <f t="shared" si="30"/>
        <v>-</v>
      </c>
      <c r="AE41" s="66" t="str">
        <f>IF(AE$7="","",IF(INDEX('Rooms Walls and Glass'!$D$46:$AB$50, MATCH($D41,'Rooms Walls and Glass'!$A$46:$A$50,0), MATCH('Unit 2 a'!AE$7,'Rooms Walls and Glass'!$D$1:$AB$1,0))=0,"",INDEX('Rooms Walls and Glass'!$D$46:$AB$50, MATCH($D41,'Rooms Walls and Glass'!$A$46:$A$50,0), MATCH('Unit 2 a'!AE$7,'Rooms Walls and Glass'!$D$1:$AB$1,0))))</f>
        <v/>
      </c>
      <c r="AF41" s="70" t="str">
        <f t="shared" si="31"/>
        <v>-</v>
      </c>
      <c r="AG41" s="66" t="str">
        <f>IF(AG$7="","",IF(INDEX('Rooms Walls and Glass'!$D$46:$AB$50, MATCH($D41,'Rooms Walls and Glass'!$A$46:$A$50,0), MATCH('Unit 2 a'!AG$7,'Rooms Walls and Glass'!$D$1:$AB$1,0))=0,"",INDEX('Rooms Walls and Glass'!$D$46:$AB$50, MATCH($D41,'Rooms Walls and Glass'!$A$46:$A$50,0), MATCH('Unit 2 a'!AG$7,'Rooms Walls and Glass'!$D$1:$AB$1,0))))</f>
        <v/>
      </c>
      <c r="AH41" s="70" t="str">
        <f t="shared" si="25"/>
        <v>-</v>
      </c>
      <c r="AI41" s="66" t="str">
        <f>IF(AI$7="","",IF(INDEX('Rooms Walls and Glass'!$D$46:$AB$50, MATCH($D41,'Rooms Walls and Glass'!$A$46:$A$50,0), MATCH('Unit 2 a'!AI$7,'Rooms Walls and Glass'!$D$1:$AB$1,0))=0,"",INDEX('Rooms Walls and Glass'!$D$46:$AB$50, MATCH($D41,'Rooms Walls and Glass'!$A$46:$A$50,0), MATCH('Unit 2 a'!AI$7,'Rooms Walls and Glass'!$D$1:$AB$1,0))))</f>
        <v/>
      </c>
      <c r="AJ41" s="71" t="str">
        <f t="shared" si="26"/>
        <v>-</v>
      </c>
      <c r="AK41" s="66" t="str">
        <f>IF(AK$7="","",IF(INDEX('Rooms Walls and Glass'!$D$46:$AB$50, MATCH($D41,'Rooms Walls and Glass'!$A$46:$A$50,0), MATCH('Unit 2 a'!AK$7,'Rooms Walls and Glass'!$D$1:$AB$1,0))=0,"",INDEX('Rooms Walls and Glass'!$D$46:$AB$50, MATCH($D41,'Rooms Walls and Glass'!$A$46:$A$50,0), MATCH('Unit 2 a'!AK$7,'Rooms Walls and Glass'!$D$1:$AB$1,0))))</f>
        <v/>
      </c>
      <c r="AL41" s="70" t="str">
        <f t="shared" si="27"/>
        <v>-</v>
      </c>
      <c r="AM41" s="66" t="str">
        <f>IF(AM$7="","",IF(INDEX('Rooms Walls and Glass'!$D$46:$AB$50, MATCH($D41,'Rooms Walls and Glass'!$A$46:$A$50,0), MATCH('Unit 2 a'!AM$7,'Rooms Walls and Glass'!$D$1:$AB$1,0))=0,"",INDEX('Rooms Walls and Glass'!$D$46:$AB$50, MATCH($D41,'Rooms Walls and Glass'!$A$46:$A$50,0), MATCH('Unit 2 a'!AM$7,'Rooms Walls and Glass'!$D$1:$AB$1,0))))</f>
        <v/>
      </c>
      <c r="AN41" s="71" t="str">
        <f t="shared" si="28"/>
        <v>-</v>
      </c>
    </row>
    <row r="42" spans="2:40" ht="11.25" customHeight="1" thickBot="1" x14ac:dyDescent="0.2">
      <c r="B42" s="212" t="s">
        <v>81</v>
      </c>
      <c r="C42" s="12" t="s">
        <v>41</v>
      </c>
      <c r="D42" s="13" t="s">
        <v>49</v>
      </c>
      <c r="E42" s="13">
        <v>55</v>
      </c>
      <c r="F42" s="14">
        <f>INDEX(Summary!$F$19:$F$30,MATCH('Unit 2 a'!C42,Summary!$D$19:$D$30,0))</f>
        <v>2.5999999999999999E-2</v>
      </c>
      <c r="G42" s="14">
        <f t="shared" si="29"/>
        <v>1.43</v>
      </c>
      <c r="H42" s="13" t="s">
        <v>6</v>
      </c>
      <c r="I42" s="65">
        <f t="shared" si="13"/>
        <v>0</v>
      </c>
      <c r="J42" s="65">
        <f t="shared" si="14"/>
        <v>0</v>
      </c>
      <c r="K42" s="66" t="str">
        <f>IF(K$7="","",IF(INDEX('Rooms Walls and Glass'!$D$53:$AB$57, MATCH($D42,'Rooms Walls and Glass'!$A$53:$A$57,0), MATCH('Unit 2 a'!K$7,'Rooms Walls and Glass'!$D$1:$AB$1,0))=0,"",INDEX('Rooms Walls and Glass'!$D$53:$AB$57, MATCH($D42,'Rooms Walls and Glass'!$A$53:$A$57,0), MATCH('Unit 2 a'!K$7,'Rooms Walls and Glass'!$D$1:$AB$1,0))))</f>
        <v/>
      </c>
      <c r="L42" s="65" t="str">
        <f t="shared" si="15"/>
        <v>-</v>
      </c>
      <c r="M42" s="66" t="str">
        <f>IF(M$7="","",IF(INDEX('Rooms Walls and Glass'!$D$53:$AB$57, MATCH($D42,'Rooms Walls and Glass'!$A$53:$A$57,0), MATCH('Unit 2 a'!M$7,'Rooms Walls and Glass'!$D$1:$AB$1,0))=0,"",INDEX('Rooms Walls and Glass'!$D$53:$AB$57, MATCH($D42,'Rooms Walls and Glass'!$A$53:$A$57,0), MATCH('Unit 2 a'!M$7,'Rooms Walls and Glass'!$D$1:$AB$1,0))))</f>
        <v/>
      </c>
      <c r="N42" s="65" t="str">
        <f t="shared" si="16"/>
        <v>-</v>
      </c>
      <c r="O42" s="66" t="str">
        <f>IF(O$7="","",IF(INDEX('Rooms Walls and Glass'!$D$53:$AB$57, MATCH($D42,'Rooms Walls and Glass'!$A$53:$A$57,0), MATCH('Unit 2 a'!O$7,'Rooms Walls and Glass'!$D$1:$AB$1,0))=0,"",INDEX('Rooms Walls and Glass'!$D$53:$AB$57, MATCH($D42,'Rooms Walls and Glass'!$A$53:$A$57,0), MATCH('Unit 2 a'!O$7,'Rooms Walls and Glass'!$D$1:$AB$1,0))))</f>
        <v/>
      </c>
      <c r="P42" s="65" t="str">
        <f t="shared" si="17"/>
        <v>-</v>
      </c>
      <c r="Q42" s="66" t="str">
        <f>IF(Q$7="","",IF(INDEX('Rooms Walls and Glass'!$D$53:$AB$57, MATCH($D42,'Rooms Walls and Glass'!$A$53:$A$57,0), MATCH('Unit 2 a'!Q$7,'Rooms Walls and Glass'!$D$1:$AB$1,0))=0,"",INDEX('Rooms Walls and Glass'!$D$53:$AB$57, MATCH($D42,'Rooms Walls and Glass'!$A$53:$A$57,0), MATCH('Unit 2 a'!Q$7,'Rooms Walls and Glass'!$D$1:$AB$1,0))))</f>
        <v/>
      </c>
      <c r="R42" s="65" t="str">
        <f t="shared" si="18"/>
        <v>-</v>
      </c>
      <c r="S42" s="66" t="str">
        <f>IF(S$7="","",IF(INDEX('Rooms Walls and Glass'!$D$53:$AB$57, MATCH($D42,'Rooms Walls and Glass'!$A$53:$A$57,0), MATCH('Unit 2 a'!S$7,'Rooms Walls and Glass'!$D$1:$AB$1,0))=0,"",INDEX('Rooms Walls and Glass'!$D$53:$AB$57, MATCH($D42,'Rooms Walls and Glass'!$A$53:$A$57,0), MATCH('Unit 2 a'!S$7,'Rooms Walls and Glass'!$D$1:$AB$1,0))))</f>
        <v/>
      </c>
      <c r="T42" s="65" t="str">
        <f t="shared" si="19"/>
        <v>-</v>
      </c>
      <c r="U42" s="66" t="str">
        <f>IF(U$7="","",IF(INDEX('Rooms Walls and Glass'!$D$53:$AB$57, MATCH($D42,'Rooms Walls and Glass'!$A$53:$A$57,0), MATCH('Unit 2 a'!U$7,'Rooms Walls and Glass'!$D$1:$AB$1,0))=0,"",INDEX('Rooms Walls and Glass'!$D$53:$AB$57, MATCH($D42,'Rooms Walls and Glass'!$A$53:$A$57,0), MATCH('Unit 2 a'!U$7,'Rooms Walls and Glass'!$D$1:$AB$1,0))))</f>
        <v/>
      </c>
      <c r="V42" s="65" t="str">
        <f t="shared" si="20"/>
        <v>-</v>
      </c>
      <c r="W42" s="66" t="str">
        <f>IF(W$7="","",IF(INDEX('Rooms Walls and Glass'!$D$53:$AB$57, MATCH($D42,'Rooms Walls and Glass'!$A$53:$A$57,0), MATCH('Unit 2 a'!W$7,'Rooms Walls and Glass'!$D$1:$AB$1,0))=0,"",INDEX('Rooms Walls and Glass'!$D$53:$AB$57, MATCH($D42,'Rooms Walls and Glass'!$A$53:$A$57,0), MATCH('Unit 2 a'!W$7,'Rooms Walls and Glass'!$D$1:$AB$1,0))))</f>
        <v/>
      </c>
      <c r="X42" s="65" t="str">
        <f t="shared" si="21"/>
        <v>-</v>
      </c>
      <c r="Y42" s="66" t="str">
        <f>IF(Y$7="","",IF(INDEX('Rooms Walls and Glass'!$D$53:$AB$57, MATCH($D42,'Rooms Walls and Glass'!$A$53:$A$57,0), MATCH('Unit 2 a'!Y$7,'Rooms Walls and Glass'!$D$1:$AB$1,0))=0,"",INDEX('Rooms Walls and Glass'!$D$53:$AB$57, MATCH($D42,'Rooms Walls and Glass'!$A$53:$A$57,0), MATCH('Unit 2 a'!Y$7,'Rooms Walls and Glass'!$D$1:$AB$1,0))))</f>
        <v/>
      </c>
      <c r="Z42" s="65" t="str">
        <f t="shared" si="22"/>
        <v>-</v>
      </c>
      <c r="AA42" s="66" t="str">
        <f>IF(AA$7="","",IF(INDEX('Rooms Walls and Glass'!$D$53:$AB$57, MATCH($D42,'Rooms Walls and Glass'!$A$53:$A$57,0), MATCH('Unit 2 a'!AA$7,'Rooms Walls and Glass'!$D$1:$AB$1,0))=0,"",INDEX('Rooms Walls and Glass'!$D$53:$AB$57, MATCH($D42,'Rooms Walls and Glass'!$A$53:$A$57,0), MATCH('Unit 2 a'!AA$7,'Rooms Walls and Glass'!$D$1:$AB$1,0))))</f>
        <v/>
      </c>
      <c r="AB42" s="65" t="str">
        <f t="shared" si="23"/>
        <v>-</v>
      </c>
      <c r="AC42" s="66" t="str">
        <f>IF(AC$7="","",IF(INDEX('Rooms Walls and Glass'!$D$53:$AB$57, MATCH($D42,'Rooms Walls and Glass'!$A$53:$A$57,0), MATCH('Unit 2 a'!AC$7,'Rooms Walls and Glass'!$D$1:$AB$1,0))=0,"",INDEX('Rooms Walls and Glass'!$D$53:$AB$57, MATCH($D42,'Rooms Walls and Glass'!$A$53:$A$57,0), MATCH('Unit 2 a'!AC$7,'Rooms Walls and Glass'!$D$1:$AB$1,0))))</f>
        <v/>
      </c>
      <c r="AD42" s="65" t="str">
        <f t="shared" si="30"/>
        <v>-</v>
      </c>
      <c r="AE42" s="66" t="str">
        <f>IF(AE$7="","",IF(INDEX('Rooms Walls and Glass'!$D$53:$AB$57, MATCH($D42,'Rooms Walls and Glass'!$A$53:$A$57,0), MATCH('Unit 2 a'!AE$7,'Rooms Walls and Glass'!$D$1:$AB$1,0))=0,"",INDEX('Rooms Walls and Glass'!$D$53:$AB$57, MATCH($D42,'Rooms Walls and Glass'!$A$53:$A$57,0), MATCH('Unit 2 a'!AE$7,'Rooms Walls and Glass'!$D$1:$AB$1,0))))</f>
        <v/>
      </c>
      <c r="AF42" s="65" t="str">
        <f t="shared" si="31"/>
        <v>-</v>
      </c>
      <c r="AG42" s="66" t="str">
        <f>IF(AG$7="","",IF(INDEX('Rooms Walls and Glass'!$D$53:$AB$57, MATCH($D42,'Rooms Walls and Glass'!$A$53:$A$57,0), MATCH('Unit 2 a'!AG$7,'Rooms Walls and Glass'!$D$1:$AB$1,0))=0,"",INDEX('Rooms Walls and Glass'!$D$53:$AB$57, MATCH($D42,'Rooms Walls and Glass'!$A$53:$A$57,0), MATCH('Unit 2 a'!AG$7,'Rooms Walls and Glass'!$D$1:$AB$1,0))))</f>
        <v/>
      </c>
      <c r="AH42" s="65" t="str">
        <f t="shared" si="25"/>
        <v>-</v>
      </c>
      <c r="AI42" s="66" t="str">
        <f>IF(AI$7="","",IF(INDEX('Rooms Walls and Glass'!$D$53:$AB$57, MATCH($D42,'Rooms Walls and Glass'!$A$53:$A$57,0), MATCH('Unit 2 a'!AI$7,'Rooms Walls and Glass'!$D$1:$AB$1,0))=0,"",INDEX('Rooms Walls and Glass'!$D$53:$AB$57, MATCH($D42,'Rooms Walls and Glass'!$A$53:$A$57,0), MATCH('Unit 2 a'!AI$7,'Rooms Walls and Glass'!$D$1:$AB$1,0))))</f>
        <v/>
      </c>
      <c r="AJ42" s="67" t="str">
        <f t="shared" si="26"/>
        <v>-</v>
      </c>
      <c r="AK42" s="66" t="str">
        <f>IF(AK$7="","",IF(INDEX('Rooms Walls and Glass'!$D$53:$AB$57, MATCH($D42,'Rooms Walls and Glass'!$A$53:$A$57,0), MATCH('Unit 2 a'!AK$7,'Rooms Walls and Glass'!$D$1:$AB$1,0))=0,"",INDEX('Rooms Walls and Glass'!$D$53:$AB$57, MATCH($D42,'Rooms Walls and Glass'!$A$53:$A$57,0), MATCH('Unit 2 a'!AK$7,'Rooms Walls and Glass'!$D$1:$AB$1,0))))</f>
        <v/>
      </c>
      <c r="AL42" s="65" t="str">
        <f t="shared" si="27"/>
        <v>-</v>
      </c>
      <c r="AM42" s="66" t="str">
        <f>IF(AM$7="","",IF(INDEX('Rooms Walls and Glass'!$D$53:$AB$57, MATCH($D42,'Rooms Walls and Glass'!$A$53:$A$57,0), MATCH('Unit 2 a'!AM$7,'Rooms Walls and Glass'!$D$1:$AB$1,0))=0,"",INDEX('Rooms Walls and Glass'!$D$53:$AB$57, MATCH($D42,'Rooms Walls and Glass'!$A$53:$A$57,0), MATCH('Unit 2 a'!AM$7,'Rooms Walls and Glass'!$D$1:$AB$1,0))))</f>
        <v/>
      </c>
      <c r="AN42" s="67" t="str">
        <f t="shared" si="28"/>
        <v>-</v>
      </c>
    </row>
    <row r="43" spans="2:40" ht="11.25" customHeight="1" thickBot="1" x14ac:dyDescent="0.2">
      <c r="B43" s="213"/>
      <c r="C43" s="17" t="s">
        <v>42</v>
      </c>
      <c r="D43" s="18" t="s">
        <v>50</v>
      </c>
      <c r="E43" s="18">
        <v>55</v>
      </c>
      <c r="F43" s="14">
        <f>INDEX(Summary!$F$19:$F$30,MATCH('Unit 2 a'!C43,Summary!$D$19:$D$30,0))</f>
        <v>0.26</v>
      </c>
      <c r="G43" s="14">
        <f t="shared" si="29"/>
        <v>14.3</v>
      </c>
      <c r="H43" s="18" t="s">
        <v>6</v>
      </c>
      <c r="I43" s="65">
        <f t="shared" si="13"/>
        <v>0</v>
      </c>
      <c r="J43" s="70">
        <f t="shared" si="14"/>
        <v>0</v>
      </c>
      <c r="K43" s="66" t="str">
        <f>IF(K$7="","",IF(INDEX('Rooms Walls and Glass'!$D$53:$AB$57, MATCH($D43,'Rooms Walls and Glass'!$A$53:$A$57,0), MATCH('Unit 2 a'!K$7,'Rooms Walls and Glass'!$D$1:$AB$1,0))=0,"",INDEX('Rooms Walls and Glass'!$D$53:$AB$57, MATCH($D43,'Rooms Walls and Glass'!$A$53:$A$57,0), MATCH('Unit 2 a'!K$7,'Rooms Walls and Glass'!$D$1:$AB$1,0))))</f>
        <v/>
      </c>
      <c r="L43" s="70" t="str">
        <f t="shared" si="15"/>
        <v>-</v>
      </c>
      <c r="M43" s="66" t="str">
        <f>IF(M$7="","",IF(INDEX('Rooms Walls and Glass'!$D$53:$AB$57, MATCH($D43,'Rooms Walls and Glass'!$A$53:$A$57,0), MATCH('Unit 2 a'!M$7,'Rooms Walls and Glass'!$D$1:$AB$1,0))=0,"",INDEX('Rooms Walls and Glass'!$D$53:$AB$57, MATCH($D43,'Rooms Walls and Glass'!$A$53:$A$57,0), MATCH('Unit 2 a'!M$7,'Rooms Walls and Glass'!$D$1:$AB$1,0))))</f>
        <v/>
      </c>
      <c r="N43" s="70" t="str">
        <f t="shared" si="16"/>
        <v>-</v>
      </c>
      <c r="O43" s="66" t="str">
        <f>IF(O$7="","",IF(INDEX('Rooms Walls and Glass'!$D$53:$AB$57, MATCH($D43,'Rooms Walls and Glass'!$A$53:$A$57,0), MATCH('Unit 2 a'!O$7,'Rooms Walls and Glass'!$D$1:$AB$1,0))=0,"",INDEX('Rooms Walls and Glass'!$D$53:$AB$57, MATCH($D43,'Rooms Walls and Glass'!$A$53:$A$57,0), MATCH('Unit 2 a'!O$7,'Rooms Walls and Glass'!$D$1:$AB$1,0))))</f>
        <v/>
      </c>
      <c r="P43" s="70" t="str">
        <f t="shared" si="17"/>
        <v>-</v>
      </c>
      <c r="Q43" s="66" t="str">
        <f>IF(Q$7="","",IF(INDEX('Rooms Walls and Glass'!$D$53:$AB$57, MATCH($D43,'Rooms Walls and Glass'!$A$53:$A$57,0), MATCH('Unit 2 a'!Q$7,'Rooms Walls and Glass'!$D$1:$AB$1,0))=0,"",INDEX('Rooms Walls and Glass'!$D$53:$AB$57, MATCH($D43,'Rooms Walls and Glass'!$A$53:$A$57,0), MATCH('Unit 2 a'!Q$7,'Rooms Walls and Glass'!$D$1:$AB$1,0))))</f>
        <v/>
      </c>
      <c r="R43" s="70" t="str">
        <f t="shared" si="18"/>
        <v>-</v>
      </c>
      <c r="S43" s="66" t="str">
        <f>IF(S$7="","",IF(INDEX('Rooms Walls and Glass'!$D$53:$AB$57, MATCH($D43,'Rooms Walls and Glass'!$A$53:$A$57,0), MATCH('Unit 2 a'!S$7,'Rooms Walls and Glass'!$D$1:$AB$1,0))=0,"",INDEX('Rooms Walls and Glass'!$D$53:$AB$57, MATCH($D43,'Rooms Walls and Glass'!$A$53:$A$57,0), MATCH('Unit 2 a'!S$7,'Rooms Walls and Glass'!$D$1:$AB$1,0))))</f>
        <v/>
      </c>
      <c r="T43" s="70" t="str">
        <f t="shared" si="19"/>
        <v>-</v>
      </c>
      <c r="U43" s="66" t="str">
        <f>IF(U$7="","",IF(INDEX('Rooms Walls and Glass'!$D$53:$AB$57, MATCH($D43,'Rooms Walls and Glass'!$A$53:$A$57,0), MATCH('Unit 2 a'!U$7,'Rooms Walls and Glass'!$D$1:$AB$1,0))=0,"",INDEX('Rooms Walls and Glass'!$D$53:$AB$57, MATCH($D43,'Rooms Walls and Glass'!$A$53:$A$57,0), MATCH('Unit 2 a'!U$7,'Rooms Walls and Glass'!$D$1:$AB$1,0))))</f>
        <v/>
      </c>
      <c r="V43" s="70" t="str">
        <f t="shared" si="20"/>
        <v>-</v>
      </c>
      <c r="W43" s="66" t="str">
        <f>IF(W$7="","",IF(INDEX('Rooms Walls and Glass'!$D$53:$AB$57, MATCH($D43,'Rooms Walls and Glass'!$A$53:$A$57,0), MATCH('Unit 2 a'!W$7,'Rooms Walls and Glass'!$D$1:$AB$1,0))=0,"",INDEX('Rooms Walls and Glass'!$D$53:$AB$57, MATCH($D43,'Rooms Walls and Glass'!$A$53:$A$57,0), MATCH('Unit 2 a'!W$7,'Rooms Walls and Glass'!$D$1:$AB$1,0))))</f>
        <v/>
      </c>
      <c r="X43" s="70" t="str">
        <f t="shared" si="21"/>
        <v>-</v>
      </c>
      <c r="Y43" s="66" t="str">
        <f>IF(Y$7="","",IF(INDEX('Rooms Walls and Glass'!$D$53:$AB$57, MATCH($D43,'Rooms Walls and Glass'!$A$53:$A$57,0), MATCH('Unit 2 a'!Y$7,'Rooms Walls and Glass'!$D$1:$AB$1,0))=0,"",INDEX('Rooms Walls and Glass'!$D$53:$AB$57, MATCH($D43,'Rooms Walls and Glass'!$A$53:$A$57,0), MATCH('Unit 2 a'!Y$7,'Rooms Walls and Glass'!$D$1:$AB$1,0))))</f>
        <v/>
      </c>
      <c r="Z43" s="70" t="str">
        <f t="shared" si="22"/>
        <v>-</v>
      </c>
      <c r="AA43" s="66" t="str">
        <f>IF(AA$7="","",IF(INDEX('Rooms Walls and Glass'!$D$53:$AB$57, MATCH($D43,'Rooms Walls and Glass'!$A$53:$A$57,0), MATCH('Unit 2 a'!AA$7,'Rooms Walls and Glass'!$D$1:$AB$1,0))=0,"",INDEX('Rooms Walls and Glass'!$D$53:$AB$57, MATCH($D43,'Rooms Walls and Glass'!$A$53:$A$57,0), MATCH('Unit 2 a'!AA$7,'Rooms Walls and Glass'!$D$1:$AB$1,0))))</f>
        <v/>
      </c>
      <c r="AB43" s="70" t="str">
        <f t="shared" si="23"/>
        <v>-</v>
      </c>
      <c r="AC43" s="66" t="str">
        <f>IF(AC$7="","",IF(INDEX('Rooms Walls and Glass'!$D$53:$AB$57, MATCH($D43,'Rooms Walls and Glass'!$A$53:$A$57,0), MATCH('Unit 2 a'!AC$7,'Rooms Walls and Glass'!$D$1:$AB$1,0))=0,"",INDEX('Rooms Walls and Glass'!$D$53:$AB$57, MATCH($D43,'Rooms Walls and Glass'!$A$53:$A$57,0), MATCH('Unit 2 a'!AC$7,'Rooms Walls and Glass'!$D$1:$AB$1,0))))</f>
        <v/>
      </c>
      <c r="AD43" s="70" t="str">
        <f t="shared" si="30"/>
        <v>-</v>
      </c>
      <c r="AE43" s="66" t="str">
        <f>IF(AE$7="","",IF(INDEX('Rooms Walls and Glass'!$D$53:$AB$57, MATCH($D43,'Rooms Walls and Glass'!$A$53:$A$57,0), MATCH('Unit 2 a'!AE$7,'Rooms Walls and Glass'!$D$1:$AB$1,0))=0,"",INDEX('Rooms Walls and Glass'!$D$53:$AB$57, MATCH($D43,'Rooms Walls and Glass'!$A$53:$A$57,0), MATCH('Unit 2 a'!AE$7,'Rooms Walls and Glass'!$D$1:$AB$1,0))))</f>
        <v/>
      </c>
      <c r="AF43" s="70" t="str">
        <f t="shared" si="31"/>
        <v>-</v>
      </c>
      <c r="AG43" s="66" t="str">
        <f>IF(AG$7="","",IF(INDEX('Rooms Walls and Glass'!$D$53:$AB$57, MATCH($D43,'Rooms Walls and Glass'!$A$53:$A$57,0), MATCH('Unit 2 a'!AG$7,'Rooms Walls and Glass'!$D$1:$AB$1,0))=0,"",INDEX('Rooms Walls and Glass'!$D$53:$AB$57, MATCH($D43,'Rooms Walls and Glass'!$A$53:$A$57,0), MATCH('Unit 2 a'!AG$7,'Rooms Walls and Glass'!$D$1:$AB$1,0))))</f>
        <v/>
      </c>
      <c r="AH43" s="70" t="str">
        <f t="shared" si="25"/>
        <v>-</v>
      </c>
      <c r="AI43" s="66" t="str">
        <f>IF(AI$7="","",IF(INDEX('Rooms Walls and Glass'!$D$53:$AB$57, MATCH($D43,'Rooms Walls and Glass'!$A$53:$A$57,0), MATCH('Unit 2 a'!AI$7,'Rooms Walls and Glass'!$D$1:$AB$1,0))=0,"",INDEX('Rooms Walls and Glass'!$D$53:$AB$57, MATCH($D43,'Rooms Walls and Glass'!$A$53:$A$57,0), MATCH('Unit 2 a'!AI$7,'Rooms Walls and Glass'!$D$1:$AB$1,0))))</f>
        <v/>
      </c>
      <c r="AJ43" s="71" t="str">
        <f t="shared" si="26"/>
        <v>-</v>
      </c>
      <c r="AK43" s="66" t="str">
        <f>IF(AK$7="","",IF(INDEX('Rooms Walls and Glass'!$D$53:$AB$57, MATCH($D43,'Rooms Walls and Glass'!$A$53:$A$57,0), MATCH('Unit 2 a'!AK$7,'Rooms Walls and Glass'!$D$1:$AB$1,0))=0,"",INDEX('Rooms Walls and Glass'!$D$53:$AB$57, MATCH($D43,'Rooms Walls and Glass'!$A$53:$A$57,0), MATCH('Unit 2 a'!AK$7,'Rooms Walls and Glass'!$D$1:$AB$1,0))))</f>
        <v/>
      </c>
      <c r="AL43" s="70" t="str">
        <f t="shared" si="27"/>
        <v>-</v>
      </c>
      <c r="AM43" s="66" t="str">
        <f>IF(AM$7="","",IF(INDEX('Rooms Walls and Glass'!$D$53:$AB$57, MATCH($D43,'Rooms Walls and Glass'!$A$53:$A$57,0), MATCH('Unit 2 a'!AM$7,'Rooms Walls and Glass'!$D$1:$AB$1,0))=0,"",INDEX('Rooms Walls and Glass'!$D$53:$AB$57, MATCH($D43,'Rooms Walls and Glass'!$A$53:$A$57,0), MATCH('Unit 2 a'!AM$7,'Rooms Walls and Glass'!$D$1:$AB$1,0))))</f>
        <v/>
      </c>
      <c r="AN43" s="71" t="str">
        <f t="shared" si="28"/>
        <v>-</v>
      </c>
    </row>
    <row r="44" spans="2:40" ht="11.25" customHeight="1" thickBot="1" x14ac:dyDescent="0.2">
      <c r="B44" s="212" t="s">
        <v>82</v>
      </c>
      <c r="C44" s="12" t="s">
        <v>43</v>
      </c>
      <c r="D44" s="13" t="s">
        <v>51</v>
      </c>
      <c r="E44" s="13">
        <v>11</v>
      </c>
      <c r="F44" s="14">
        <f>INDEX(Summary!$F$19:$F$30,MATCH('Unit 2 a'!C44,Summary!$D$19:$D$30,0))</f>
        <v>5.2999999999999999E-2</v>
      </c>
      <c r="G44" s="14">
        <f t="shared" si="29"/>
        <v>0.58299999999999996</v>
      </c>
      <c r="H44" s="13" t="s">
        <v>6</v>
      </c>
      <c r="I44" s="65">
        <f t="shared" si="13"/>
        <v>0</v>
      </c>
      <c r="J44" s="65">
        <f t="shared" si="14"/>
        <v>0</v>
      </c>
      <c r="K44" s="66" t="str">
        <f>IF(K$7="","",IF(INDEX('Rooms Walls and Glass'!$D$53:$AB$57, MATCH($D44,'Rooms Walls and Glass'!$A$53:$A$57,0), MATCH('Unit 2 a'!K$7,'Rooms Walls and Glass'!$D$1:$AB$1,0))=0,"",INDEX('Rooms Walls and Glass'!$D$53:$AB$57, MATCH($D44,'Rooms Walls and Glass'!$A$53:$A$57,0), MATCH('Unit 2 a'!K$7,'Rooms Walls and Glass'!$D$1:$AB$1,0))))</f>
        <v/>
      </c>
      <c r="L44" s="65" t="str">
        <f t="shared" si="15"/>
        <v>-</v>
      </c>
      <c r="M44" s="66" t="str">
        <f>IF(M$7="","",IF(INDEX('Rooms Walls and Glass'!$D$53:$AB$57, MATCH($D44,'Rooms Walls and Glass'!$A$53:$A$57,0), MATCH('Unit 2 a'!M$7,'Rooms Walls and Glass'!$D$1:$AB$1,0))=0,"",INDEX('Rooms Walls and Glass'!$D$53:$AB$57, MATCH($D44,'Rooms Walls and Glass'!$A$53:$A$57,0), MATCH('Unit 2 a'!M$7,'Rooms Walls and Glass'!$D$1:$AB$1,0))))</f>
        <v/>
      </c>
      <c r="N44" s="65" t="str">
        <f t="shared" si="16"/>
        <v>-</v>
      </c>
      <c r="O44" s="66" t="str">
        <f>IF(O$7="","",IF(INDEX('Rooms Walls and Glass'!$D$53:$AB$57, MATCH($D44,'Rooms Walls and Glass'!$A$53:$A$57,0), MATCH('Unit 2 a'!O$7,'Rooms Walls and Glass'!$D$1:$AB$1,0))=0,"",INDEX('Rooms Walls and Glass'!$D$53:$AB$57, MATCH($D44,'Rooms Walls and Glass'!$A$53:$A$57,0), MATCH('Unit 2 a'!O$7,'Rooms Walls and Glass'!$D$1:$AB$1,0))))</f>
        <v/>
      </c>
      <c r="P44" s="65" t="str">
        <f t="shared" si="17"/>
        <v>-</v>
      </c>
      <c r="Q44" s="66" t="str">
        <f>IF(Q$7="","",IF(INDEX('Rooms Walls and Glass'!$D$53:$AB$57, MATCH($D44,'Rooms Walls and Glass'!$A$53:$A$57,0), MATCH('Unit 2 a'!Q$7,'Rooms Walls and Glass'!$D$1:$AB$1,0))=0,"",INDEX('Rooms Walls and Glass'!$D$53:$AB$57, MATCH($D44,'Rooms Walls and Glass'!$A$53:$A$57,0), MATCH('Unit 2 a'!Q$7,'Rooms Walls and Glass'!$D$1:$AB$1,0))))</f>
        <v/>
      </c>
      <c r="R44" s="65" t="str">
        <f t="shared" si="18"/>
        <v>-</v>
      </c>
      <c r="S44" s="66" t="str">
        <f>IF(S$7="","",IF(INDEX('Rooms Walls and Glass'!$D$53:$AB$57, MATCH($D44,'Rooms Walls and Glass'!$A$53:$A$57,0), MATCH('Unit 2 a'!S$7,'Rooms Walls and Glass'!$D$1:$AB$1,0))=0,"",INDEX('Rooms Walls and Glass'!$D$53:$AB$57, MATCH($D44,'Rooms Walls and Glass'!$A$53:$A$57,0), MATCH('Unit 2 a'!S$7,'Rooms Walls and Glass'!$D$1:$AB$1,0))))</f>
        <v/>
      </c>
      <c r="T44" s="65" t="str">
        <f t="shared" si="19"/>
        <v>-</v>
      </c>
      <c r="U44" s="66" t="str">
        <f>IF(U$7="","",IF(INDEX('Rooms Walls and Glass'!$D$53:$AB$57, MATCH($D44,'Rooms Walls and Glass'!$A$53:$A$57,0), MATCH('Unit 2 a'!U$7,'Rooms Walls and Glass'!$D$1:$AB$1,0))=0,"",INDEX('Rooms Walls and Glass'!$D$53:$AB$57, MATCH($D44,'Rooms Walls and Glass'!$A$53:$A$57,0), MATCH('Unit 2 a'!U$7,'Rooms Walls and Glass'!$D$1:$AB$1,0))))</f>
        <v/>
      </c>
      <c r="V44" s="65" t="str">
        <f t="shared" si="20"/>
        <v>-</v>
      </c>
      <c r="W44" s="66" t="str">
        <f>IF(W$7="","",IF(INDEX('Rooms Walls and Glass'!$D$53:$AB$57, MATCH($D44,'Rooms Walls and Glass'!$A$53:$A$57,0), MATCH('Unit 2 a'!W$7,'Rooms Walls and Glass'!$D$1:$AB$1,0))=0,"",INDEX('Rooms Walls and Glass'!$D$53:$AB$57, MATCH($D44,'Rooms Walls and Glass'!$A$53:$A$57,0), MATCH('Unit 2 a'!W$7,'Rooms Walls and Glass'!$D$1:$AB$1,0))))</f>
        <v/>
      </c>
      <c r="X44" s="65" t="str">
        <f t="shared" si="21"/>
        <v>-</v>
      </c>
      <c r="Y44" s="66" t="str">
        <f>IF(Y$7="","",IF(INDEX('Rooms Walls and Glass'!$D$53:$AB$57, MATCH($D44,'Rooms Walls and Glass'!$A$53:$A$57,0), MATCH('Unit 2 a'!Y$7,'Rooms Walls and Glass'!$D$1:$AB$1,0))=0,"",INDEX('Rooms Walls and Glass'!$D$53:$AB$57, MATCH($D44,'Rooms Walls and Glass'!$A$53:$A$57,0), MATCH('Unit 2 a'!Y$7,'Rooms Walls and Glass'!$D$1:$AB$1,0))))</f>
        <v/>
      </c>
      <c r="Z44" s="65" t="str">
        <f t="shared" si="22"/>
        <v>-</v>
      </c>
      <c r="AA44" s="66" t="str">
        <f>IF(AA$7="","",IF(INDEX('Rooms Walls and Glass'!$D$53:$AB$57, MATCH($D44,'Rooms Walls and Glass'!$A$53:$A$57,0), MATCH('Unit 2 a'!AA$7,'Rooms Walls and Glass'!$D$1:$AB$1,0))=0,"",INDEX('Rooms Walls and Glass'!$D$53:$AB$57, MATCH($D44,'Rooms Walls and Glass'!$A$53:$A$57,0), MATCH('Unit 2 a'!AA$7,'Rooms Walls and Glass'!$D$1:$AB$1,0))))</f>
        <v/>
      </c>
      <c r="AB44" s="65" t="str">
        <f t="shared" si="23"/>
        <v>-</v>
      </c>
      <c r="AC44" s="66" t="str">
        <f>IF(AC$7="","",IF(INDEX('Rooms Walls and Glass'!$D$53:$AB$57, MATCH($D44,'Rooms Walls and Glass'!$A$53:$A$57,0), MATCH('Unit 2 a'!AC$7,'Rooms Walls and Glass'!$D$1:$AB$1,0))=0,"",INDEX('Rooms Walls and Glass'!$D$53:$AB$57, MATCH($D44,'Rooms Walls and Glass'!$A$53:$A$57,0), MATCH('Unit 2 a'!AC$7,'Rooms Walls and Glass'!$D$1:$AB$1,0))))</f>
        <v/>
      </c>
      <c r="AD44" s="65" t="str">
        <f t="shared" si="30"/>
        <v>-</v>
      </c>
      <c r="AE44" s="66" t="str">
        <f>IF(AE$7="","",IF(INDEX('Rooms Walls and Glass'!$D$53:$AB$57, MATCH($D44,'Rooms Walls and Glass'!$A$53:$A$57,0), MATCH('Unit 2 a'!AE$7,'Rooms Walls and Glass'!$D$1:$AB$1,0))=0,"",INDEX('Rooms Walls and Glass'!$D$53:$AB$57, MATCH($D44,'Rooms Walls and Glass'!$A$53:$A$57,0), MATCH('Unit 2 a'!AE$7,'Rooms Walls and Glass'!$D$1:$AB$1,0))))</f>
        <v/>
      </c>
      <c r="AF44" s="65" t="str">
        <f t="shared" si="31"/>
        <v>-</v>
      </c>
      <c r="AG44" s="66" t="str">
        <f>IF(AG$7="","",IF(INDEX('Rooms Walls and Glass'!$D$53:$AB$57, MATCH($D44,'Rooms Walls and Glass'!$A$53:$A$57,0), MATCH('Unit 2 a'!AG$7,'Rooms Walls and Glass'!$D$1:$AB$1,0))=0,"",INDEX('Rooms Walls and Glass'!$D$53:$AB$57, MATCH($D44,'Rooms Walls and Glass'!$A$53:$A$57,0), MATCH('Unit 2 a'!AG$7,'Rooms Walls and Glass'!$D$1:$AB$1,0))))</f>
        <v/>
      </c>
      <c r="AH44" s="65" t="str">
        <f t="shared" si="25"/>
        <v>-</v>
      </c>
      <c r="AI44" s="66" t="str">
        <f>IF(AI$7="","",IF(INDEX('Rooms Walls and Glass'!$D$53:$AB$57, MATCH($D44,'Rooms Walls and Glass'!$A$53:$A$57,0), MATCH('Unit 2 a'!AI$7,'Rooms Walls and Glass'!$D$1:$AB$1,0))=0,"",INDEX('Rooms Walls and Glass'!$D$53:$AB$57, MATCH($D44,'Rooms Walls and Glass'!$A$53:$A$57,0), MATCH('Unit 2 a'!AI$7,'Rooms Walls and Glass'!$D$1:$AB$1,0))))</f>
        <v/>
      </c>
      <c r="AJ44" s="67" t="str">
        <f t="shared" si="26"/>
        <v>-</v>
      </c>
      <c r="AK44" s="66" t="str">
        <f>IF(AK$7="","",IF(INDEX('Rooms Walls and Glass'!$D$53:$AB$57, MATCH($D44,'Rooms Walls and Glass'!$A$53:$A$57,0), MATCH('Unit 2 a'!AK$7,'Rooms Walls and Glass'!$D$1:$AB$1,0))=0,"",INDEX('Rooms Walls and Glass'!$D$53:$AB$57, MATCH($D44,'Rooms Walls and Glass'!$A$53:$A$57,0), MATCH('Unit 2 a'!AK$7,'Rooms Walls and Glass'!$D$1:$AB$1,0))))</f>
        <v/>
      </c>
      <c r="AL44" s="65" t="str">
        <f t="shared" si="27"/>
        <v>-</v>
      </c>
      <c r="AM44" s="66" t="str">
        <f>IF(AM$7="","",IF(INDEX('Rooms Walls and Glass'!$D$53:$AB$57, MATCH($D44,'Rooms Walls and Glass'!$A$53:$A$57,0), MATCH('Unit 2 a'!AM$7,'Rooms Walls and Glass'!$D$1:$AB$1,0))=0,"",INDEX('Rooms Walls and Glass'!$D$53:$AB$57, MATCH($D44,'Rooms Walls and Glass'!$A$53:$A$57,0), MATCH('Unit 2 a'!AM$7,'Rooms Walls and Glass'!$D$1:$AB$1,0))))</f>
        <v/>
      </c>
      <c r="AN44" s="67" t="str">
        <f t="shared" si="28"/>
        <v>-</v>
      </c>
    </row>
    <row r="45" spans="2:40" ht="11.25" customHeight="1" thickBot="1" x14ac:dyDescent="0.2">
      <c r="B45" s="214"/>
      <c r="C45" s="15" t="s">
        <v>43</v>
      </c>
      <c r="D45" s="16" t="s">
        <v>36</v>
      </c>
      <c r="E45" s="16">
        <v>30</v>
      </c>
      <c r="F45" s="14">
        <f>INDEX(Summary!$F$19:$F$30,MATCH('Unit 2 a'!C45,Summary!$D$19:$D$30,0))</f>
        <v>5.2999999999999999E-2</v>
      </c>
      <c r="G45" s="14">
        <f t="shared" si="29"/>
        <v>1.5899999999999999</v>
      </c>
      <c r="H45" s="16" t="s">
        <v>6</v>
      </c>
      <c r="I45" s="65">
        <f t="shared" si="13"/>
        <v>0</v>
      </c>
      <c r="J45" s="68">
        <f t="shared" si="14"/>
        <v>0</v>
      </c>
      <c r="K45" s="66" t="str">
        <f>IF(K$7="","",IF(INDEX('Rooms Walls and Glass'!$D$53:$AB$57, MATCH($D45,'Rooms Walls and Glass'!$A$53:$A$57,0), MATCH('Unit 2 a'!K$7,'Rooms Walls and Glass'!$D$1:$AB$1,0))=0,"",INDEX('Rooms Walls and Glass'!$D$53:$AB$57, MATCH($D45,'Rooms Walls and Glass'!$A$53:$A$57,0), MATCH('Unit 2 a'!K$7,'Rooms Walls and Glass'!$D$1:$AB$1,0))))</f>
        <v/>
      </c>
      <c r="L45" s="68" t="str">
        <f t="shared" si="15"/>
        <v>-</v>
      </c>
      <c r="M45" s="66" t="str">
        <f>IF(M$7="","",IF(INDEX('Rooms Walls and Glass'!$D$53:$AB$57, MATCH($D45,'Rooms Walls and Glass'!$A$53:$A$57,0), MATCH('Unit 2 a'!M$7,'Rooms Walls and Glass'!$D$1:$AB$1,0))=0,"",INDEX('Rooms Walls and Glass'!$D$53:$AB$57, MATCH($D45,'Rooms Walls and Glass'!$A$53:$A$57,0), MATCH('Unit 2 a'!M$7,'Rooms Walls and Glass'!$D$1:$AB$1,0))))</f>
        <v/>
      </c>
      <c r="N45" s="68" t="str">
        <f t="shared" si="16"/>
        <v>-</v>
      </c>
      <c r="O45" s="66" t="str">
        <f>IF(O$7="","",IF(INDEX('Rooms Walls and Glass'!$D$53:$AB$57, MATCH($D45,'Rooms Walls and Glass'!$A$53:$A$57,0), MATCH('Unit 2 a'!O$7,'Rooms Walls and Glass'!$D$1:$AB$1,0))=0,"",INDEX('Rooms Walls and Glass'!$D$53:$AB$57, MATCH($D45,'Rooms Walls and Glass'!$A$53:$A$57,0), MATCH('Unit 2 a'!O$7,'Rooms Walls and Glass'!$D$1:$AB$1,0))))</f>
        <v/>
      </c>
      <c r="P45" s="68" t="str">
        <f t="shared" si="17"/>
        <v>-</v>
      </c>
      <c r="Q45" s="66" t="str">
        <f>IF(Q$7="","",IF(INDEX('Rooms Walls and Glass'!$D$53:$AB$57, MATCH($D45,'Rooms Walls and Glass'!$A$53:$A$57,0), MATCH('Unit 2 a'!Q$7,'Rooms Walls and Glass'!$D$1:$AB$1,0))=0,"",INDEX('Rooms Walls and Glass'!$D$53:$AB$57, MATCH($D45,'Rooms Walls and Glass'!$A$53:$A$57,0), MATCH('Unit 2 a'!Q$7,'Rooms Walls and Glass'!$D$1:$AB$1,0))))</f>
        <v/>
      </c>
      <c r="R45" s="68" t="str">
        <f t="shared" si="18"/>
        <v>-</v>
      </c>
      <c r="S45" s="66" t="str">
        <f>IF(S$7="","",IF(INDEX('Rooms Walls and Glass'!$D$53:$AB$57, MATCH($D45,'Rooms Walls and Glass'!$A$53:$A$57,0), MATCH('Unit 2 a'!S$7,'Rooms Walls and Glass'!$D$1:$AB$1,0))=0,"",INDEX('Rooms Walls and Glass'!$D$53:$AB$57, MATCH($D45,'Rooms Walls and Glass'!$A$53:$A$57,0), MATCH('Unit 2 a'!S$7,'Rooms Walls and Glass'!$D$1:$AB$1,0))))</f>
        <v/>
      </c>
      <c r="T45" s="68" t="str">
        <f t="shared" si="19"/>
        <v>-</v>
      </c>
      <c r="U45" s="66" t="str">
        <f>IF(U$7="","",IF(INDEX('Rooms Walls and Glass'!$D$53:$AB$57, MATCH($D45,'Rooms Walls and Glass'!$A$53:$A$57,0), MATCH('Unit 2 a'!U$7,'Rooms Walls and Glass'!$D$1:$AB$1,0))=0,"",INDEX('Rooms Walls and Glass'!$D$53:$AB$57, MATCH($D45,'Rooms Walls and Glass'!$A$53:$A$57,0), MATCH('Unit 2 a'!U$7,'Rooms Walls and Glass'!$D$1:$AB$1,0))))</f>
        <v/>
      </c>
      <c r="V45" s="68" t="str">
        <f t="shared" si="20"/>
        <v>-</v>
      </c>
      <c r="W45" s="66" t="str">
        <f>IF(W$7="","",IF(INDEX('Rooms Walls and Glass'!$D$53:$AB$57, MATCH($D45,'Rooms Walls and Glass'!$A$53:$A$57,0), MATCH('Unit 2 a'!W$7,'Rooms Walls and Glass'!$D$1:$AB$1,0))=0,"",INDEX('Rooms Walls and Glass'!$D$53:$AB$57, MATCH($D45,'Rooms Walls and Glass'!$A$53:$A$57,0), MATCH('Unit 2 a'!W$7,'Rooms Walls and Glass'!$D$1:$AB$1,0))))</f>
        <v/>
      </c>
      <c r="X45" s="68" t="str">
        <f t="shared" si="21"/>
        <v>-</v>
      </c>
      <c r="Y45" s="66" t="str">
        <f>IF(Y$7="","",IF(INDEX('Rooms Walls and Glass'!$D$53:$AB$57, MATCH($D45,'Rooms Walls and Glass'!$A$53:$A$57,0), MATCH('Unit 2 a'!Y$7,'Rooms Walls and Glass'!$D$1:$AB$1,0))=0,"",INDEX('Rooms Walls and Glass'!$D$53:$AB$57, MATCH($D45,'Rooms Walls and Glass'!$A$53:$A$57,0), MATCH('Unit 2 a'!Y$7,'Rooms Walls and Glass'!$D$1:$AB$1,0))))</f>
        <v/>
      </c>
      <c r="Z45" s="68" t="str">
        <f t="shared" si="22"/>
        <v>-</v>
      </c>
      <c r="AA45" s="66" t="str">
        <f>IF(AA$7="","",IF(INDEX('Rooms Walls and Glass'!$D$53:$AB$57, MATCH($D45,'Rooms Walls and Glass'!$A$53:$A$57,0), MATCH('Unit 2 a'!AA$7,'Rooms Walls and Glass'!$D$1:$AB$1,0))=0,"",INDEX('Rooms Walls and Glass'!$D$53:$AB$57, MATCH($D45,'Rooms Walls and Glass'!$A$53:$A$57,0), MATCH('Unit 2 a'!AA$7,'Rooms Walls and Glass'!$D$1:$AB$1,0))))</f>
        <v/>
      </c>
      <c r="AB45" s="68" t="str">
        <f t="shared" si="23"/>
        <v>-</v>
      </c>
      <c r="AC45" s="66" t="str">
        <f>IF(AC$7="","",IF(INDEX('Rooms Walls and Glass'!$D$53:$AB$57, MATCH($D45,'Rooms Walls and Glass'!$A$53:$A$57,0), MATCH('Unit 2 a'!AC$7,'Rooms Walls and Glass'!$D$1:$AB$1,0))=0,"",INDEX('Rooms Walls and Glass'!$D$53:$AB$57, MATCH($D45,'Rooms Walls and Glass'!$A$53:$A$57,0), MATCH('Unit 2 a'!AC$7,'Rooms Walls and Glass'!$D$1:$AB$1,0))))</f>
        <v/>
      </c>
      <c r="AD45" s="68" t="str">
        <f t="shared" si="30"/>
        <v>-</v>
      </c>
      <c r="AE45" s="66" t="str">
        <f>IF(AE$7="","",IF(INDEX('Rooms Walls and Glass'!$D$53:$AB$57, MATCH($D45,'Rooms Walls and Glass'!$A$53:$A$57,0), MATCH('Unit 2 a'!AE$7,'Rooms Walls and Glass'!$D$1:$AB$1,0))=0,"",INDEX('Rooms Walls and Glass'!$D$53:$AB$57, MATCH($D45,'Rooms Walls and Glass'!$A$53:$A$57,0), MATCH('Unit 2 a'!AE$7,'Rooms Walls and Glass'!$D$1:$AB$1,0))))</f>
        <v/>
      </c>
      <c r="AF45" s="68" t="str">
        <f t="shared" si="31"/>
        <v>-</v>
      </c>
      <c r="AG45" s="66" t="str">
        <f>IF(AG$7="","",IF(INDEX('Rooms Walls and Glass'!$D$53:$AB$57, MATCH($D45,'Rooms Walls and Glass'!$A$53:$A$57,0), MATCH('Unit 2 a'!AG$7,'Rooms Walls and Glass'!$D$1:$AB$1,0))=0,"",INDEX('Rooms Walls and Glass'!$D$53:$AB$57, MATCH($D45,'Rooms Walls and Glass'!$A$53:$A$57,0), MATCH('Unit 2 a'!AG$7,'Rooms Walls and Glass'!$D$1:$AB$1,0))))</f>
        <v/>
      </c>
      <c r="AH45" s="68" t="str">
        <f t="shared" si="25"/>
        <v>-</v>
      </c>
      <c r="AI45" s="66" t="str">
        <f>IF(AI$7="","",IF(INDEX('Rooms Walls and Glass'!$D$53:$AB$57, MATCH($D45,'Rooms Walls and Glass'!$A$53:$A$57,0), MATCH('Unit 2 a'!AI$7,'Rooms Walls and Glass'!$D$1:$AB$1,0))=0,"",INDEX('Rooms Walls and Glass'!$D$53:$AB$57, MATCH($D45,'Rooms Walls and Glass'!$A$53:$A$57,0), MATCH('Unit 2 a'!AI$7,'Rooms Walls and Glass'!$D$1:$AB$1,0))))</f>
        <v/>
      </c>
      <c r="AJ45" s="69" t="str">
        <f t="shared" si="26"/>
        <v>-</v>
      </c>
      <c r="AK45" s="66" t="str">
        <f>IF(AK$7="","",IF(INDEX('Rooms Walls and Glass'!$D$53:$AB$57, MATCH($D45,'Rooms Walls and Glass'!$A$53:$A$57,0), MATCH('Unit 2 a'!AK$7,'Rooms Walls and Glass'!$D$1:$AB$1,0))=0,"",INDEX('Rooms Walls and Glass'!$D$53:$AB$57, MATCH($D45,'Rooms Walls and Glass'!$A$53:$A$57,0), MATCH('Unit 2 a'!AK$7,'Rooms Walls and Glass'!$D$1:$AB$1,0))))</f>
        <v/>
      </c>
      <c r="AL45" s="68" t="str">
        <f t="shared" si="27"/>
        <v>-</v>
      </c>
      <c r="AM45" s="66" t="str">
        <f>IF(AM$7="","",IF(INDEX('Rooms Walls and Glass'!$D$53:$AB$57, MATCH($D45,'Rooms Walls and Glass'!$A$53:$A$57,0), MATCH('Unit 2 a'!AM$7,'Rooms Walls and Glass'!$D$1:$AB$1,0))=0,"",INDEX('Rooms Walls and Glass'!$D$53:$AB$57, MATCH($D45,'Rooms Walls and Glass'!$A$53:$A$57,0), MATCH('Unit 2 a'!AM$7,'Rooms Walls and Glass'!$D$1:$AB$1,0))))</f>
        <v/>
      </c>
      <c r="AN45" s="69" t="str">
        <f t="shared" si="28"/>
        <v>-</v>
      </c>
    </row>
    <row r="46" spans="2:40" ht="11.25" customHeight="1" thickBot="1" x14ac:dyDescent="0.2">
      <c r="B46" s="213"/>
      <c r="C46" s="17" t="s">
        <v>44</v>
      </c>
      <c r="D46" s="18" t="s">
        <v>52</v>
      </c>
      <c r="E46" s="18">
        <v>0</v>
      </c>
      <c r="F46" s="14">
        <f>INDEX(Summary!$F$19:$F$30,MATCH('Unit 2 a'!C46,Summary!$D$19:$D$30,0))</f>
        <v>0.1</v>
      </c>
      <c r="G46" s="14">
        <f t="shared" si="29"/>
        <v>0</v>
      </c>
      <c r="H46" s="18" t="s">
        <v>6</v>
      </c>
      <c r="I46" s="65">
        <f t="shared" si="13"/>
        <v>0</v>
      </c>
      <c r="J46" s="70">
        <f t="shared" si="14"/>
        <v>0</v>
      </c>
      <c r="K46" s="66" t="str">
        <f>IF(K$7="","",IF(INDEX('Rooms Walls and Glass'!$D$53:$AB$57, MATCH($D46,'Rooms Walls and Glass'!$A$53:$A$57,0), MATCH('Unit 2 a'!K$7,'Rooms Walls and Glass'!$D$1:$AB$1,0))=0,"",INDEX('Rooms Walls and Glass'!$D$53:$AB$57, MATCH($D46,'Rooms Walls and Glass'!$A$53:$A$57,0), MATCH('Unit 2 a'!K$7,'Rooms Walls and Glass'!$D$1:$AB$1,0))))</f>
        <v/>
      </c>
      <c r="L46" s="70" t="str">
        <f t="shared" si="15"/>
        <v>-</v>
      </c>
      <c r="M46" s="66" t="str">
        <f>IF(M$7="","",IF(INDEX('Rooms Walls and Glass'!$D$53:$AB$57, MATCH($D46,'Rooms Walls and Glass'!$A$53:$A$57,0), MATCH('Unit 2 a'!M$7,'Rooms Walls and Glass'!$D$1:$AB$1,0))=0,"",INDEX('Rooms Walls and Glass'!$D$53:$AB$57, MATCH($D46,'Rooms Walls and Glass'!$A$53:$A$57,0), MATCH('Unit 2 a'!M$7,'Rooms Walls and Glass'!$D$1:$AB$1,0))))</f>
        <v/>
      </c>
      <c r="N46" s="70" t="str">
        <f t="shared" si="16"/>
        <v>-</v>
      </c>
      <c r="O46" s="66" t="str">
        <f>IF(O$7="","",IF(INDEX('Rooms Walls and Glass'!$D$53:$AB$57, MATCH($D46,'Rooms Walls and Glass'!$A$53:$A$57,0), MATCH('Unit 2 a'!O$7,'Rooms Walls and Glass'!$D$1:$AB$1,0))=0,"",INDEX('Rooms Walls and Glass'!$D$53:$AB$57, MATCH($D46,'Rooms Walls and Glass'!$A$53:$A$57,0), MATCH('Unit 2 a'!O$7,'Rooms Walls and Glass'!$D$1:$AB$1,0))))</f>
        <v/>
      </c>
      <c r="P46" s="70" t="str">
        <f t="shared" si="17"/>
        <v>-</v>
      </c>
      <c r="Q46" s="66" t="str">
        <f>IF(Q$7="","",IF(INDEX('Rooms Walls and Glass'!$D$53:$AB$57, MATCH($D46,'Rooms Walls and Glass'!$A$53:$A$57,0), MATCH('Unit 2 a'!Q$7,'Rooms Walls and Glass'!$D$1:$AB$1,0))=0,"",INDEX('Rooms Walls and Glass'!$D$53:$AB$57, MATCH($D46,'Rooms Walls and Glass'!$A$53:$A$57,0), MATCH('Unit 2 a'!Q$7,'Rooms Walls and Glass'!$D$1:$AB$1,0))))</f>
        <v/>
      </c>
      <c r="R46" s="70" t="str">
        <f t="shared" si="18"/>
        <v>-</v>
      </c>
      <c r="S46" s="66" t="str">
        <f>IF(S$7="","",IF(INDEX('Rooms Walls and Glass'!$D$53:$AB$57, MATCH($D46,'Rooms Walls and Glass'!$A$53:$A$57,0), MATCH('Unit 2 a'!S$7,'Rooms Walls and Glass'!$D$1:$AB$1,0))=0,"",INDEX('Rooms Walls and Glass'!$D$53:$AB$57, MATCH($D46,'Rooms Walls and Glass'!$A$53:$A$57,0), MATCH('Unit 2 a'!S$7,'Rooms Walls and Glass'!$D$1:$AB$1,0))))</f>
        <v/>
      </c>
      <c r="T46" s="70" t="str">
        <f t="shared" si="19"/>
        <v>-</v>
      </c>
      <c r="U46" s="66" t="str">
        <f>IF(U$7="","",IF(INDEX('Rooms Walls and Glass'!$D$53:$AB$57, MATCH($D46,'Rooms Walls and Glass'!$A$53:$A$57,0), MATCH('Unit 2 a'!U$7,'Rooms Walls and Glass'!$D$1:$AB$1,0))=0,"",INDEX('Rooms Walls and Glass'!$D$53:$AB$57, MATCH($D46,'Rooms Walls and Glass'!$A$53:$A$57,0), MATCH('Unit 2 a'!U$7,'Rooms Walls and Glass'!$D$1:$AB$1,0))))</f>
        <v/>
      </c>
      <c r="V46" s="70" t="str">
        <f t="shared" si="20"/>
        <v>-</v>
      </c>
      <c r="W46" s="66" t="str">
        <f>IF(W$7="","",IF(INDEX('Rooms Walls and Glass'!$D$53:$AB$57, MATCH($D46,'Rooms Walls and Glass'!$A$53:$A$57,0), MATCH('Unit 2 a'!W$7,'Rooms Walls and Glass'!$D$1:$AB$1,0))=0,"",INDEX('Rooms Walls and Glass'!$D$53:$AB$57, MATCH($D46,'Rooms Walls and Glass'!$A$53:$A$57,0), MATCH('Unit 2 a'!W$7,'Rooms Walls and Glass'!$D$1:$AB$1,0))))</f>
        <v/>
      </c>
      <c r="X46" s="70" t="str">
        <f t="shared" si="21"/>
        <v>-</v>
      </c>
      <c r="Y46" s="66" t="str">
        <f>IF(Y$7="","",IF(INDEX('Rooms Walls and Glass'!$D$53:$AB$57, MATCH($D46,'Rooms Walls and Glass'!$A$53:$A$57,0), MATCH('Unit 2 a'!Y$7,'Rooms Walls and Glass'!$D$1:$AB$1,0))=0,"",INDEX('Rooms Walls and Glass'!$D$53:$AB$57, MATCH($D46,'Rooms Walls and Glass'!$A$53:$A$57,0), MATCH('Unit 2 a'!Y$7,'Rooms Walls and Glass'!$D$1:$AB$1,0))))</f>
        <v/>
      </c>
      <c r="Z46" s="70" t="str">
        <f t="shared" si="22"/>
        <v>-</v>
      </c>
      <c r="AA46" s="66" t="str">
        <f>IF(AA$7="","",IF(INDEX('Rooms Walls and Glass'!$D$53:$AB$57, MATCH($D46,'Rooms Walls and Glass'!$A$53:$A$57,0), MATCH('Unit 2 a'!AA$7,'Rooms Walls and Glass'!$D$1:$AB$1,0))=0,"",INDEX('Rooms Walls and Glass'!$D$53:$AB$57, MATCH($D46,'Rooms Walls and Glass'!$A$53:$A$57,0), MATCH('Unit 2 a'!AA$7,'Rooms Walls and Glass'!$D$1:$AB$1,0))))</f>
        <v/>
      </c>
      <c r="AB46" s="70" t="str">
        <f t="shared" si="23"/>
        <v>-</v>
      </c>
      <c r="AC46" s="66" t="str">
        <f>IF(AC$7="","",IF(INDEX('Rooms Walls and Glass'!$D$53:$AB$57, MATCH($D46,'Rooms Walls and Glass'!$A$53:$A$57,0), MATCH('Unit 2 a'!AC$7,'Rooms Walls and Glass'!$D$1:$AB$1,0))=0,"",INDEX('Rooms Walls and Glass'!$D$53:$AB$57, MATCH($D46,'Rooms Walls and Glass'!$A$53:$A$57,0), MATCH('Unit 2 a'!AC$7,'Rooms Walls and Glass'!$D$1:$AB$1,0))))</f>
        <v/>
      </c>
      <c r="AD46" s="70" t="str">
        <f t="shared" si="30"/>
        <v>-</v>
      </c>
      <c r="AE46" s="66" t="str">
        <f>IF(AE$7="","",IF(INDEX('Rooms Walls and Glass'!$D$53:$AB$57, MATCH($D46,'Rooms Walls and Glass'!$A$53:$A$57,0), MATCH('Unit 2 a'!AE$7,'Rooms Walls and Glass'!$D$1:$AB$1,0))=0,"",INDEX('Rooms Walls and Glass'!$D$53:$AB$57, MATCH($D46,'Rooms Walls and Glass'!$A$53:$A$57,0), MATCH('Unit 2 a'!AE$7,'Rooms Walls and Glass'!$D$1:$AB$1,0))))</f>
        <v/>
      </c>
      <c r="AF46" s="70" t="str">
        <f t="shared" si="31"/>
        <v>-</v>
      </c>
      <c r="AG46" s="66" t="str">
        <f>IF(AG$7="","",IF(INDEX('Rooms Walls and Glass'!$D$53:$AB$57, MATCH($D46,'Rooms Walls and Glass'!$A$53:$A$57,0), MATCH('Unit 2 a'!AG$7,'Rooms Walls and Glass'!$D$1:$AB$1,0))=0,"",INDEX('Rooms Walls and Glass'!$D$53:$AB$57, MATCH($D46,'Rooms Walls and Glass'!$A$53:$A$57,0), MATCH('Unit 2 a'!AG$7,'Rooms Walls and Glass'!$D$1:$AB$1,0))))</f>
        <v/>
      </c>
      <c r="AH46" s="70" t="str">
        <f t="shared" si="25"/>
        <v>-</v>
      </c>
      <c r="AI46" s="66" t="str">
        <f>IF(AI$7="","",IF(INDEX('Rooms Walls and Glass'!$D$53:$AB$57, MATCH($D46,'Rooms Walls and Glass'!$A$53:$A$57,0), MATCH('Unit 2 a'!AI$7,'Rooms Walls and Glass'!$D$1:$AB$1,0))=0,"",INDEX('Rooms Walls and Glass'!$D$53:$AB$57, MATCH($D46,'Rooms Walls and Glass'!$A$53:$A$57,0), MATCH('Unit 2 a'!AI$7,'Rooms Walls and Glass'!$D$1:$AB$1,0))))</f>
        <v/>
      </c>
      <c r="AJ46" s="71" t="str">
        <f t="shared" si="26"/>
        <v>-</v>
      </c>
      <c r="AK46" s="66" t="str">
        <f>IF(AK$7="","",IF(INDEX('Rooms Walls and Glass'!$D$53:$AB$57, MATCH($D46,'Rooms Walls and Glass'!$A$53:$A$57,0), MATCH('Unit 2 a'!AK$7,'Rooms Walls and Glass'!$D$1:$AB$1,0))=0,"",INDEX('Rooms Walls and Glass'!$D$53:$AB$57, MATCH($D46,'Rooms Walls and Glass'!$A$53:$A$57,0), MATCH('Unit 2 a'!AK$7,'Rooms Walls and Glass'!$D$1:$AB$1,0))))</f>
        <v/>
      </c>
      <c r="AL46" s="70" t="str">
        <f t="shared" si="27"/>
        <v>-</v>
      </c>
      <c r="AM46" s="66" t="str">
        <f>IF(AM$7="","",IF(INDEX('Rooms Walls and Glass'!$D$53:$AB$57, MATCH($D46,'Rooms Walls and Glass'!$A$53:$A$57,0), MATCH('Unit 2 a'!AM$7,'Rooms Walls and Glass'!$D$1:$AB$1,0))=0,"",INDEX('Rooms Walls and Glass'!$D$53:$AB$57, MATCH($D46,'Rooms Walls and Glass'!$A$53:$A$57,0), MATCH('Unit 2 a'!AM$7,'Rooms Walls and Glass'!$D$1:$AB$1,0))))</f>
        <v/>
      </c>
      <c r="AN46" s="71" t="str">
        <f t="shared" si="28"/>
        <v>-</v>
      </c>
    </row>
    <row r="47" spans="2:40" ht="11.25" customHeight="1" thickBot="1" x14ac:dyDescent="0.2">
      <c r="B47" s="238" t="s">
        <v>76</v>
      </c>
      <c r="C47" s="13"/>
      <c r="D47" s="231" t="s">
        <v>53</v>
      </c>
      <c r="E47" s="225"/>
      <c r="F47" s="226"/>
      <c r="G47" s="14">
        <v>255</v>
      </c>
      <c r="H47" s="13" t="s">
        <v>6</v>
      </c>
      <c r="I47" s="41">
        <f>SUM(K47,M47,O47,Q47,U47,W47,Y47,AA47,AC47,AE47,AG47,AI47,S47,AK47,AM47)</f>
        <v>0</v>
      </c>
      <c r="J47" s="65">
        <f t="shared" si="14"/>
        <v>0</v>
      </c>
      <c r="K47" s="66" t="str">
        <f>IF(K$7="","",IF(INDEX('Rooms Walls and Glass'!$D$3:$AB$4, MATCH($D47,'Rooms Walls and Glass'!$A$3:$A$4,0), MATCH('Unit 2 a'!K$7,'Rooms Walls and Glass'!$D$1:$AB$1,0))=0,"",INDEX('Rooms Walls and Glass'!$D$3:$AB$4, MATCH($D47,'Rooms Walls and Glass'!$A$3:$A$4,0), MATCH('Unit 2 a'!K$7,'Rooms Walls and Glass'!$D$1:$AB$1,0))))</f>
        <v/>
      </c>
      <c r="L47" s="65" t="str">
        <f t="shared" si="15"/>
        <v>-</v>
      </c>
      <c r="M47" s="66" t="str">
        <f>IF(M$7="","",IF(INDEX('Rooms Walls and Glass'!$D$3:$AB$4, MATCH($D47,'Rooms Walls and Glass'!$A$3:$A$4,0), MATCH('Unit 2 a'!M$7,'Rooms Walls and Glass'!$D$1:$AB$1,0))=0,"",INDEX('Rooms Walls and Glass'!$D$3:$AB$4, MATCH($D47,'Rooms Walls and Glass'!$A$3:$A$4,0), MATCH('Unit 2 a'!M$7,'Rooms Walls and Glass'!$D$1:$AB$1,0))))</f>
        <v/>
      </c>
      <c r="N47" s="65" t="str">
        <f t="shared" si="16"/>
        <v>-</v>
      </c>
      <c r="O47" s="66" t="str">
        <f>IF(O$7="","",IF(INDEX('Rooms Walls and Glass'!$D$3:$AB$4, MATCH($D47,'Rooms Walls and Glass'!$A$3:$A$4,0), MATCH('Unit 2 a'!O$7,'Rooms Walls and Glass'!$D$1:$AB$1,0))=0,"",INDEX('Rooms Walls and Glass'!$D$3:$AB$4, MATCH($D47,'Rooms Walls and Glass'!$A$3:$A$4,0), MATCH('Unit 2 a'!O$7,'Rooms Walls and Glass'!$D$1:$AB$1,0))))</f>
        <v/>
      </c>
      <c r="P47" s="65" t="str">
        <f t="shared" si="17"/>
        <v>-</v>
      </c>
      <c r="Q47" s="66" t="str">
        <f>IF(Q$7="","",IF(INDEX('Rooms Walls and Glass'!$D$3:$AB$4, MATCH($D47,'Rooms Walls and Glass'!$A$3:$A$4,0), MATCH('Unit 2 a'!Q$7,'Rooms Walls and Glass'!$D$1:$AB$1,0))=0,"",INDEX('Rooms Walls and Glass'!$D$3:$AB$4, MATCH($D47,'Rooms Walls and Glass'!$A$3:$A$4,0), MATCH('Unit 2 a'!Q$7,'Rooms Walls and Glass'!$D$1:$AB$1,0))))</f>
        <v/>
      </c>
      <c r="R47" s="65" t="str">
        <f t="shared" si="18"/>
        <v>-</v>
      </c>
      <c r="S47" s="66" t="str">
        <f>IF(S$7="","",IF(INDEX('Rooms Walls and Glass'!$D$3:$AB$4, MATCH($D47,'Rooms Walls and Glass'!$A$3:$A$4,0), MATCH('Unit 2 a'!S$7,'Rooms Walls and Glass'!$D$1:$AB$1,0))=0,"",INDEX('Rooms Walls and Glass'!$D$3:$AB$4, MATCH($D47,'Rooms Walls and Glass'!$A$3:$A$4,0), MATCH('Unit 2 a'!S$7,'Rooms Walls and Glass'!$D$1:$AB$1,0))))</f>
        <v/>
      </c>
      <c r="T47" s="65" t="str">
        <f t="shared" si="19"/>
        <v>-</v>
      </c>
      <c r="U47" s="66" t="str">
        <f>IF(U$7="","",IF(INDEX('Rooms Walls and Glass'!$D$3:$AB$4, MATCH($D47,'Rooms Walls and Glass'!$A$3:$A$4,0), MATCH('Unit 2 a'!U$7,'Rooms Walls and Glass'!$D$1:$AB$1,0))=0,"",INDEX('Rooms Walls and Glass'!$D$3:$AB$4, MATCH($D47,'Rooms Walls and Glass'!$A$3:$A$4,0), MATCH('Unit 2 a'!U$7,'Rooms Walls and Glass'!$D$1:$AB$1,0))))</f>
        <v/>
      </c>
      <c r="V47" s="65" t="str">
        <f t="shared" si="20"/>
        <v>-</v>
      </c>
      <c r="W47" s="66" t="str">
        <f>IF(W$7="","",IF(INDEX('Rooms Walls and Glass'!$D$3:$AB$4, MATCH($D47,'Rooms Walls and Glass'!$A$3:$A$4,0), MATCH('Unit 2 a'!W$7,'Rooms Walls and Glass'!$D$1:$AB$1,0))=0,"",INDEX('Rooms Walls and Glass'!$D$3:$AB$4, MATCH($D47,'Rooms Walls and Glass'!$A$3:$A$4,0), MATCH('Unit 2 a'!W$7,'Rooms Walls and Glass'!$D$1:$AB$1,0))))</f>
        <v/>
      </c>
      <c r="X47" s="65" t="str">
        <f t="shared" si="21"/>
        <v>-</v>
      </c>
      <c r="Y47" s="66" t="str">
        <f>IF(Y$7="","",IF(INDEX('Rooms Walls and Glass'!$D$3:$AB$4, MATCH($D47,'Rooms Walls and Glass'!$A$3:$A$4,0), MATCH('Unit 2 a'!Y$7,'Rooms Walls and Glass'!$D$1:$AB$1,0))=0,"",INDEX('Rooms Walls and Glass'!$D$3:$AB$4, MATCH($D47,'Rooms Walls and Glass'!$A$3:$A$4,0), MATCH('Unit 2 a'!Y$7,'Rooms Walls and Glass'!$D$1:$AB$1,0))))</f>
        <v/>
      </c>
      <c r="Z47" s="65" t="str">
        <f t="shared" si="22"/>
        <v>-</v>
      </c>
      <c r="AA47" s="66" t="str">
        <f>IF(AA$7="","",IF(INDEX('Rooms Walls and Glass'!$D$3:$AB$4, MATCH($D47,'Rooms Walls and Glass'!$A$3:$A$4,0), MATCH('Unit 2 a'!AA$7,'Rooms Walls and Glass'!$D$1:$AB$1,0))=0,"",INDEX('Rooms Walls and Glass'!$D$3:$AB$4, MATCH($D47,'Rooms Walls and Glass'!$A$3:$A$4,0), MATCH('Unit 2 a'!AA$7,'Rooms Walls and Glass'!$D$1:$AB$1,0))))</f>
        <v/>
      </c>
      <c r="AB47" s="65" t="str">
        <f t="shared" si="23"/>
        <v>-</v>
      </c>
      <c r="AC47" s="66" t="str">
        <f>IF(AC$7="","",IF(INDEX('Rooms Walls and Glass'!$D$3:$AB$4, MATCH($D47,'Rooms Walls and Glass'!$A$3:$A$4,0), MATCH('Unit 2 a'!AC$7,'Rooms Walls and Glass'!$D$1:$AB$1,0))=0,"",INDEX('Rooms Walls and Glass'!$D$3:$AB$4, MATCH($D47,'Rooms Walls and Glass'!$A$3:$A$4,0), MATCH('Unit 2 a'!AC$7,'Rooms Walls and Glass'!$D$1:$AB$1,0))))</f>
        <v/>
      </c>
      <c r="AD47" s="65" t="str">
        <f t="shared" si="30"/>
        <v>-</v>
      </c>
      <c r="AE47" s="66" t="str">
        <f>IF(AE$7="","",IF(INDEX('Rooms Walls and Glass'!$D$3:$AB$4, MATCH($D47,'Rooms Walls and Glass'!$A$3:$A$4,0), MATCH('Unit 2 a'!AE$7,'Rooms Walls and Glass'!$D$1:$AB$1,0))=0,"",INDEX('Rooms Walls and Glass'!$D$3:$AB$4, MATCH($D47,'Rooms Walls and Glass'!$A$3:$A$4,0), MATCH('Unit 2 a'!AE$7,'Rooms Walls and Glass'!$D$1:$AB$1,0))))</f>
        <v/>
      </c>
      <c r="AF47" s="65" t="str">
        <f t="shared" si="31"/>
        <v>-</v>
      </c>
      <c r="AG47" s="66" t="str">
        <f>IF(AG$7="","",IF(INDEX('Rooms Walls and Glass'!$D$3:$AB$4, MATCH($D47,'Rooms Walls and Glass'!$A$3:$A$4,0), MATCH('Unit 2 a'!AG$7,'Rooms Walls and Glass'!$D$1:$AB$1,0))=0,"",INDEX('Rooms Walls and Glass'!$D$3:$AB$4, MATCH($D47,'Rooms Walls and Glass'!$A$3:$A$4,0), MATCH('Unit 2 a'!AG$7,'Rooms Walls and Glass'!$D$1:$AB$1,0))))</f>
        <v/>
      </c>
      <c r="AH47" s="65" t="str">
        <f t="shared" si="25"/>
        <v>-</v>
      </c>
      <c r="AI47" s="66" t="str">
        <f>IF(AI$7="","",IF(INDEX('Rooms Walls and Glass'!$D$3:$AB$4, MATCH($D47,'Rooms Walls and Glass'!$A$3:$A$4,0), MATCH('Unit 2 a'!AI$7,'Rooms Walls and Glass'!$D$1:$AB$1,0))=0,"",INDEX('Rooms Walls and Glass'!$D$3:$AB$4, MATCH($D47,'Rooms Walls and Glass'!$A$3:$A$4,0), MATCH('Unit 2 a'!AI$7,'Rooms Walls and Glass'!$D$1:$AB$1,0))))</f>
        <v/>
      </c>
      <c r="AJ47" s="67" t="str">
        <f t="shared" si="26"/>
        <v>-</v>
      </c>
      <c r="AK47" s="66" t="str">
        <f>IF(AK$7="","",IF(INDEX('Rooms Walls and Glass'!$D$3:$AB$4, MATCH($D47,'Rooms Walls and Glass'!$A$3:$A$4,0), MATCH('Unit 2 a'!AK$7,'Rooms Walls and Glass'!$D$1:$AB$1,0))=0,"",INDEX('Rooms Walls and Glass'!$D$3:$AB$4, MATCH($D47,'Rooms Walls and Glass'!$A$3:$A$4,0), MATCH('Unit 2 a'!AK$7,'Rooms Walls and Glass'!$D$1:$AB$1,0))))</f>
        <v/>
      </c>
      <c r="AL47" s="65" t="str">
        <f t="shared" si="27"/>
        <v>-</v>
      </c>
      <c r="AM47" s="66" t="str">
        <f>IF(AM$7="","",IF(INDEX('Rooms Walls and Glass'!$D$3:$AB$4, MATCH($D47,'Rooms Walls and Glass'!$A$3:$A$4,0), MATCH('Unit 2 a'!AM$7,'Rooms Walls and Glass'!$D$1:$AB$1,0))=0,"",INDEX('Rooms Walls and Glass'!$D$3:$AB$4, MATCH($D47,'Rooms Walls and Glass'!$A$3:$A$4,0), MATCH('Unit 2 a'!AM$7,'Rooms Walls and Glass'!$D$1:$AB$1,0))))</f>
        <v/>
      </c>
      <c r="AN47" s="67" t="str">
        <f t="shared" si="28"/>
        <v>-</v>
      </c>
    </row>
    <row r="48" spans="2:40" ht="11.25" customHeight="1" thickBot="1" x14ac:dyDescent="0.2">
      <c r="B48" s="239"/>
      <c r="C48" s="16"/>
      <c r="D48" s="232" t="s">
        <v>235</v>
      </c>
      <c r="E48" s="233"/>
      <c r="F48" s="234"/>
      <c r="G48" s="16">
        <v>3.4129999999999998</v>
      </c>
      <c r="H48" s="16" t="s">
        <v>6</v>
      </c>
      <c r="I48" s="68">
        <f>J48/G48</f>
        <v>0</v>
      </c>
      <c r="J48" s="68">
        <f>SUM(L48,N48,P48,R48,T48,V48,X48,Z48,AB48,AD48,AF48,AH48,AJ48,AL48,AN48)</f>
        <v>0</v>
      </c>
      <c r="K48" s="72" t="str">
        <f>IF(SUM(K44:K46)/2=0,"",SUM(K44:K46)/2)</f>
        <v/>
      </c>
      <c r="L48" s="68" t="str">
        <f>IF(K48="","-",ROUND(K48,0)*$G48)</f>
        <v>-</v>
      </c>
      <c r="M48" s="72" t="str">
        <f>IF(SUM(M44:M46)/2=0,"",SUM(M44:M46)/2)</f>
        <v/>
      </c>
      <c r="N48" s="68" t="str">
        <f>IF(M48="","-",ROUND(M48,0)*$G48)</f>
        <v>-</v>
      </c>
      <c r="O48" s="72" t="str">
        <f>IF(SUM(O44:O46)/2=0,"",SUM(O44:O46)/2)</f>
        <v/>
      </c>
      <c r="P48" s="68" t="str">
        <f>IF(O48="","-",ROUND(O48,0)*$G48)</f>
        <v>-</v>
      </c>
      <c r="Q48" s="72" t="str">
        <f>IF(SUM(Q44:Q46)/2=0,"",SUM(Q44:Q46)/2)</f>
        <v/>
      </c>
      <c r="R48" s="68" t="str">
        <f>IF(Q48="","-",ROUND(Q48,0)*$G48)</f>
        <v>-</v>
      </c>
      <c r="S48" s="72" t="str">
        <f>IF(SUM(S44:S46)/2=0,"",SUM(S44:S46)/2)</f>
        <v/>
      </c>
      <c r="T48" s="68" t="str">
        <f>IF(S48="","-",ROUND(S48,0)*$G48)</f>
        <v>-</v>
      </c>
      <c r="U48" s="72" t="str">
        <f>IF(SUM(U44:U46)/2=0,"",SUM(U44:U46)/2)</f>
        <v/>
      </c>
      <c r="V48" s="68" t="str">
        <f>IF(U48="","-",ROUND(U48,0)*$G48)</f>
        <v>-</v>
      </c>
      <c r="W48" s="72" t="str">
        <f>IF(SUM(W44:W46)/2=0,"",SUM(W44:W46)/2)</f>
        <v/>
      </c>
      <c r="X48" s="68" t="str">
        <f>IF(W48="","-",ROUND(W48,0)*$G48)</f>
        <v>-</v>
      </c>
      <c r="Y48" s="72" t="str">
        <f>IF(SUM(Y44:Y46)/2=0,"",SUM(Y44:Y46)/2)</f>
        <v/>
      </c>
      <c r="Z48" s="68" t="str">
        <f>IF(Y48="","-",ROUND(Y48,0)*$G48)</f>
        <v>-</v>
      </c>
      <c r="AA48" s="72" t="str">
        <f>IF(SUM(AA44:AA46)/2=0,"",SUM(AA44:AA46)/2)</f>
        <v/>
      </c>
      <c r="AB48" s="68" t="str">
        <f>IF(AA48="","-",ROUND(AA48,0)*$G48)</f>
        <v>-</v>
      </c>
      <c r="AC48" s="72" t="str">
        <f>IF(SUM(AC44:AC46)/2=0,"",SUM(AC44:AC46)/2)</f>
        <v/>
      </c>
      <c r="AD48" s="68" t="str">
        <f>IF(AC48="","-",ROUND(AC48,0)*$G48)</f>
        <v>-</v>
      </c>
      <c r="AE48" s="72" t="str">
        <f>IF(SUM(AE44:AE46)/2=0,"",SUM(AE44:AE46)/2)</f>
        <v/>
      </c>
      <c r="AF48" s="68" t="str">
        <f>IF(AE48="","-",ROUND(AE48,0)*$G48)</f>
        <v>-</v>
      </c>
      <c r="AG48" s="72" t="str">
        <f>IF(SUM(AG44:AG46)/2=0,"",SUM(AG44:AG46)/2)</f>
        <v/>
      </c>
      <c r="AH48" s="68" t="str">
        <f>IF(AG48="","-",ROUND(AG48,0)*$G48)</f>
        <v>-</v>
      </c>
      <c r="AI48" s="72" t="str">
        <f>IF(SUM(AI44:AI46)/2=0,"",SUM(AI44:AI46)/2)</f>
        <v/>
      </c>
      <c r="AJ48" s="68" t="str">
        <f>IF(AI48="","-",ROUND(AI48,0)*$G48)</f>
        <v>-</v>
      </c>
      <c r="AK48" s="72" t="str">
        <f>IF(SUM(AK44:AK46)/2=0,"",SUM(AK44:AK46)/2)</f>
        <v/>
      </c>
      <c r="AL48" s="68" t="str">
        <f>IF(AK48="","-",ROUND(AK48,0)*$G48)</f>
        <v>-</v>
      </c>
      <c r="AM48" s="72" t="str">
        <f>IF(SUM(AM44:AM46)/2=0,"",SUM(AM44:AM46)/2)</f>
        <v/>
      </c>
      <c r="AN48" s="68" t="str">
        <f>IF(AM48="","-",ROUND(AM48,0)*$G48)</f>
        <v>-</v>
      </c>
    </row>
    <row r="49" spans="2:40" ht="11.25" customHeight="1" thickBot="1" x14ac:dyDescent="0.2">
      <c r="B49" s="240"/>
      <c r="C49" s="11"/>
      <c r="D49" s="232" t="s">
        <v>236</v>
      </c>
      <c r="E49" s="233"/>
      <c r="F49" s="234"/>
      <c r="G49" s="11">
        <v>3.4129999999999998</v>
      </c>
      <c r="H49" s="20" t="s">
        <v>6</v>
      </c>
      <c r="I49" s="41">
        <f>SUM(K49,M49,O49,Q49,U49,W49,Y49,AA49,AC49,AE49,AG49,AI49,S49,AK49,AM49)</f>
        <v>0</v>
      </c>
      <c r="J49" s="70">
        <f t="shared" si="14"/>
        <v>0</v>
      </c>
      <c r="K49" s="66" t="str">
        <f>IF(K$7="","",IF(INDEX('Rooms Walls and Glass'!$D$3:$AB$4, MATCH($D49,'Rooms Walls and Glass'!$A$3:$A$4,0), MATCH('Unit 2 a'!K$7,'Rooms Walls and Glass'!$D$1:$AB$1,0))=0,"",INDEX('Rooms Walls and Glass'!$D$3:$AB$4, MATCH($D49,'Rooms Walls and Glass'!$A$3:$A$4,0), MATCH('Unit 2 a'!K$7,'Rooms Walls and Glass'!$D$1:$AB$1,0))))</f>
        <v/>
      </c>
      <c r="L49" s="70" t="str">
        <f t="shared" si="15"/>
        <v>-</v>
      </c>
      <c r="M49" s="66" t="str">
        <f>IF(M$7="","",IF(INDEX('Rooms Walls and Glass'!$D$3:$AB$4, MATCH($D49,'Rooms Walls and Glass'!$A$3:$A$4,0), MATCH('Unit 2 a'!M$7,'Rooms Walls and Glass'!$D$1:$AB$1,0))=0,"",INDEX('Rooms Walls and Glass'!$D$3:$AB$4, MATCH($D49,'Rooms Walls and Glass'!$A$3:$A$4,0), MATCH('Unit 2 a'!M$7,'Rooms Walls and Glass'!$D$1:$AB$1,0))))</f>
        <v/>
      </c>
      <c r="N49" s="70" t="str">
        <f t="shared" si="16"/>
        <v>-</v>
      </c>
      <c r="O49" s="66" t="str">
        <f>IF(O$7="","",IF(INDEX('Rooms Walls and Glass'!$D$3:$AB$4, MATCH($D49,'Rooms Walls and Glass'!$A$3:$A$4,0), MATCH('Unit 2 a'!O$7,'Rooms Walls and Glass'!$D$1:$AB$1,0))=0,"",INDEX('Rooms Walls and Glass'!$D$3:$AB$4, MATCH($D49,'Rooms Walls and Glass'!$A$3:$A$4,0), MATCH('Unit 2 a'!O$7,'Rooms Walls and Glass'!$D$1:$AB$1,0))))</f>
        <v/>
      </c>
      <c r="P49" s="70" t="str">
        <f t="shared" si="17"/>
        <v>-</v>
      </c>
      <c r="Q49" s="66" t="str">
        <f>IF(Q$7="","",IF(INDEX('Rooms Walls and Glass'!$D$3:$AB$4, MATCH($D49,'Rooms Walls and Glass'!$A$3:$A$4,0), MATCH('Unit 2 a'!Q$7,'Rooms Walls and Glass'!$D$1:$AB$1,0))=0,"",INDEX('Rooms Walls and Glass'!$D$3:$AB$4, MATCH($D49,'Rooms Walls and Glass'!$A$3:$A$4,0), MATCH('Unit 2 a'!Q$7,'Rooms Walls and Glass'!$D$1:$AB$1,0))))</f>
        <v/>
      </c>
      <c r="R49" s="70" t="str">
        <f t="shared" si="18"/>
        <v>-</v>
      </c>
      <c r="S49" s="66" t="str">
        <f>IF(S$7="","",IF(INDEX('Rooms Walls and Glass'!$D$3:$AB$4, MATCH($D49,'Rooms Walls and Glass'!$A$3:$A$4,0), MATCH('Unit 2 a'!S$7,'Rooms Walls and Glass'!$D$1:$AB$1,0))=0,"",INDEX('Rooms Walls and Glass'!$D$3:$AB$4, MATCH($D49,'Rooms Walls and Glass'!$A$3:$A$4,0), MATCH('Unit 2 a'!S$7,'Rooms Walls and Glass'!$D$1:$AB$1,0))))</f>
        <v/>
      </c>
      <c r="T49" s="70" t="str">
        <f t="shared" si="19"/>
        <v>-</v>
      </c>
      <c r="U49" s="66" t="str">
        <f>IF(U$7="","",IF(INDEX('Rooms Walls and Glass'!$D$3:$AB$4, MATCH($D49,'Rooms Walls and Glass'!$A$3:$A$4,0), MATCH('Unit 2 a'!U$7,'Rooms Walls and Glass'!$D$1:$AB$1,0))=0,"",INDEX('Rooms Walls and Glass'!$D$3:$AB$4, MATCH($D49,'Rooms Walls and Glass'!$A$3:$A$4,0), MATCH('Unit 2 a'!U$7,'Rooms Walls and Glass'!$D$1:$AB$1,0))))</f>
        <v/>
      </c>
      <c r="V49" s="70" t="str">
        <f t="shared" si="20"/>
        <v>-</v>
      </c>
      <c r="W49" s="66" t="str">
        <f>IF(W$7="","",IF(INDEX('Rooms Walls and Glass'!$D$3:$AB$4, MATCH($D49,'Rooms Walls and Glass'!$A$3:$A$4,0), MATCH('Unit 2 a'!W$7,'Rooms Walls and Glass'!$D$1:$AB$1,0))=0,"",INDEX('Rooms Walls and Glass'!$D$3:$AB$4, MATCH($D49,'Rooms Walls and Glass'!$A$3:$A$4,0), MATCH('Unit 2 a'!W$7,'Rooms Walls and Glass'!$D$1:$AB$1,0))))</f>
        <v/>
      </c>
      <c r="X49" s="70" t="str">
        <f t="shared" si="21"/>
        <v>-</v>
      </c>
      <c r="Y49" s="66" t="str">
        <f>IF(Y$7="","",IF(INDEX('Rooms Walls and Glass'!$D$3:$AB$4, MATCH($D49,'Rooms Walls and Glass'!$A$3:$A$4,0), MATCH('Unit 2 a'!Y$7,'Rooms Walls and Glass'!$D$1:$AB$1,0))=0,"",INDEX('Rooms Walls and Glass'!$D$3:$AB$4, MATCH($D49,'Rooms Walls and Glass'!$A$3:$A$4,0), MATCH('Unit 2 a'!Y$7,'Rooms Walls and Glass'!$D$1:$AB$1,0))))</f>
        <v/>
      </c>
      <c r="Z49" s="70" t="str">
        <f t="shared" si="22"/>
        <v>-</v>
      </c>
      <c r="AA49" s="66" t="str">
        <f>IF(AA$7="","",IF(INDEX('Rooms Walls and Glass'!$D$3:$AB$4, MATCH($D49,'Rooms Walls and Glass'!$A$3:$A$4,0), MATCH('Unit 2 a'!AA$7,'Rooms Walls and Glass'!$D$1:$AB$1,0))=0,"",INDEX('Rooms Walls and Glass'!$D$3:$AB$4, MATCH($D49,'Rooms Walls and Glass'!$A$3:$A$4,0), MATCH('Unit 2 a'!AA$7,'Rooms Walls and Glass'!$D$1:$AB$1,0))))</f>
        <v/>
      </c>
      <c r="AB49" s="70" t="str">
        <f t="shared" si="23"/>
        <v>-</v>
      </c>
      <c r="AC49" s="66" t="str">
        <f>IF(AC$7="","",IF(INDEX('Rooms Walls and Glass'!$D$3:$AB$4, MATCH($D49,'Rooms Walls and Glass'!$A$3:$A$4,0), MATCH('Unit 2 a'!AC$7,'Rooms Walls and Glass'!$D$1:$AB$1,0))=0,"",INDEX('Rooms Walls and Glass'!$D$3:$AB$4, MATCH($D49,'Rooms Walls and Glass'!$A$3:$A$4,0), MATCH('Unit 2 a'!AC$7,'Rooms Walls and Glass'!$D$1:$AB$1,0))))</f>
        <v/>
      </c>
      <c r="AD49" s="70" t="str">
        <f t="shared" ref="AD49" si="32">IF(AC49="","-",AC49*$G49)</f>
        <v>-</v>
      </c>
      <c r="AE49" s="66" t="str">
        <f>IF(AE$7="","",IF(INDEX('Rooms Walls and Glass'!$D$3:$AB$4, MATCH($D49,'Rooms Walls and Glass'!$A$3:$A$4,0), MATCH('Unit 2 a'!AE$7,'Rooms Walls and Glass'!$D$1:$AB$1,0))=0,"",INDEX('Rooms Walls and Glass'!$D$3:$AB$4, MATCH($D49,'Rooms Walls and Glass'!$A$3:$A$4,0), MATCH('Unit 2 a'!AE$7,'Rooms Walls and Glass'!$D$1:$AB$1,0))))</f>
        <v/>
      </c>
      <c r="AF49" s="70" t="str">
        <f t="shared" ref="AF49" si="33">IF(AE49="","-",AE49*$G49)</f>
        <v>-</v>
      </c>
      <c r="AG49" s="66" t="str">
        <f>IF(AG$7="","",IF(INDEX('Rooms Walls and Glass'!$D$3:$AB$4, MATCH($D49,'Rooms Walls and Glass'!$A$3:$A$4,0), MATCH('Unit 2 a'!AG$7,'Rooms Walls and Glass'!$D$1:$AB$1,0))=0,"",INDEX('Rooms Walls and Glass'!$D$3:$AB$4, MATCH($D49,'Rooms Walls and Glass'!$A$3:$A$4,0), MATCH('Unit 2 a'!AG$7,'Rooms Walls and Glass'!$D$1:$AB$1,0))))</f>
        <v/>
      </c>
      <c r="AH49" s="70" t="str">
        <f t="shared" si="25"/>
        <v>-</v>
      </c>
      <c r="AI49" s="66" t="str">
        <f>IF(AI$7="","",IF(INDEX('Rooms Walls and Glass'!$D$3:$AB$4, MATCH($D49,'Rooms Walls and Glass'!$A$3:$A$4,0), MATCH('Unit 2 a'!AI$7,'Rooms Walls and Glass'!$D$1:$AB$1,0))=0,"",INDEX('Rooms Walls and Glass'!$D$3:$AB$4, MATCH($D49,'Rooms Walls and Glass'!$A$3:$A$4,0), MATCH('Unit 2 a'!AI$7,'Rooms Walls and Glass'!$D$1:$AB$1,0))))</f>
        <v/>
      </c>
      <c r="AJ49" s="71" t="str">
        <f t="shared" si="26"/>
        <v>-</v>
      </c>
      <c r="AK49" s="66" t="str">
        <f>IF(AK$7="","",IF(INDEX('Rooms Walls and Glass'!$D$3:$AB$4, MATCH($D49,'Rooms Walls and Glass'!$A$3:$A$4,0), MATCH('Unit 2 a'!AK$7,'Rooms Walls and Glass'!$D$1:$AB$1,0))=0,"",INDEX('Rooms Walls and Glass'!$D$3:$AB$4, MATCH($D49,'Rooms Walls and Glass'!$A$3:$A$4,0), MATCH('Unit 2 a'!AK$7,'Rooms Walls and Glass'!$D$1:$AB$1,0))))</f>
        <v/>
      </c>
      <c r="AL49" s="70" t="str">
        <f t="shared" ref="AL49" si="34">IF(AK49="","-",AK49*$G49)</f>
        <v>-</v>
      </c>
      <c r="AM49" s="66" t="str">
        <f>IF(AM$7="","",IF(INDEX('Rooms Walls and Glass'!$D$3:$AB$4, MATCH($D49,'Rooms Walls and Glass'!$A$3:$A$4,0), MATCH('Unit 2 a'!AM$7,'Rooms Walls and Glass'!$D$1:$AB$1,0))=0,"",INDEX('Rooms Walls and Glass'!$D$3:$AB$4, MATCH($D49,'Rooms Walls and Glass'!$A$3:$A$4,0), MATCH('Unit 2 a'!AM$7,'Rooms Walls and Glass'!$D$1:$AB$1,0))))</f>
        <v/>
      </c>
      <c r="AN49" s="71" t="str">
        <f t="shared" ref="AN49" si="35">IF(AM49="","-",AM49*$G49)</f>
        <v>-</v>
      </c>
    </row>
    <row r="50" spans="2:40" ht="11.25" customHeight="1" x14ac:dyDescent="0.15">
      <c r="B50" s="242" t="s">
        <v>54</v>
      </c>
      <c r="C50" s="233"/>
      <c r="D50" s="233"/>
      <c r="E50" s="233"/>
      <c r="F50" s="234"/>
      <c r="G50" s="21"/>
      <c r="H50" s="22" t="s">
        <v>57</v>
      </c>
      <c r="I50" s="73">
        <f>SUM(K50,M50,O50,Q50,U50,W50,Y50,AA50,AC50,AE50,AG50,AI50,S50,AK50,AM50)</f>
        <v>0</v>
      </c>
      <c r="J50" s="74">
        <f>IF(I50="","-",I50*$G50)</f>
        <v>0</v>
      </c>
      <c r="K50" s="75">
        <f>SUM(K44:K46)*K6</f>
        <v>0</v>
      </c>
      <c r="L50" s="74">
        <f>IF(K50="","-",K50*$G50)</f>
        <v>0</v>
      </c>
      <c r="M50" s="75">
        <f>SUM(M44:M46)*M6</f>
        <v>0</v>
      </c>
      <c r="N50" s="74">
        <f>IF(M50="","-",M50*$G50)</f>
        <v>0</v>
      </c>
      <c r="O50" s="75">
        <f>SUM(O44:O46)*O6</f>
        <v>0</v>
      </c>
      <c r="P50" s="74">
        <f>IF(O50="","-",O50*$G50)</f>
        <v>0</v>
      </c>
      <c r="Q50" s="75">
        <f>SUM(Q44:Q46)*Q6</f>
        <v>0</v>
      </c>
      <c r="R50" s="74">
        <f>IF(Q50="","-",Q50*$G50)</f>
        <v>0</v>
      </c>
      <c r="S50" s="75">
        <f>SUM(S44:S46)*S6</f>
        <v>0</v>
      </c>
      <c r="T50" s="74">
        <f>IF(S50="","-",S50*$G50)</f>
        <v>0</v>
      </c>
      <c r="U50" s="75">
        <f>SUM(U44:U46)*U6</f>
        <v>0</v>
      </c>
      <c r="V50" s="74">
        <f>IF(U50="","-",U50*$G50)</f>
        <v>0</v>
      </c>
      <c r="W50" s="75">
        <f>SUM(W44:W46)*W6</f>
        <v>0</v>
      </c>
      <c r="X50" s="74">
        <f>IF(W50="","-",W50*$G50)</f>
        <v>0</v>
      </c>
      <c r="Y50" s="75">
        <f>SUM(Y44:Y46)*Y6</f>
        <v>0</v>
      </c>
      <c r="Z50" s="74">
        <f>IF(Y50="","-",Y50*$G50)</f>
        <v>0</v>
      </c>
      <c r="AA50" s="75">
        <f>SUM(AA44:AA46)*AA6</f>
        <v>0</v>
      </c>
      <c r="AB50" s="74">
        <f>IF(AA50="","-",AA50*$G50)</f>
        <v>0</v>
      </c>
      <c r="AC50" s="75">
        <f>SUM(AC44:AC46)*AC6</f>
        <v>0</v>
      </c>
      <c r="AD50" s="74">
        <f>IF(AC50="","-",AC50*$G50)</f>
        <v>0</v>
      </c>
      <c r="AE50" s="75">
        <f>SUM(AE44:AE46)*AE6</f>
        <v>0</v>
      </c>
      <c r="AF50" s="74">
        <f>IF(AE50="","-",AE50*$G50)</f>
        <v>0</v>
      </c>
      <c r="AG50" s="75">
        <f>SUM(AG44:AG46)*AG6</f>
        <v>0</v>
      </c>
      <c r="AH50" s="74">
        <f>IF(AG50="","-",AG50*$G50)</f>
        <v>0</v>
      </c>
      <c r="AI50" s="75">
        <f>SUM(AI44:AI46)*AI6</f>
        <v>0</v>
      </c>
      <c r="AJ50" s="76">
        <f>IF(AI50="","-",AI50*$G50)</f>
        <v>0</v>
      </c>
      <c r="AK50" s="75">
        <f>SUM(AK44:AK46)*AK6</f>
        <v>0</v>
      </c>
      <c r="AL50" s="74">
        <f>IF(AK50="","-",AK50*$G50)</f>
        <v>0</v>
      </c>
      <c r="AM50" s="75">
        <f>SUM(AM44:AM46)*AM6</f>
        <v>0</v>
      </c>
      <c r="AN50" s="76">
        <f>IF(AM50="","-",AM50*$G50)</f>
        <v>0</v>
      </c>
    </row>
    <row r="51" spans="2:40" ht="11.25" customHeight="1" thickBot="1" x14ac:dyDescent="0.2">
      <c r="B51" s="219" t="s">
        <v>55</v>
      </c>
      <c r="C51" s="220"/>
      <c r="D51" s="220"/>
      <c r="E51" s="23">
        <f>Summary!H13</f>
        <v>0.25</v>
      </c>
      <c r="F51" s="24" t="s">
        <v>56</v>
      </c>
      <c r="G51" s="25">
        <f>IF(E51=0.25,0.09,0.13)</f>
        <v>0.09</v>
      </c>
      <c r="H51" s="26" t="s">
        <v>6</v>
      </c>
      <c r="I51" s="77">
        <f>SUM(K51,M51,O51,Q51,U51,W51,Y51,AA51,AC51,AE51,AG51,AI51,S51,AK51,AM51)</f>
        <v>0</v>
      </c>
      <c r="J51" s="78">
        <f>IF(I50="","-",I50*$G51)</f>
        <v>0</v>
      </c>
      <c r="K51" s="79">
        <f>SUM(K44:K46)</f>
        <v>0</v>
      </c>
      <c r="L51" s="78">
        <f>K50*$G$51</f>
        <v>0</v>
      </c>
      <c r="M51" s="79">
        <f>SUM(M44:M46)</f>
        <v>0</v>
      </c>
      <c r="N51" s="78">
        <f>M50*$G$51</f>
        <v>0</v>
      </c>
      <c r="O51" s="79">
        <f>SUM(O44:O46)</f>
        <v>0</v>
      </c>
      <c r="P51" s="78">
        <f>O50*$G$51</f>
        <v>0</v>
      </c>
      <c r="Q51" s="79">
        <f>SUM(Q44:Q46)</f>
        <v>0</v>
      </c>
      <c r="R51" s="78">
        <f>Q50*$G$51</f>
        <v>0</v>
      </c>
      <c r="S51" s="79">
        <f>SUM(S44:S46)</f>
        <v>0</v>
      </c>
      <c r="T51" s="78">
        <f>S50*$G$51</f>
        <v>0</v>
      </c>
      <c r="U51" s="79">
        <f>SUM(U44:U46)</f>
        <v>0</v>
      </c>
      <c r="V51" s="78">
        <f>U50*$G$51</f>
        <v>0</v>
      </c>
      <c r="W51" s="79">
        <f>SUM(W44:W46)</f>
        <v>0</v>
      </c>
      <c r="X51" s="78">
        <f>W50*$G$51</f>
        <v>0</v>
      </c>
      <c r="Y51" s="79">
        <f>SUM(Y44:Y46)</f>
        <v>0</v>
      </c>
      <c r="Z51" s="78">
        <f>Y50*$G$51</f>
        <v>0</v>
      </c>
      <c r="AA51" s="79">
        <f>SUM(AA44:AA46)</f>
        <v>0</v>
      </c>
      <c r="AB51" s="78">
        <f>AA50*$G$51</f>
        <v>0</v>
      </c>
      <c r="AC51" s="79">
        <f>SUM(AC44:AC46)</f>
        <v>0</v>
      </c>
      <c r="AD51" s="78">
        <f>AC50*$G$51</f>
        <v>0</v>
      </c>
      <c r="AE51" s="79">
        <f>SUM(AE44:AE46)</f>
        <v>0</v>
      </c>
      <c r="AF51" s="78">
        <f>AE50*$G$51</f>
        <v>0</v>
      </c>
      <c r="AG51" s="79">
        <f>SUM(AG44:AG46)</f>
        <v>0</v>
      </c>
      <c r="AH51" s="78">
        <f>AG50*$G$51</f>
        <v>0</v>
      </c>
      <c r="AI51" s="79">
        <f>SUM(AI44:AI46)</f>
        <v>0</v>
      </c>
      <c r="AJ51" s="78">
        <f>AI50*$G$51</f>
        <v>0</v>
      </c>
      <c r="AK51" s="79">
        <f>SUM(AK44:AK46)</f>
        <v>0</v>
      </c>
      <c r="AL51" s="78">
        <f>AK50*$G$51</f>
        <v>0</v>
      </c>
      <c r="AM51" s="79">
        <f>SUM(AM44:AM46)</f>
        <v>0</v>
      </c>
      <c r="AN51" s="78">
        <f>AM50*$G$51</f>
        <v>0</v>
      </c>
    </row>
    <row r="52" spans="2:40" ht="11.25" customHeight="1" x14ac:dyDescent="0.15">
      <c r="B52" s="221" t="s">
        <v>58</v>
      </c>
      <c r="C52" s="222"/>
      <c r="D52" s="222"/>
      <c r="E52" s="222"/>
      <c r="F52" s="222"/>
      <c r="G52" s="222"/>
      <c r="H52" s="223"/>
      <c r="I52" s="31"/>
      <c r="J52" s="65">
        <f>SUM(J9:J51)</f>
        <v>0</v>
      </c>
      <c r="K52" s="80"/>
      <c r="L52" s="65">
        <f t="shared" ref="L52:AJ52" si="36">SUM(L9:L51)</f>
        <v>0</v>
      </c>
      <c r="M52" s="80"/>
      <c r="N52" s="65">
        <f t="shared" si="36"/>
        <v>0</v>
      </c>
      <c r="O52" s="80"/>
      <c r="P52" s="65">
        <f t="shared" si="36"/>
        <v>0</v>
      </c>
      <c r="Q52" s="80"/>
      <c r="R52" s="65">
        <f t="shared" si="36"/>
        <v>0</v>
      </c>
      <c r="S52" s="80"/>
      <c r="T52" s="65">
        <f t="shared" si="36"/>
        <v>0</v>
      </c>
      <c r="U52" s="80"/>
      <c r="V52" s="65">
        <f t="shared" si="36"/>
        <v>0</v>
      </c>
      <c r="W52" s="80"/>
      <c r="X52" s="65">
        <f t="shared" si="36"/>
        <v>0</v>
      </c>
      <c r="Y52" s="80"/>
      <c r="Z52" s="65">
        <f t="shared" si="36"/>
        <v>0</v>
      </c>
      <c r="AA52" s="80"/>
      <c r="AB52" s="65">
        <f t="shared" si="36"/>
        <v>0</v>
      </c>
      <c r="AC52" s="80"/>
      <c r="AD52" s="65">
        <f t="shared" si="36"/>
        <v>0</v>
      </c>
      <c r="AE52" s="80"/>
      <c r="AF52" s="65">
        <f t="shared" si="36"/>
        <v>0</v>
      </c>
      <c r="AG52" s="80"/>
      <c r="AH52" s="65">
        <f t="shared" si="36"/>
        <v>0</v>
      </c>
      <c r="AI52" s="80"/>
      <c r="AJ52" s="67">
        <f t="shared" si="36"/>
        <v>0</v>
      </c>
      <c r="AK52" s="80"/>
      <c r="AL52" s="65">
        <f t="shared" ref="AL52" si="37">SUM(AL9:AL51)</f>
        <v>0</v>
      </c>
      <c r="AM52" s="80"/>
      <c r="AN52" s="67">
        <f t="shared" ref="AN52" si="38">SUM(AN9:AN51)</f>
        <v>0</v>
      </c>
    </row>
    <row r="53" spans="2:40" ht="11.25" customHeight="1" thickBot="1" x14ac:dyDescent="0.2">
      <c r="B53" s="215" t="s">
        <v>59</v>
      </c>
      <c r="C53" s="216"/>
      <c r="D53" s="216"/>
      <c r="E53" s="216"/>
      <c r="F53" s="216"/>
      <c r="G53" s="27">
        <v>0.1</v>
      </c>
      <c r="H53" s="28"/>
      <c r="I53" s="81"/>
      <c r="J53" s="70">
        <f>G53*J52</f>
        <v>0</v>
      </c>
      <c r="K53" s="82"/>
      <c r="L53" s="83" t="str">
        <f t="shared" si="15"/>
        <v>-</v>
      </c>
      <c r="M53" s="82"/>
      <c r="N53" s="83" t="str">
        <f t="shared" si="16"/>
        <v>-</v>
      </c>
      <c r="O53" s="82"/>
      <c r="P53" s="83" t="str">
        <f t="shared" si="17"/>
        <v>-</v>
      </c>
      <c r="Q53" s="82"/>
      <c r="R53" s="83" t="str">
        <f t="shared" si="18"/>
        <v>-</v>
      </c>
      <c r="S53" s="82"/>
      <c r="T53" s="83" t="str">
        <f t="shared" si="19"/>
        <v>-</v>
      </c>
      <c r="U53" s="82"/>
      <c r="V53" s="83" t="str">
        <f t="shared" si="20"/>
        <v>-</v>
      </c>
      <c r="W53" s="82"/>
      <c r="X53" s="83" t="str">
        <f t="shared" si="21"/>
        <v>-</v>
      </c>
      <c r="Y53" s="82"/>
      <c r="Z53" s="83" t="str">
        <f t="shared" si="22"/>
        <v>-</v>
      </c>
      <c r="AA53" s="82"/>
      <c r="AB53" s="83" t="str">
        <f t="shared" si="23"/>
        <v>-</v>
      </c>
      <c r="AC53" s="82"/>
      <c r="AD53" s="83" t="str">
        <f t="shared" ref="AD53:AD55" si="39">IF(AC53="","-",AC53*$G53)</f>
        <v>-</v>
      </c>
      <c r="AE53" s="82"/>
      <c r="AF53" s="83" t="str">
        <f t="shared" ref="AF53:AF55" si="40">IF(AE53="","-",AE53*$G53)</f>
        <v>-</v>
      </c>
      <c r="AG53" s="82"/>
      <c r="AH53" s="83" t="str">
        <f t="shared" si="25"/>
        <v>-</v>
      </c>
      <c r="AI53" s="82"/>
      <c r="AJ53" s="84" t="str">
        <f t="shared" si="26"/>
        <v>-</v>
      </c>
      <c r="AK53" s="82"/>
      <c r="AL53" s="83" t="str">
        <f t="shared" ref="AL53:AL55" si="41">IF(AK53="","-",AK53*$G53)</f>
        <v>-</v>
      </c>
      <c r="AM53" s="82"/>
      <c r="AN53" s="84" t="str">
        <f t="shared" ref="AN53:AN55" si="42">IF(AM53="","-",AM53*$G53)</f>
        <v>-</v>
      </c>
    </row>
    <row r="54" spans="2:40" ht="11.25" customHeight="1" x14ac:dyDescent="0.15">
      <c r="B54" s="224" t="s">
        <v>60</v>
      </c>
      <c r="C54" s="225"/>
      <c r="D54" s="225"/>
      <c r="E54" s="225"/>
      <c r="F54" s="225"/>
      <c r="G54" s="225"/>
      <c r="H54" s="226"/>
      <c r="I54" s="31"/>
      <c r="J54" s="65">
        <f>J53+J52</f>
        <v>0</v>
      </c>
      <c r="K54" s="85"/>
      <c r="L54" s="80" t="str">
        <f t="shared" si="15"/>
        <v>-</v>
      </c>
      <c r="M54" s="85"/>
      <c r="N54" s="80" t="str">
        <f t="shared" si="16"/>
        <v>-</v>
      </c>
      <c r="O54" s="85"/>
      <c r="P54" s="80" t="str">
        <f t="shared" si="17"/>
        <v>-</v>
      </c>
      <c r="Q54" s="85"/>
      <c r="R54" s="80" t="str">
        <f t="shared" si="18"/>
        <v>-</v>
      </c>
      <c r="S54" s="85"/>
      <c r="T54" s="80" t="str">
        <f t="shared" si="19"/>
        <v>-</v>
      </c>
      <c r="U54" s="85"/>
      <c r="V54" s="80" t="str">
        <f t="shared" si="20"/>
        <v>-</v>
      </c>
      <c r="W54" s="85"/>
      <c r="X54" s="80" t="str">
        <f t="shared" si="21"/>
        <v>-</v>
      </c>
      <c r="Y54" s="85"/>
      <c r="Z54" s="80" t="str">
        <f t="shared" si="22"/>
        <v>-</v>
      </c>
      <c r="AA54" s="85"/>
      <c r="AB54" s="80" t="str">
        <f t="shared" si="23"/>
        <v>-</v>
      </c>
      <c r="AC54" s="85"/>
      <c r="AD54" s="80" t="str">
        <f t="shared" si="39"/>
        <v>-</v>
      </c>
      <c r="AE54" s="85"/>
      <c r="AF54" s="80" t="str">
        <f t="shared" si="40"/>
        <v>-</v>
      </c>
      <c r="AG54" s="85"/>
      <c r="AH54" s="80" t="str">
        <f t="shared" si="25"/>
        <v>-</v>
      </c>
      <c r="AI54" s="85"/>
      <c r="AJ54" s="86" t="str">
        <f t="shared" si="26"/>
        <v>-</v>
      </c>
      <c r="AK54" s="85"/>
      <c r="AL54" s="80" t="str">
        <f t="shared" si="41"/>
        <v>-</v>
      </c>
      <c r="AM54" s="85"/>
      <c r="AN54" s="86" t="str">
        <f t="shared" si="42"/>
        <v>-</v>
      </c>
    </row>
    <row r="55" spans="2:40" ht="11.25" customHeight="1" thickBot="1" x14ac:dyDescent="0.2">
      <c r="B55" s="227" t="s">
        <v>61</v>
      </c>
      <c r="C55" s="228"/>
      <c r="D55" s="228"/>
      <c r="E55" s="228"/>
      <c r="F55" s="228"/>
      <c r="G55" s="228"/>
      <c r="H55" s="229"/>
      <c r="I55" s="41"/>
      <c r="J55" s="87">
        <f>J54/0.75/12000</f>
        <v>0</v>
      </c>
      <c r="K55" s="82"/>
      <c r="L55" s="83" t="str">
        <f t="shared" si="15"/>
        <v>-</v>
      </c>
      <c r="M55" s="82"/>
      <c r="N55" s="83" t="str">
        <f t="shared" si="16"/>
        <v>-</v>
      </c>
      <c r="O55" s="82"/>
      <c r="P55" s="83" t="str">
        <f t="shared" si="17"/>
        <v>-</v>
      </c>
      <c r="Q55" s="82"/>
      <c r="R55" s="83" t="str">
        <f t="shared" si="18"/>
        <v>-</v>
      </c>
      <c r="S55" s="82"/>
      <c r="T55" s="83" t="str">
        <f t="shared" si="19"/>
        <v>-</v>
      </c>
      <c r="U55" s="82"/>
      <c r="V55" s="83" t="str">
        <f t="shared" si="20"/>
        <v>-</v>
      </c>
      <c r="W55" s="82"/>
      <c r="X55" s="83" t="str">
        <f t="shared" si="21"/>
        <v>-</v>
      </c>
      <c r="Y55" s="82"/>
      <c r="Z55" s="83" t="str">
        <f t="shared" si="22"/>
        <v>-</v>
      </c>
      <c r="AA55" s="82"/>
      <c r="AB55" s="83" t="str">
        <f t="shared" si="23"/>
        <v>-</v>
      </c>
      <c r="AC55" s="82"/>
      <c r="AD55" s="83" t="str">
        <f t="shared" si="39"/>
        <v>-</v>
      </c>
      <c r="AE55" s="82"/>
      <c r="AF55" s="83" t="str">
        <f t="shared" si="40"/>
        <v>-</v>
      </c>
      <c r="AG55" s="82"/>
      <c r="AH55" s="83" t="str">
        <f t="shared" si="25"/>
        <v>-</v>
      </c>
      <c r="AI55" s="82"/>
      <c r="AJ55" s="84" t="str">
        <f t="shared" si="26"/>
        <v>-</v>
      </c>
      <c r="AK55" s="82"/>
      <c r="AL55" s="83" t="str">
        <f t="shared" si="41"/>
        <v>-</v>
      </c>
      <c r="AM55" s="82"/>
      <c r="AN55" s="84" t="str">
        <f t="shared" si="42"/>
        <v>-</v>
      </c>
    </row>
    <row r="56" spans="2:40" ht="11.25" customHeight="1" thickBot="1" x14ac:dyDescent="0.2">
      <c r="B56" s="215" t="s">
        <v>62</v>
      </c>
      <c r="C56" s="216"/>
      <c r="D56" s="216"/>
      <c r="E56" s="30">
        <v>1.5</v>
      </c>
      <c r="F56" s="29" t="s">
        <v>63</v>
      </c>
      <c r="G56" s="217" t="s">
        <v>64</v>
      </c>
      <c r="H56" s="218"/>
      <c r="I56" s="88"/>
      <c r="J56" s="89">
        <f>E56*400</f>
        <v>600</v>
      </c>
      <c r="K56" s="90"/>
      <c r="L56" s="89" t="e">
        <f>L52/$J$52*$J$56</f>
        <v>#DIV/0!</v>
      </c>
      <c r="M56" s="90"/>
      <c r="N56" s="89" t="e">
        <f>N52/$J$52*$J$56</f>
        <v>#DIV/0!</v>
      </c>
      <c r="O56" s="90"/>
      <c r="P56" s="89" t="e">
        <f>P52/$J$52*$J$56</f>
        <v>#DIV/0!</v>
      </c>
      <c r="Q56" s="90"/>
      <c r="R56" s="89" t="e">
        <f>R52/$J$52*$J$56</f>
        <v>#DIV/0!</v>
      </c>
      <c r="S56" s="90"/>
      <c r="T56" s="89" t="e">
        <f>T52/$J$52*$J$56</f>
        <v>#DIV/0!</v>
      </c>
      <c r="U56" s="90"/>
      <c r="V56" s="89" t="e">
        <f>V52/$J$52*$J$56</f>
        <v>#DIV/0!</v>
      </c>
      <c r="W56" s="90"/>
      <c r="X56" s="89" t="e">
        <f>X52/$J$52*$J$56</f>
        <v>#DIV/0!</v>
      </c>
      <c r="Y56" s="90"/>
      <c r="Z56" s="89" t="e">
        <f>Z52/$J$52*$J$56</f>
        <v>#DIV/0!</v>
      </c>
      <c r="AA56" s="90"/>
      <c r="AB56" s="89" t="e">
        <f>AB52/$J$52*$J$56</f>
        <v>#DIV/0!</v>
      </c>
      <c r="AC56" s="90"/>
      <c r="AD56" s="89" t="e">
        <f>AD52/$J$52*$J$56</f>
        <v>#DIV/0!</v>
      </c>
      <c r="AE56" s="90"/>
      <c r="AF56" s="89" t="e">
        <f>AF52/$J$52*$J$56</f>
        <v>#DIV/0!</v>
      </c>
      <c r="AG56" s="90"/>
      <c r="AH56" s="89" t="e">
        <f>AH52/$J$52*$J$56</f>
        <v>#DIV/0!</v>
      </c>
      <c r="AI56" s="90"/>
      <c r="AJ56" s="91" t="e">
        <f>AJ52/$J$52*$J$56</f>
        <v>#DIV/0!</v>
      </c>
      <c r="AK56" s="90"/>
      <c r="AL56" s="89" t="e">
        <f>AL52/$J$52*$J$56</f>
        <v>#DIV/0!</v>
      </c>
      <c r="AM56" s="90"/>
      <c r="AN56" s="91" t="e">
        <f>AN52/$J$52*$J$56</f>
        <v>#DIV/0!</v>
      </c>
    </row>
    <row r="57" spans="2:40" ht="3" customHeight="1" thickBot="1" x14ac:dyDescent="0.2">
      <c r="B57" s="6"/>
      <c r="C57" s="7"/>
      <c r="D57" s="7"/>
      <c r="E57" s="7"/>
      <c r="F57" s="7"/>
      <c r="G57" s="7"/>
      <c r="H57" s="7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9"/>
      <c r="AK57" s="208"/>
      <c r="AL57" s="208"/>
      <c r="AM57" s="208"/>
      <c r="AN57" s="209"/>
    </row>
    <row r="58" spans="2:40" ht="24" customHeight="1" x14ac:dyDescent="0.15">
      <c r="B58" s="248" t="s">
        <v>0</v>
      </c>
      <c r="C58" s="210"/>
      <c r="D58" s="210"/>
      <c r="E58" s="249" t="s">
        <v>71</v>
      </c>
      <c r="F58" s="249" t="s">
        <v>4</v>
      </c>
      <c r="G58" s="210" t="s">
        <v>72</v>
      </c>
      <c r="H58" s="251"/>
      <c r="I58" s="248" t="s">
        <v>29</v>
      </c>
      <c r="J58" s="210"/>
      <c r="K58" s="210" t="str">
        <f>K7</f>
        <v/>
      </c>
      <c r="L58" s="210"/>
      <c r="M58" s="210" t="str">
        <f t="shared" ref="M58" si="43">M7</f>
        <v/>
      </c>
      <c r="N58" s="210"/>
      <c r="O58" s="210" t="str">
        <f t="shared" ref="O58" si="44">O7</f>
        <v/>
      </c>
      <c r="P58" s="210"/>
      <c r="Q58" s="210" t="str">
        <f t="shared" ref="Q58" si="45">Q7</f>
        <v/>
      </c>
      <c r="R58" s="210"/>
      <c r="S58" s="210" t="str">
        <f t="shared" ref="S58" si="46">S7</f>
        <v/>
      </c>
      <c r="T58" s="210"/>
      <c r="U58" s="210" t="str">
        <f t="shared" ref="U58" si="47">U7</f>
        <v/>
      </c>
      <c r="V58" s="210"/>
      <c r="W58" s="210" t="str">
        <f t="shared" ref="W58" si="48">W7</f>
        <v/>
      </c>
      <c r="X58" s="210"/>
      <c r="Y58" s="210" t="str">
        <f t="shared" ref="Y58" si="49">Y7</f>
        <v/>
      </c>
      <c r="Z58" s="210"/>
      <c r="AA58" s="210" t="str">
        <f t="shared" ref="AA58" si="50">AA7</f>
        <v/>
      </c>
      <c r="AB58" s="210"/>
      <c r="AC58" s="210" t="str">
        <f t="shared" ref="AC58" si="51">AC7</f>
        <v/>
      </c>
      <c r="AD58" s="210"/>
      <c r="AE58" s="210" t="str">
        <f t="shared" ref="AE58" si="52">AE7</f>
        <v/>
      </c>
      <c r="AF58" s="210"/>
      <c r="AG58" s="210" t="str">
        <f t="shared" ref="AG58" si="53">AG7</f>
        <v/>
      </c>
      <c r="AH58" s="210"/>
      <c r="AI58" s="210" t="str">
        <f t="shared" ref="AI58" si="54">AI7</f>
        <v/>
      </c>
      <c r="AJ58" s="210"/>
      <c r="AK58" s="210" t="str">
        <f t="shared" ref="AK58" si="55">AK7</f>
        <v/>
      </c>
      <c r="AL58" s="210"/>
      <c r="AM58" s="210" t="str">
        <f t="shared" ref="AM58" si="56">AM7</f>
        <v/>
      </c>
      <c r="AN58" s="210"/>
    </row>
    <row r="59" spans="2:40" ht="18.75" customHeight="1" thickBot="1" x14ac:dyDescent="0.2">
      <c r="B59" s="10"/>
      <c r="C59" s="11" t="s">
        <v>1</v>
      </c>
      <c r="D59" s="11" t="s">
        <v>2</v>
      </c>
      <c r="E59" s="250"/>
      <c r="F59" s="250"/>
      <c r="G59" s="252"/>
      <c r="H59" s="253"/>
      <c r="I59" s="92" t="s">
        <v>30</v>
      </c>
      <c r="J59" s="41" t="s">
        <v>31</v>
      </c>
      <c r="K59" s="41" t="s">
        <v>30</v>
      </c>
      <c r="L59" s="41" t="s">
        <v>31</v>
      </c>
      <c r="M59" s="41" t="s">
        <v>30</v>
      </c>
      <c r="N59" s="41" t="s">
        <v>31</v>
      </c>
      <c r="O59" s="41" t="s">
        <v>30</v>
      </c>
      <c r="P59" s="41" t="s">
        <v>31</v>
      </c>
      <c r="Q59" s="41" t="s">
        <v>30</v>
      </c>
      <c r="R59" s="41" t="s">
        <v>31</v>
      </c>
      <c r="S59" s="41" t="s">
        <v>30</v>
      </c>
      <c r="T59" s="41" t="s">
        <v>31</v>
      </c>
      <c r="U59" s="41" t="s">
        <v>30</v>
      </c>
      <c r="V59" s="41" t="s">
        <v>31</v>
      </c>
      <c r="W59" s="41" t="s">
        <v>30</v>
      </c>
      <c r="X59" s="41" t="s">
        <v>31</v>
      </c>
      <c r="Y59" s="41" t="s">
        <v>30</v>
      </c>
      <c r="Z59" s="41" t="s">
        <v>31</v>
      </c>
      <c r="AA59" s="41" t="s">
        <v>30</v>
      </c>
      <c r="AB59" s="41" t="s">
        <v>31</v>
      </c>
      <c r="AC59" s="41" t="s">
        <v>30</v>
      </c>
      <c r="AD59" s="41" t="s">
        <v>31</v>
      </c>
      <c r="AE59" s="41" t="s">
        <v>30</v>
      </c>
      <c r="AF59" s="41" t="s">
        <v>31</v>
      </c>
      <c r="AG59" s="41" t="s">
        <v>30</v>
      </c>
      <c r="AH59" s="41" t="s">
        <v>31</v>
      </c>
      <c r="AI59" s="41" t="s">
        <v>30</v>
      </c>
      <c r="AJ59" s="93" t="s">
        <v>31</v>
      </c>
      <c r="AK59" s="41" t="s">
        <v>30</v>
      </c>
      <c r="AL59" s="41" t="s">
        <v>31</v>
      </c>
      <c r="AM59" s="41" t="s">
        <v>30</v>
      </c>
      <c r="AN59" s="93" t="s">
        <v>31</v>
      </c>
    </row>
    <row r="60" spans="2:40" ht="11.25" customHeight="1" thickBot="1" x14ac:dyDescent="0.2">
      <c r="B60" s="212" t="s">
        <v>77</v>
      </c>
      <c r="C60" s="13" t="s">
        <v>7</v>
      </c>
      <c r="D60" s="13"/>
      <c r="E60" s="13">
        <f>Summary!$N$13</f>
        <v>54</v>
      </c>
      <c r="F60" s="13">
        <f>Summary!N32</f>
        <v>0.35</v>
      </c>
      <c r="G60" s="14">
        <f>F60*E60</f>
        <v>18.899999999999999</v>
      </c>
      <c r="H60" s="32" t="s">
        <v>6</v>
      </c>
      <c r="I60" s="94">
        <f>SUMIF(C9:$C$36,C60,I9:$I$36)</f>
        <v>0</v>
      </c>
      <c r="J60" s="65">
        <f>IF(I60="","-",I60*$G60)</f>
        <v>0</v>
      </c>
      <c r="K60" s="31" t="str">
        <f>IF(SUMIF($C$9:$C$18,$C60,K9:K$18)=0,"",SUMIF($C$9:$C$18,$C60,K$9:K$18))</f>
        <v/>
      </c>
      <c r="L60" s="65" t="str">
        <f t="shared" ref="L60:L65" si="57">IF(K60="","-",K60*$G60)</f>
        <v>-</v>
      </c>
      <c r="M60" s="8"/>
      <c r="N60" s="65" t="str">
        <f t="shared" ref="N60:N65" si="58">IF(M60="","-",M60*$G60)</f>
        <v>-</v>
      </c>
      <c r="O60" s="31" t="str">
        <f>IF(SUMIF($C$9:$C$18,$C60,O9:O$18)=0,"",SUMIF($C$9:$C$18,$C60,O$9:O$18))</f>
        <v/>
      </c>
      <c r="P60" s="65" t="str">
        <f t="shared" ref="P60:P65" si="59">IF(O60="","-",O60*$G60)</f>
        <v>-</v>
      </c>
      <c r="Q60" s="31" t="str">
        <f>IF(SUMIF($C$9:$C$18,$C60,Q9:Q$18)=0,"",SUMIF($C$9:$C$18,$C60,Q$9:Q$18))</f>
        <v/>
      </c>
      <c r="R60" s="65" t="str">
        <f t="shared" ref="R60:R62" si="60">IF(Q60="","-",Q60*$G60)</f>
        <v>-</v>
      </c>
      <c r="S60" s="31" t="str">
        <f>IF(SUMIF($C$9:$C$18,$C60,S9:S$18)=0,"",SUMIF($C$9:$C$18,$C60,S$9:S$18))</f>
        <v/>
      </c>
      <c r="T60" s="65" t="str">
        <f t="shared" ref="T60:T62" si="61">IF(S60="","-",S60*$G60)</f>
        <v>-</v>
      </c>
      <c r="U60" s="31" t="str">
        <f>IF(SUMIF($C$9:$C$18,$C60,U9:U$18)=0,"",SUMIF($C$9:$C$18,$C60,U$9:U$18))</f>
        <v/>
      </c>
      <c r="V60" s="65" t="str">
        <f t="shared" ref="V60:V62" si="62">IF(U60="","-",U60*$G60)</f>
        <v>-</v>
      </c>
      <c r="W60" s="31" t="str">
        <f>IF(SUMIF($C$9:$C$18,$C60,W9:W$18)=0,"",SUMIF($C$9:$C$18,$C60,W$9:W$18))</f>
        <v/>
      </c>
      <c r="X60" s="65" t="str">
        <f t="shared" ref="X60:X62" si="63">IF(W60="","-",W60*$G60)</f>
        <v>-</v>
      </c>
      <c r="Y60" s="31" t="str">
        <f>IF(SUMIF($C$9:$C$18,$C60,Y9:Y$18)=0,"",SUMIF($C$9:$C$18,$C60,Y$9:Y$18))</f>
        <v/>
      </c>
      <c r="Z60" s="65" t="str">
        <f t="shared" ref="Z60:Z62" si="64">IF(Y60="","-",Y60*$G60)</f>
        <v>-</v>
      </c>
      <c r="AA60" s="31" t="str">
        <f>IF(SUMIF($C$9:$C$18,$C60,AA9:AA$18)=0,"",SUMIF($C$9:$C$18,$C60,AA$9:AA$18))</f>
        <v/>
      </c>
      <c r="AB60" s="65" t="str">
        <f t="shared" ref="AB60:AB62" si="65">IF(AA60="","-",AA60*$G60)</f>
        <v>-</v>
      </c>
      <c r="AC60" s="31" t="str">
        <f>IF(SUMIF($C$9:$C$18,$C60,AC9:AC$18)=0,"",SUMIF($C$9:$C$18,$C60,AC$9:AC$18))</f>
        <v/>
      </c>
      <c r="AD60" s="65" t="str">
        <f t="shared" ref="AD60:AD62" si="66">IF(AC60="","-",AC60*$G60)</f>
        <v>-</v>
      </c>
      <c r="AE60" s="31" t="str">
        <f>IF(SUMIF($C$9:$C$18,$C60,AE9:AE$18)=0,"",SUMIF($C$9:$C$18,$C60,AE$9:AE$18))</f>
        <v/>
      </c>
      <c r="AF60" s="65" t="str">
        <f t="shared" ref="AF60:AF62" si="67">IF(AE60="","-",AE60*$G60)</f>
        <v>-</v>
      </c>
      <c r="AG60" s="31" t="str">
        <f>IF(SUMIF($C$9:$C$18,$C60,AG9:AG$18)=0,"",SUMIF($C$9:$C$18,$C60,AG$9:AG$18))</f>
        <v/>
      </c>
      <c r="AH60" s="65" t="str">
        <f t="shared" ref="AH60:AH62" si="68">IF(AG60="","-",AG60*$G60)</f>
        <v>-</v>
      </c>
      <c r="AI60" s="31" t="str">
        <f>IF(SUMIF($C$9:$C$18,$C60,AI9:AI$18)=0,"",SUMIF($C$9:$C$18,$C60,AI$9:AI$18))</f>
        <v/>
      </c>
      <c r="AJ60" s="65" t="str">
        <f t="shared" ref="AJ60:AJ62" si="69">IF(AI60="","-",AI60*$G60)</f>
        <v>-</v>
      </c>
      <c r="AK60" s="31" t="str">
        <f>IF(SUMIF($C$9:$C$18,$C60,AK9:AK$18)=0,"",SUMIF($C$9:$C$18,$C60,AK$9:AK$18))</f>
        <v/>
      </c>
      <c r="AL60" s="65" t="str">
        <f t="shared" ref="AL60:AL62" si="70">IF(AK60="","-",AK60*$G60)</f>
        <v>-</v>
      </c>
      <c r="AM60" s="31" t="str">
        <f>IF(SUMIF($C$9:$C$18,$C60,AM9:AM$18)=0,"",SUMIF($C$9:$C$18,$C60,AM$9:AM$18))</f>
        <v/>
      </c>
      <c r="AN60" s="65" t="str">
        <f t="shared" ref="AN60:AN62" si="71">IF(AM60="","-",AM60*$G60)</f>
        <v>-</v>
      </c>
    </row>
    <row r="61" spans="2:40" ht="11.25" customHeight="1" thickBot="1" x14ac:dyDescent="0.2">
      <c r="B61" s="214"/>
      <c r="C61" s="16" t="s">
        <v>65</v>
      </c>
      <c r="D61" s="16"/>
      <c r="E61" s="13">
        <f>Summary!$N$13</f>
        <v>54</v>
      </c>
      <c r="F61" s="16">
        <v>0</v>
      </c>
      <c r="G61" s="14">
        <f t="shared" ref="G61:G73" si="72">F61*E61</f>
        <v>0</v>
      </c>
      <c r="H61" s="33" t="s">
        <v>6</v>
      </c>
      <c r="I61" s="94">
        <f>SUMIF(C10:$C$46,C61,I10:$I$46)</f>
        <v>0</v>
      </c>
      <c r="J61" s="65">
        <f t="shared" ref="J61:J73" si="73">IF(I61="","-",I61*$G61)</f>
        <v>0</v>
      </c>
      <c r="K61" s="31" t="str">
        <f>IF(SUMIF($C$9:$C$18,$C61,K9:K$18)=0,"",SUMIF($C$9:$C$18,$C61,K$9:K$18))</f>
        <v/>
      </c>
      <c r="L61" s="65" t="str">
        <f t="shared" si="57"/>
        <v>-</v>
      </c>
      <c r="M61" s="8"/>
      <c r="N61" s="65" t="str">
        <f t="shared" si="58"/>
        <v>-</v>
      </c>
      <c r="O61" s="31" t="str">
        <f ca="1">IF(SUMIF($C$9:$C$18,$C61,O10:O$18)=0,"",SUMIF($C$9:$C$18,$C61,O$9:O$18))</f>
        <v/>
      </c>
      <c r="P61" s="65" t="str">
        <f t="shared" ca="1" si="59"/>
        <v>-</v>
      </c>
      <c r="Q61" s="31" t="str">
        <f ca="1">IF(SUMIF($C$9:$C$18,$C61,Q10:Q$18)=0,"",SUMIF($C$9:$C$18,$C61,Q$9:Q$18))</f>
        <v/>
      </c>
      <c r="R61" s="65" t="str">
        <f t="shared" ca="1" si="60"/>
        <v>-</v>
      </c>
      <c r="S61" s="31" t="str">
        <f ca="1">IF(SUMIF($C$9:$C$18,$C61,S10:S$18)=0,"",SUMIF($C$9:$C$18,$C61,S$9:S$18))</f>
        <v/>
      </c>
      <c r="T61" s="65" t="str">
        <f t="shared" ca="1" si="61"/>
        <v>-</v>
      </c>
      <c r="U61" s="31" t="str">
        <f ca="1">IF(SUMIF($C$9:$C$18,$C61,U10:U$18)=0,"",SUMIF($C$9:$C$18,$C61,U$9:U$18))</f>
        <v/>
      </c>
      <c r="V61" s="65" t="str">
        <f t="shared" ca="1" si="62"/>
        <v>-</v>
      </c>
      <c r="W61" s="31" t="str">
        <f ca="1">IF(SUMIF($C$9:$C$18,$C61,W10:W$18)=0,"",SUMIF($C$9:$C$18,$C61,W$9:W$18))</f>
        <v/>
      </c>
      <c r="X61" s="65" t="str">
        <f t="shared" ca="1" si="63"/>
        <v>-</v>
      </c>
      <c r="Y61" s="31" t="str">
        <f ca="1">IF(SUMIF($C$9:$C$18,$C61,Y10:Y$18)=0,"",SUMIF($C$9:$C$18,$C61,Y$9:Y$18))</f>
        <v/>
      </c>
      <c r="Z61" s="65" t="str">
        <f t="shared" ca="1" si="64"/>
        <v>-</v>
      </c>
      <c r="AA61" s="31" t="str">
        <f ca="1">IF(SUMIF($C$9:$C$18,$C61,AA10:AA$18)=0,"",SUMIF($C$9:$C$18,$C61,AA$9:AA$18))</f>
        <v/>
      </c>
      <c r="AB61" s="65" t="str">
        <f t="shared" ca="1" si="65"/>
        <v>-</v>
      </c>
      <c r="AC61" s="31" t="str">
        <f ca="1">IF(SUMIF($C$9:$C$18,$C61,AC10:AC$18)=0,"",SUMIF($C$9:$C$18,$C61,AC$9:AC$18))</f>
        <v/>
      </c>
      <c r="AD61" s="65" t="str">
        <f t="shared" ca="1" si="66"/>
        <v>-</v>
      </c>
      <c r="AE61" s="31" t="str">
        <f ca="1">IF(SUMIF($C$9:$C$18,$C61,AE10:AE$18)=0,"",SUMIF($C$9:$C$18,$C61,AE$9:AE$18))</f>
        <v/>
      </c>
      <c r="AF61" s="65" t="str">
        <f t="shared" ca="1" si="67"/>
        <v>-</v>
      </c>
      <c r="AG61" s="31" t="str">
        <f ca="1">IF(SUMIF($C$9:$C$18,$C61,AG10:AG$18)=0,"",SUMIF($C$9:$C$18,$C61,AG$9:AG$18))</f>
        <v/>
      </c>
      <c r="AH61" s="65" t="str">
        <f t="shared" ca="1" si="68"/>
        <v>-</v>
      </c>
      <c r="AI61" s="31" t="str">
        <f ca="1">IF(SUMIF($C$9:$C$18,$C61,AI10:AI$18)=0,"",SUMIF($C$9:$C$18,$C61,AI$9:AI$18))</f>
        <v/>
      </c>
      <c r="AJ61" s="65" t="str">
        <f t="shared" ca="1" si="69"/>
        <v>-</v>
      </c>
      <c r="AK61" s="31" t="str">
        <f ca="1">IF(SUMIF($C$9:$C$18,$C61,AK10:AK$18)=0,"",SUMIF($C$9:$C$18,$C61,AK$9:AK$18))</f>
        <v/>
      </c>
      <c r="AL61" s="65" t="str">
        <f t="shared" ca="1" si="70"/>
        <v>-</v>
      </c>
      <c r="AM61" s="31" t="str">
        <f ca="1">IF(SUMIF($C$9:$C$18,$C61,AM10:AM$18)=0,"",SUMIF($C$9:$C$18,$C61,AM$9:AM$18))</f>
        <v/>
      </c>
      <c r="AN61" s="65" t="str">
        <f t="shared" ca="1" si="71"/>
        <v>-</v>
      </c>
    </row>
    <row r="62" spans="2:40" ht="11.25" customHeight="1" thickBot="1" x14ac:dyDescent="0.2">
      <c r="B62" s="213"/>
      <c r="C62" s="18" t="s">
        <v>66</v>
      </c>
      <c r="D62" s="18"/>
      <c r="E62" s="13">
        <f>Summary!$N$13</f>
        <v>54</v>
      </c>
      <c r="F62" s="18">
        <v>0</v>
      </c>
      <c r="G62" s="14">
        <f t="shared" si="72"/>
        <v>0</v>
      </c>
      <c r="H62" s="34" t="s">
        <v>6</v>
      </c>
      <c r="I62" s="94">
        <f>SUMIF(C11:$C$46,C62,I11:$I$46)</f>
        <v>0</v>
      </c>
      <c r="J62" s="65">
        <f t="shared" si="73"/>
        <v>0</v>
      </c>
      <c r="K62" s="31" t="str">
        <f>IF(SUMIF($C$9:$C$18,$C62,K9:K$18)=0,"",SUMIF($C$9:$C$18,$C62,K$9:K$18))</f>
        <v/>
      </c>
      <c r="L62" s="65" t="str">
        <f t="shared" si="57"/>
        <v>-</v>
      </c>
      <c r="M62" s="8"/>
      <c r="N62" s="65" t="str">
        <f t="shared" si="58"/>
        <v>-</v>
      </c>
      <c r="O62" s="31" t="str">
        <f ca="1">IF(SUMIF($C$9:$C$18,$C62,O11:O$18)=0,"",SUMIF($C$9:$C$18,$C62,O$9:O$18))</f>
        <v/>
      </c>
      <c r="P62" s="65" t="str">
        <f t="shared" ca="1" si="59"/>
        <v>-</v>
      </c>
      <c r="Q62" s="31" t="str">
        <f ca="1">IF(SUMIF($C$9:$C$18,$C62,Q11:Q$18)=0,"",SUMIF($C$9:$C$18,$C62,Q$9:Q$18))</f>
        <v/>
      </c>
      <c r="R62" s="65" t="str">
        <f t="shared" ca="1" si="60"/>
        <v>-</v>
      </c>
      <c r="S62" s="31" t="str">
        <f ca="1">IF(SUMIF($C$9:$C$18,$C62,S11:S$18)=0,"",SUMIF($C$9:$C$18,$C62,S$9:S$18))</f>
        <v/>
      </c>
      <c r="T62" s="65" t="str">
        <f t="shared" ca="1" si="61"/>
        <v>-</v>
      </c>
      <c r="U62" s="31" t="str">
        <f ca="1">IF(SUMIF($C$9:$C$18,$C62,U11:U$18)=0,"",SUMIF($C$9:$C$18,$C62,U$9:U$18))</f>
        <v/>
      </c>
      <c r="V62" s="65" t="str">
        <f t="shared" ca="1" si="62"/>
        <v>-</v>
      </c>
      <c r="W62" s="31" t="str">
        <f ca="1">IF(SUMIF($C$9:$C$18,$C62,W11:W$18)=0,"",SUMIF($C$9:$C$18,$C62,W$9:W$18))</f>
        <v/>
      </c>
      <c r="X62" s="65" t="str">
        <f t="shared" ca="1" si="63"/>
        <v>-</v>
      </c>
      <c r="Y62" s="31" t="str">
        <f ca="1">IF(SUMIF($C$9:$C$18,$C62,Y11:Y$18)=0,"",SUMIF($C$9:$C$18,$C62,Y$9:Y$18))</f>
        <v/>
      </c>
      <c r="Z62" s="65" t="str">
        <f t="shared" ca="1" si="64"/>
        <v>-</v>
      </c>
      <c r="AA62" s="31" t="str">
        <f ca="1">IF(SUMIF($C$9:$C$18,$C62,AA11:AA$18)=0,"",SUMIF($C$9:$C$18,$C62,AA$9:AA$18))</f>
        <v/>
      </c>
      <c r="AB62" s="65" t="str">
        <f t="shared" ca="1" si="65"/>
        <v>-</v>
      </c>
      <c r="AC62" s="31" t="str">
        <f ca="1">IF(SUMIF($C$9:$C$18,$C62,AC11:AC$18)=0,"",SUMIF($C$9:$C$18,$C62,AC$9:AC$18))</f>
        <v/>
      </c>
      <c r="AD62" s="65" t="str">
        <f t="shared" ca="1" si="66"/>
        <v>-</v>
      </c>
      <c r="AE62" s="31" t="str">
        <f ca="1">IF(SUMIF($C$9:$C$18,$C62,AE11:AE$18)=0,"",SUMIF($C$9:$C$18,$C62,AE$9:AE$18))</f>
        <v/>
      </c>
      <c r="AF62" s="65" t="str">
        <f t="shared" ca="1" si="67"/>
        <v>-</v>
      </c>
      <c r="AG62" s="31" t="str">
        <f ca="1">IF(SUMIF($C$9:$C$18,$C62,AG11:AG$18)=0,"",SUMIF($C$9:$C$18,$C62,AG$9:AG$18))</f>
        <v/>
      </c>
      <c r="AH62" s="65" t="str">
        <f t="shared" ca="1" si="68"/>
        <v>-</v>
      </c>
      <c r="AI62" s="31" t="str">
        <f ca="1">IF(SUMIF($C$9:$C$18,$C62,AI11:AI$18)=0,"",SUMIF($C$9:$C$18,$C62,AI$9:AI$18))</f>
        <v/>
      </c>
      <c r="AJ62" s="65" t="str">
        <f t="shared" ca="1" si="69"/>
        <v>-</v>
      </c>
      <c r="AK62" s="31" t="str">
        <f ca="1">IF(SUMIF($C$9:$C$18,$C62,AK11:AK$18)=0,"",SUMIF($C$9:$C$18,$C62,AK$9:AK$18))</f>
        <v/>
      </c>
      <c r="AL62" s="65" t="str">
        <f t="shared" ca="1" si="70"/>
        <v>-</v>
      </c>
      <c r="AM62" s="31" t="str">
        <f ca="1">IF(SUMIF($C$9:$C$18,$C62,AM11:AM$18)=0,"",SUMIF($C$9:$C$18,$C62,AM$9:AM$18))</f>
        <v/>
      </c>
      <c r="AN62" s="65" t="str">
        <f t="shared" ca="1" si="71"/>
        <v>-</v>
      </c>
    </row>
    <row r="63" spans="2:40" ht="11.25" customHeight="1" thickBot="1" x14ac:dyDescent="0.2">
      <c r="B63" s="212" t="s">
        <v>37</v>
      </c>
      <c r="C63" s="13" t="s">
        <v>33</v>
      </c>
      <c r="D63" s="13"/>
      <c r="E63" s="13">
        <f>Summary!$N$13</f>
        <v>54</v>
      </c>
      <c r="F63" s="14">
        <f>INDEX(Summary!$F$19:$F$30,MATCH('Unit 2 a'!C63,Summary!$D$19:$D$30,0))</f>
        <v>0.5</v>
      </c>
      <c r="G63" s="14">
        <f t="shared" si="72"/>
        <v>27</v>
      </c>
      <c r="H63" s="32" t="s">
        <v>6</v>
      </c>
      <c r="I63" s="94">
        <f>SUMIF(C12:$C$46,C63,I12:$I$46)</f>
        <v>0</v>
      </c>
      <c r="J63" s="65">
        <f t="shared" si="73"/>
        <v>0</v>
      </c>
      <c r="K63" s="31" t="str">
        <f>IF(SUMIF($C$19:$C$20,$C$63,K$19:K$20)=0,"",SUMIF($C$19:$C$20,$C$63,K$19:K$20))</f>
        <v/>
      </c>
      <c r="L63" s="65" t="str">
        <f t="shared" si="57"/>
        <v>-</v>
      </c>
      <c r="M63" s="31" t="str">
        <f>IF(SUMIF($C$19:$C$20,$C$63,M$19:M$20)=0,"",SUMIF($C$19:$C$20,$C$63,M$19:M$20))</f>
        <v/>
      </c>
      <c r="N63" s="65" t="str">
        <f t="shared" si="58"/>
        <v>-</v>
      </c>
      <c r="O63" s="31" t="str">
        <f>IF(SUMIF($C$19:$C$20,$C$63,O$19:O$20)=0,"",SUMIF($C$19:$C$20,$C$63,O$19:O$20))</f>
        <v/>
      </c>
      <c r="P63" s="65" t="str">
        <f t="shared" si="59"/>
        <v>-</v>
      </c>
      <c r="Q63" s="31" t="str">
        <f>IF(SUMIF($C$19:$C$20,$C$63,Q$19:Q$20)=0,"",SUMIF($C$19:$C$20,$C$63,Q$19:Q$20))</f>
        <v/>
      </c>
      <c r="R63" s="65" t="str">
        <f>IF(Q63="","-",Q63*$G63)</f>
        <v>-</v>
      </c>
      <c r="S63" s="31" t="str">
        <f>IF(SUMIF($C$19:$C$20,$C$63,S$19:S$20)=0,"",SUMIF($C$19:$C$20,$C$63,S$19:S$20))</f>
        <v/>
      </c>
      <c r="T63" s="65" t="str">
        <f>IF(S63="","-",S63*$G63)</f>
        <v>-</v>
      </c>
      <c r="U63" s="31" t="str">
        <f>IF(SUMIF($C$19:$C$20,$C$63,U$19:U$20)=0,"",SUMIF($C$19:$C$20,$C$63,U$19:U$20))</f>
        <v/>
      </c>
      <c r="V63" s="65" t="str">
        <f>IF(U63="","-",U63*$G63)</f>
        <v>-</v>
      </c>
      <c r="W63" s="31" t="str">
        <f>IF(SUMIF($C$19:$C$20,$C$63,W$19:W$20)=0,"",SUMIF($C$19:$C$20,$C$63,W$19:W$20))</f>
        <v/>
      </c>
      <c r="X63" s="65" t="str">
        <f>IF(W63="","-",W63*$G63)</f>
        <v>-</v>
      </c>
      <c r="Y63" s="31" t="str">
        <f>IF(SUMIF($C$19:$C$20,$C$63,Y$19:Y$20)=0,"",SUMIF($C$19:$C$20,$C$63,Y$19:Y$20))</f>
        <v/>
      </c>
      <c r="Z63" s="65" t="str">
        <f>IF(Y63="","-",Y63*$G63)</f>
        <v>-</v>
      </c>
      <c r="AA63" s="31" t="str">
        <f>IF(SUMIF($C$19:$C$20,$C$63,AA$19:AA$20)=0,"",SUMIF($C$19:$C$20,$C$63,AA$19:AA$20))</f>
        <v/>
      </c>
      <c r="AB63" s="65" t="str">
        <f>IF(AA63="","-",AA63*$G63)</f>
        <v>-</v>
      </c>
      <c r="AC63" s="31" t="str">
        <f>IF(SUMIF($C$19:$C$20,$C$63,AC$19:AC$20)=0,"",SUMIF($C$19:$C$20,$C$63,AC$19:AC$20))</f>
        <v/>
      </c>
      <c r="AD63" s="65" t="str">
        <f>IF(AC63="","-",AC63*$G63)</f>
        <v>-</v>
      </c>
      <c r="AE63" s="31" t="str">
        <f>IF(SUMIF($C$19:$C$20,$C$63,AE$19:AE$20)=0,"",SUMIF($C$19:$C$20,$C$63,AE$19:AE$20))</f>
        <v/>
      </c>
      <c r="AF63" s="65" t="str">
        <f>IF(AE63="","-",AE63*$G63)</f>
        <v>-</v>
      </c>
      <c r="AG63" s="31" t="str">
        <f>IF(SUMIF($C$19:$C$20,$C$63,AG$19:AG$20)=0,"",SUMIF($C$19:$C$20,$C$63,AG$19:AG$20))</f>
        <v/>
      </c>
      <c r="AH63" s="65" t="str">
        <f>IF(AG63="","-",AG63*$G63)</f>
        <v>-</v>
      </c>
      <c r="AI63" s="31" t="str">
        <f>IF(SUMIF($C$19:$C$20,$C$63,AI$19:AI$20)=0,"",SUMIF($C$19:$C$20,$C$63,AI$19:AI$20))</f>
        <v/>
      </c>
      <c r="AJ63" s="65" t="str">
        <f>IF(AI63="","-",AI63*$G63)</f>
        <v>-</v>
      </c>
      <c r="AK63" s="31" t="str">
        <f>IF(SUMIF($C$19:$C$20,$C$63,AK$19:AK$20)=0,"",SUMIF($C$19:$C$20,$C$63,AK$19:AK$20))</f>
        <v/>
      </c>
      <c r="AL63" s="65" t="str">
        <f>IF(AK63="","-",AK63*$G63)</f>
        <v>-</v>
      </c>
      <c r="AM63" s="31" t="str">
        <f>IF(SUMIF($C$19:$C$20,$C$63,AM$19:AM$20)=0,"",SUMIF($C$19:$C$20,$C$63,AM$19:AM$20))</f>
        <v/>
      </c>
      <c r="AN63" s="65" t="str">
        <f>IF(AM63="","-",AM63*$G63)</f>
        <v>-</v>
      </c>
    </row>
    <row r="64" spans="2:40" ht="11.25" customHeight="1" thickBot="1" x14ac:dyDescent="0.2">
      <c r="B64" s="213"/>
      <c r="C64" s="18" t="s">
        <v>34</v>
      </c>
      <c r="D64" s="18"/>
      <c r="E64" s="13">
        <f>Summary!$N$13</f>
        <v>54</v>
      </c>
      <c r="F64" s="14">
        <f>INDEX(Summary!$F$19:$F$30,MATCH('Unit 2 a'!C64,Summary!$D$19:$D$30,0))</f>
        <v>0.5</v>
      </c>
      <c r="G64" s="14">
        <f t="shared" si="72"/>
        <v>27</v>
      </c>
      <c r="H64" s="34" t="s">
        <v>6</v>
      </c>
      <c r="I64" s="94">
        <f>SUMIF(C13:$C$46,C64,I13:$I$46)</f>
        <v>0</v>
      </c>
      <c r="J64" s="65">
        <f t="shared" si="73"/>
        <v>0</v>
      </c>
      <c r="K64" s="31" t="str">
        <f>IF(SUMIF($C$19:$C$20,$C$64,K$19:K$20)=0,"",SUMIF($C$19:$C$20,$C$64,K$19:K$20))</f>
        <v/>
      </c>
      <c r="L64" s="65" t="str">
        <f t="shared" si="57"/>
        <v>-</v>
      </c>
      <c r="M64" s="31" t="str">
        <f>IF(SUMIF($C$19:$C$20,$C$64,M$19:M$20)=0,"",SUMIF($C$19:$C$20,$C$64,M$19:M$20))</f>
        <v/>
      </c>
      <c r="N64" s="65" t="str">
        <f t="shared" si="58"/>
        <v>-</v>
      </c>
      <c r="O64" s="31" t="str">
        <f>IF(SUMIF($C$19:$C$20,$C$64,O$19:O$20)=0,"",SUMIF($C$19:$C$20,$C$64,O$19:O$20))</f>
        <v/>
      </c>
      <c r="P64" s="65" t="str">
        <f t="shared" si="59"/>
        <v>-</v>
      </c>
      <c r="Q64" s="31" t="str">
        <f>IF(SUMIF($C$19:$C$20,$C$64,Q$19:Q$20)=0,"",SUMIF($C$19:$C$20,$C$64,Q$19:Q$20))</f>
        <v/>
      </c>
      <c r="R64" s="65" t="str">
        <f>IF(Q64="","-",Q64*$G64)</f>
        <v>-</v>
      </c>
      <c r="S64" s="31" t="str">
        <f>IF(SUMIF($C$19:$C$20,$C$64,S$19:S$20)=0,"",SUMIF($C$19:$C$20,$C$64,S$19:S$20))</f>
        <v/>
      </c>
      <c r="T64" s="65" t="str">
        <f>IF(S64="","-",S64*$G64)</f>
        <v>-</v>
      </c>
      <c r="U64" s="31" t="str">
        <f>IF(SUMIF($C$19:$C$20,$C$64,U$19:U$20)=0,"",SUMIF($C$19:$C$20,$C$64,U$19:U$20))</f>
        <v/>
      </c>
      <c r="V64" s="65" t="str">
        <f>IF(U64="","-",U64*$G64)</f>
        <v>-</v>
      </c>
      <c r="W64" s="31" t="str">
        <f>IF(SUMIF($C$19:$C$20,$C$64,W$19:W$20)=0,"",SUMIF($C$19:$C$20,$C$64,W$19:W$20))</f>
        <v/>
      </c>
      <c r="X64" s="65" t="str">
        <f>IF(W64="","-",W64*$G64)</f>
        <v>-</v>
      </c>
      <c r="Y64" s="31" t="str">
        <f>IF(SUMIF($C$19:$C$20,$C$64,Y$19:Y$20)=0,"",SUMIF($C$19:$C$20,$C$64,Y$19:Y$20))</f>
        <v/>
      </c>
      <c r="Z64" s="65" t="str">
        <f>IF(Y64="","-",Y64*$G64)</f>
        <v>-</v>
      </c>
      <c r="AA64" s="31" t="str">
        <f>IF(SUMIF($C$19:$C$20,$C$64,AA$19:AA$20)=0,"",SUMIF($C$19:$C$20,$C$64,AA$19:AA$20))</f>
        <v/>
      </c>
      <c r="AB64" s="65" t="str">
        <f>IF(AA64="","-",AA64*$G64)</f>
        <v>-</v>
      </c>
      <c r="AC64" s="31" t="str">
        <f>IF(SUMIF($C$19:$C$20,$C$64,AC$19:AC$20)=0,"",SUMIF($C$19:$C$20,$C$64,AC$19:AC$20))</f>
        <v/>
      </c>
      <c r="AD64" s="65" t="str">
        <f>IF(AC64="","-",AC64*$G64)</f>
        <v>-</v>
      </c>
      <c r="AE64" s="31" t="str">
        <f>IF(SUMIF($C$19:$C$20,$C$64,AE$19:AE$20)=0,"",SUMIF($C$19:$C$20,$C$64,AE$19:AE$20))</f>
        <v/>
      </c>
      <c r="AF64" s="65" t="str">
        <f>IF(AE64="","-",AE64*$G64)</f>
        <v>-</v>
      </c>
      <c r="AG64" s="31" t="str">
        <f>IF(SUMIF($C$19:$C$20,$C$64,AG$19:AG$20)=0,"",SUMIF($C$19:$C$20,$C$64,AG$19:AG$20))</f>
        <v/>
      </c>
      <c r="AH64" s="65" t="str">
        <f>IF(AG64="","-",AG64*$G64)</f>
        <v>-</v>
      </c>
      <c r="AI64" s="31" t="str">
        <f>IF(SUMIF($C$19:$C$20,$C$64,AI$19:AI$20)=0,"",SUMIF($C$19:$C$20,$C$64,AI$19:AI$20))</f>
        <v/>
      </c>
      <c r="AJ64" s="65" t="str">
        <f>IF(AI64="","-",AI64*$G64)</f>
        <v>-</v>
      </c>
      <c r="AK64" s="31" t="str">
        <f>IF(SUMIF($C$19:$C$20,$C$64,AK$19:AK$20)=0,"",SUMIF($C$19:$C$20,$C$64,AK$19:AK$20))</f>
        <v/>
      </c>
      <c r="AL64" s="65" t="str">
        <f>IF(AK64="","-",AK64*$G64)</f>
        <v>-</v>
      </c>
      <c r="AM64" s="31" t="str">
        <f>IF(SUMIF($C$19:$C$20,$C$64,AM$19:AM$20)=0,"",SUMIF($C$19:$C$20,$C$64,AM$19:AM$20))</f>
        <v/>
      </c>
      <c r="AN64" s="65" t="str">
        <f>IF(AM64="","-",AM64*$G64)</f>
        <v>-</v>
      </c>
    </row>
    <row r="65" spans="2:40" ht="11.25" customHeight="1" thickBot="1" x14ac:dyDescent="0.2">
      <c r="B65" s="212" t="s">
        <v>83</v>
      </c>
      <c r="C65" s="13" t="s">
        <v>38</v>
      </c>
      <c r="D65" s="13"/>
      <c r="E65" s="13">
        <f>Summary!$N$13</f>
        <v>54</v>
      </c>
      <c r="F65" s="14">
        <f>INDEX(Summary!$F$19:$F$30,MATCH('Unit 2 a'!C65,Summary!$D$19:$D$30,0))</f>
        <v>7.6999999999999999E-2</v>
      </c>
      <c r="G65" s="14">
        <f t="shared" si="72"/>
        <v>4.1580000000000004</v>
      </c>
      <c r="H65" s="32" t="s">
        <v>6</v>
      </c>
      <c r="I65" s="94">
        <f>SUMIF(C21:$C$36,C65,I21:$I$36)</f>
        <v>0</v>
      </c>
      <c r="J65" s="65">
        <f t="shared" si="73"/>
        <v>0</v>
      </c>
      <c r="K65" s="31" t="str">
        <f>IF(SUMIF($C$19:$C$36,$C65,K$19:K$36)=0,"",SUMIF($C$19:$C$36,$C65,K$19:K$36))</f>
        <v/>
      </c>
      <c r="L65" s="65" t="str">
        <f t="shared" si="57"/>
        <v>-</v>
      </c>
      <c r="M65" s="31" t="str">
        <f>IF(SUMIF($C$19:$C$36,$C65,M$19:M$36)=0,"",SUMIF($C$19:$C$36,$C65,M$19:M$36))</f>
        <v/>
      </c>
      <c r="N65" s="65" t="str">
        <f t="shared" si="58"/>
        <v>-</v>
      </c>
      <c r="O65" s="31" t="str">
        <f>IF(SUMIF($C$19:$C$36,$C65,O$19:O$36)=0,"",SUMIF($C$19:$C$36,$C65,O$19:O$36))</f>
        <v/>
      </c>
      <c r="P65" s="65" t="str">
        <f t="shared" si="59"/>
        <v>-</v>
      </c>
      <c r="Q65" s="31" t="str">
        <f>IF(SUMIF($C$19:$C$36,$C65,Q$19:Q$36)=0,"",SUMIF($C$19:$C$36,$C65,Q$19:Q$36))</f>
        <v/>
      </c>
      <c r="R65" s="65" t="str">
        <f>IF(Q65="","-",Q65*$G65)</f>
        <v>-</v>
      </c>
      <c r="S65" s="31" t="str">
        <f>IF(SUMIF($C$19:$C$36,$C65,S$19:S$36)=0,"",SUMIF($C$19:$C$36,$C65,S$19:S$36))</f>
        <v/>
      </c>
      <c r="T65" s="65" t="str">
        <f>IF(S65="","-",S65*$G65)</f>
        <v>-</v>
      </c>
      <c r="U65" s="31" t="str">
        <f>IF(SUMIF($C$19:$C$36,$C65,U$19:U$36)=0,"",SUMIF($C$19:$C$36,$C65,U$19:U$36))</f>
        <v/>
      </c>
      <c r="V65" s="65" t="str">
        <f>IF(U65="","-",U65*$G65)</f>
        <v>-</v>
      </c>
      <c r="W65" s="31" t="str">
        <f>IF(SUMIF($C$19:$C$36,$C65,W$19:W$36)=0,"",SUMIF($C$19:$C$36,$C65,W$19:W$36))</f>
        <v/>
      </c>
      <c r="X65" s="65" t="str">
        <f>IF(W65="","-",W65*$G65)</f>
        <v>-</v>
      </c>
      <c r="Y65" s="31" t="str">
        <f>IF(SUMIF($C$19:$C$36,$C65,Y$19:Y$36)=0,"",SUMIF($C$19:$C$36,$C65,Y$19:Y$36))</f>
        <v/>
      </c>
      <c r="Z65" s="65" t="str">
        <f>IF(Y65="","-",Y65*$G65)</f>
        <v>-</v>
      </c>
      <c r="AA65" s="31" t="str">
        <f>IF(SUMIF($C$19:$C$36,$C65,AA$19:AA$36)=0,"",SUMIF($C$19:$C$36,$C65,AA$19:AA$36))</f>
        <v/>
      </c>
      <c r="AB65" s="65" t="str">
        <f>IF(AA65="","-",AA65*$G65)</f>
        <v>-</v>
      </c>
      <c r="AC65" s="31" t="str">
        <f>IF(SUMIF($C$19:$C$36,$C65,AC$19:AC$36)=0,"",SUMIF($C$19:$C$36,$C65,AC$19:AC$36))</f>
        <v/>
      </c>
      <c r="AD65" s="65" t="str">
        <f>IF(AC65="","-",AC65*$G65)</f>
        <v>-</v>
      </c>
      <c r="AE65" s="31" t="str">
        <f>IF(SUMIF($C$19:$C$36,$C65,AE$19:AE$36)=0,"",SUMIF($C$19:$C$36,$C65,AE$19:AE$36))</f>
        <v/>
      </c>
      <c r="AF65" s="65" t="str">
        <f>IF(AE65="","-",AE65*$G65)</f>
        <v>-</v>
      </c>
      <c r="AG65" s="31" t="str">
        <f>IF(SUMIF($C$19:$C$36,$C65,AG$19:AG$36)=0,"",SUMIF($C$19:$C$36,$C65,AG$19:AG$36))</f>
        <v/>
      </c>
      <c r="AH65" s="65" t="str">
        <f>IF(AG65="","-",AG65*$G65)</f>
        <v>-</v>
      </c>
      <c r="AI65" s="31" t="str">
        <f>IF(SUMIF($C$19:$C$36,$C65,AI$19:AI$36)=0,"",SUMIF($C$19:$C$36,$C65,AI$19:AI$36))</f>
        <v/>
      </c>
      <c r="AJ65" s="65" t="str">
        <f>IF(AI65="","-",AI65*$G65)</f>
        <v>-</v>
      </c>
      <c r="AK65" s="31" t="str">
        <f>IF(SUMIF($C$19:$C$36,$C65,AK$19:AK$36)=0,"",SUMIF($C$19:$C$36,$C65,AK$19:AK$36))</f>
        <v/>
      </c>
      <c r="AL65" s="65" t="str">
        <f>IF(AK65="","-",AK65*$G65)</f>
        <v>-</v>
      </c>
      <c r="AM65" s="31" t="str">
        <f>IF(SUMIF($C$19:$C$36,$C65,AM$19:AM$36)=0,"",SUMIF($C$19:$C$36,$C65,AM$19:AM$36))</f>
        <v/>
      </c>
      <c r="AN65" s="65" t="str">
        <f>IF(AM65="","-",AM65*$G65)</f>
        <v>-</v>
      </c>
    </row>
    <row r="66" spans="2:40" ht="11.25" customHeight="1" thickBot="1" x14ac:dyDescent="0.2">
      <c r="B66" s="214"/>
      <c r="C66" s="16" t="s">
        <v>39</v>
      </c>
      <c r="D66" s="16"/>
      <c r="E66" s="13">
        <f>Summary!$N$13</f>
        <v>54</v>
      </c>
      <c r="F66" s="14">
        <f>INDEX(Summary!$F$19:$F$30,MATCH('Unit 2 a'!C66,Summary!$D$19:$D$30,0))</f>
        <v>6.7000000000000004E-2</v>
      </c>
      <c r="G66" s="14">
        <f t="shared" si="72"/>
        <v>3.6180000000000003</v>
      </c>
      <c r="H66" s="33" t="s">
        <v>6</v>
      </c>
      <c r="I66" s="94">
        <f>SUMIF(C15:$C$46,C66,I15:$I$46)</f>
        <v>0</v>
      </c>
      <c r="J66" s="65">
        <f t="shared" si="73"/>
        <v>0</v>
      </c>
      <c r="K66" s="31" t="str">
        <f t="shared" ref="K66:AM66" si="74">IF(SUMIF($C$19:$C$36,$C66,K$19:K$36)=0,"",SUMIF($C$19:$C$36,$C66,K$19:K$36))</f>
        <v/>
      </c>
      <c r="L66" s="65" t="str">
        <f t="shared" ref="L66:AN69" si="75">IF(K66="","-",K66*$G66)</f>
        <v>-</v>
      </c>
      <c r="M66" s="31" t="str">
        <f t="shared" si="74"/>
        <v/>
      </c>
      <c r="N66" s="65" t="str">
        <f t="shared" ref="N66:N67" si="76">IF(M66="","-",M66*$G66)</f>
        <v>-</v>
      </c>
      <c r="O66" s="31" t="str">
        <f t="shared" si="74"/>
        <v/>
      </c>
      <c r="P66" s="65" t="str">
        <f t="shared" ref="P66:P67" si="77">IF(O66="","-",O66*$G66)</f>
        <v>-</v>
      </c>
      <c r="Q66" s="31" t="str">
        <f t="shared" si="74"/>
        <v/>
      </c>
      <c r="R66" s="65" t="str">
        <f t="shared" ref="R66:R67" si="78">IF(Q66="","-",Q66*$G66)</f>
        <v>-</v>
      </c>
      <c r="S66" s="31" t="str">
        <f t="shared" si="74"/>
        <v/>
      </c>
      <c r="T66" s="65" t="str">
        <f t="shared" ref="T66:T67" si="79">IF(S66="","-",S66*$G66)</f>
        <v>-</v>
      </c>
      <c r="U66" s="31" t="str">
        <f t="shared" si="74"/>
        <v/>
      </c>
      <c r="V66" s="65" t="str">
        <f t="shared" ref="V66:V67" si="80">IF(U66="","-",U66*$G66)</f>
        <v>-</v>
      </c>
      <c r="W66" s="31" t="str">
        <f t="shared" si="74"/>
        <v/>
      </c>
      <c r="X66" s="65" t="str">
        <f t="shared" ref="X66:X67" si="81">IF(W66="","-",W66*$G66)</f>
        <v>-</v>
      </c>
      <c r="Y66" s="31" t="str">
        <f t="shared" si="74"/>
        <v/>
      </c>
      <c r="Z66" s="65" t="str">
        <f t="shared" ref="Z66:Z67" si="82">IF(Y66="","-",Y66*$G66)</f>
        <v>-</v>
      </c>
      <c r="AA66" s="31" t="str">
        <f t="shared" si="74"/>
        <v/>
      </c>
      <c r="AB66" s="65" t="str">
        <f t="shared" ref="AB66:AB67" si="83">IF(AA66="","-",AA66*$G66)</f>
        <v>-</v>
      </c>
      <c r="AC66" s="31" t="str">
        <f t="shared" si="74"/>
        <v/>
      </c>
      <c r="AD66" s="65" t="str">
        <f t="shared" ref="AD66:AD67" si="84">IF(AC66="","-",AC66*$G66)</f>
        <v>-</v>
      </c>
      <c r="AE66" s="31" t="str">
        <f t="shared" si="74"/>
        <v/>
      </c>
      <c r="AF66" s="65" t="str">
        <f t="shared" ref="AF66:AF67" si="85">IF(AE66="","-",AE66*$G66)</f>
        <v>-</v>
      </c>
      <c r="AG66" s="31" t="str">
        <f t="shared" si="74"/>
        <v/>
      </c>
      <c r="AH66" s="65" t="str">
        <f t="shared" ref="AH66:AH67" si="86">IF(AG66="","-",AG66*$G66)</f>
        <v>-</v>
      </c>
      <c r="AI66" s="31" t="str">
        <f t="shared" si="74"/>
        <v/>
      </c>
      <c r="AJ66" s="65" t="str">
        <f t="shared" ref="AJ66:AJ67" si="87">IF(AI66="","-",AI66*$G66)</f>
        <v>-</v>
      </c>
      <c r="AK66" s="31" t="str">
        <f t="shared" si="74"/>
        <v/>
      </c>
      <c r="AL66" s="65" t="str">
        <f t="shared" ref="AL66:AL67" si="88">IF(AK66="","-",AK66*$G66)</f>
        <v>-</v>
      </c>
      <c r="AM66" s="31" t="str">
        <f t="shared" si="74"/>
        <v/>
      </c>
      <c r="AN66" s="65" t="str">
        <f t="shared" ref="AN66:AN67" si="89">IF(AM66="","-",AM66*$G66)</f>
        <v>-</v>
      </c>
    </row>
    <row r="67" spans="2:40" ht="11.25" customHeight="1" thickBot="1" x14ac:dyDescent="0.2">
      <c r="B67" s="214"/>
      <c r="C67" s="16" t="s">
        <v>40</v>
      </c>
      <c r="D67" s="16"/>
      <c r="E67" s="13">
        <f>Summary!$N$13</f>
        <v>54</v>
      </c>
      <c r="F67" s="14">
        <f>INDEX(Summary!$F$19:$F$30,MATCH('Unit 2 a'!C67,Summary!$D$19:$D$30,0))</f>
        <v>5.2999999999999999E-2</v>
      </c>
      <c r="G67" s="14">
        <f t="shared" si="72"/>
        <v>2.8620000000000001</v>
      </c>
      <c r="H67" s="33" t="s">
        <v>6</v>
      </c>
      <c r="I67" s="94">
        <f>SUMIF(C16:$C$46,C67,I16:$I$46)</f>
        <v>0</v>
      </c>
      <c r="J67" s="65">
        <f t="shared" si="73"/>
        <v>0</v>
      </c>
      <c r="K67" s="31" t="str">
        <f>IF(SUMIF($C$19:$C$41,$C67,K$19:K$41)=0,"",SUMIF($C$19:$C$41,$C67,K$19:K$41))</f>
        <v/>
      </c>
      <c r="L67" s="65" t="str">
        <f t="shared" si="75"/>
        <v>-</v>
      </c>
      <c r="M67" s="31" t="str">
        <f>IF(SUMIF($C$19:$C$41,$C67,M$19:M$41)=0,"",SUMIF($C$19:$C$41,$C67,M$19:M$41))</f>
        <v/>
      </c>
      <c r="N67" s="65" t="str">
        <f t="shared" si="76"/>
        <v>-</v>
      </c>
      <c r="O67" s="31" t="str">
        <f>IF(SUMIF($C$19:$C$41,$C67,O$19:O$41)=0,"",SUMIF($C$19:$C$41,$C67,O$19:O$41))</f>
        <v/>
      </c>
      <c r="P67" s="65" t="str">
        <f t="shared" si="77"/>
        <v>-</v>
      </c>
      <c r="Q67" s="31" t="str">
        <f>IF(SUMIF($C$19:$C$41,$C67,Q$19:Q$41)=0,"",SUMIF($C$19:$C$41,$C67,Q$19:Q$41))</f>
        <v/>
      </c>
      <c r="R67" s="65" t="str">
        <f t="shared" si="78"/>
        <v>-</v>
      </c>
      <c r="S67" s="31" t="str">
        <f>IF(SUMIF($C$19:$C$41,$C67,S$19:S$41)=0,"",SUMIF($C$19:$C$41,$C67,S$19:S$41))</f>
        <v/>
      </c>
      <c r="T67" s="65" t="str">
        <f t="shared" si="79"/>
        <v>-</v>
      </c>
      <c r="U67" s="31" t="str">
        <f>IF(SUMIF($C$19:$C$41,$C67,U$19:U$41)=0,"",SUMIF($C$19:$C$41,$C67,U$19:U$41))</f>
        <v/>
      </c>
      <c r="V67" s="65" t="str">
        <f t="shared" si="80"/>
        <v>-</v>
      </c>
      <c r="W67" s="31" t="str">
        <f>IF(SUMIF($C$19:$C$41,$C67,W$19:W$41)=0,"",SUMIF($C$19:$C$41,$C67,W$19:W$41))</f>
        <v/>
      </c>
      <c r="X67" s="65" t="str">
        <f t="shared" si="81"/>
        <v>-</v>
      </c>
      <c r="Y67" s="31" t="str">
        <f>IF(SUMIF($C$19:$C$41,$C67,Y$19:Y$41)=0,"",SUMIF($C$19:$C$41,$C67,Y$19:Y$41))</f>
        <v/>
      </c>
      <c r="Z67" s="65" t="str">
        <f t="shared" si="82"/>
        <v>-</v>
      </c>
      <c r="AA67" s="31" t="str">
        <f>IF(SUMIF($C$19:$C$41,$C67,AA$19:AA$41)=0,"",SUMIF($C$19:$C$41,$C67,AA$19:AA$41))</f>
        <v/>
      </c>
      <c r="AB67" s="65" t="str">
        <f t="shared" si="83"/>
        <v>-</v>
      </c>
      <c r="AC67" s="31" t="str">
        <f>IF(SUMIF($C$19:$C$41,$C67,AC$19:AC$41)=0,"",SUMIF($C$19:$C$41,$C67,AC$19:AC$41))</f>
        <v/>
      </c>
      <c r="AD67" s="65" t="str">
        <f t="shared" si="84"/>
        <v>-</v>
      </c>
      <c r="AE67" s="31" t="str">
        <f>IF(SUMIF($C$19:$C$41,$C67,AE$19:AE$41)=0,"",SUMIF($C$19:$C$41,$C67,AE$19:AE$41))</f>
        <v/>
      </c>
      <c r="AF67" s="65" t="str">
        <f t="shared" si="85"/>
        <v>-</v>
      </c>
      <c r="AG67" s="31" t="str">
        <f>IF(SUMIF($C$19:$C$41,$C67,AG$19:AG$41)=0,"",SUMIF($C$19:$C$41,$C67,AG$19:AG$41))</f>
        <v/>
      </c>
      <c r="AH67" s="65" t="str">
        <f t="shared" si="86"/>
        <v>-</v>
      </c>
      <c r="AI67" s="31" t="str">
        <f>IF(SUMIF($C$19:$C$41,$C67,AI$19:AI$41)=0,"",SUMIF($C$19:$C$41,$C67,AI$19:AI$41))</f>
        <v/>
      </c>
      <c r="AJ67" s="65" t="str">
        <f t="shared" si="87"/>
        <v>-</v>
      </c>
      <c r="AK67" s="31" t="str">
        <f>IF(SUMIF($C$19:$C$41,$C67,AK$19:AK$41)=0,"",SUMIF($C$19:$C$41,$C67,AK$19:AK$41))</f>
        <v/>
      </c>
      <c r="AL67" s="65" t="str">
        <f t="shared" si="88"/>
        <v>-</v>
      </c>
      <c r="AM67" s="31" t="str">
        <f>IF(SUMIF($C$19:$C$41,$C67,AM$19:AM$41)=0,"",SUMIF($C$19:$C$41,$C67,AM$19:AM$41))</f>
        <v/>
      </c>
      <c r="AN67" s="65" t="str">
        <f t="shared" si="89"/>
        <v>-</v>
      </c>
    </row>
    <row r="68" spans="2:40" ht="11.25" customHeight="1" thickBot="1" x14ac:dyDescent="0.2">
      <c r="B68" s="214"/>
      <c r="C68" s="16" t="s">
        <v>38</v>
      </c>
      <c r="D68" s="16" t="s">
        <v>46</v>
      </c>
      <c r="E68" s="16">
        <v>27</v>
      </c>
      <c r="F68" s="14">
        <f>INDEX(Summary!$F$19:$F$30,MATCH('Unit 2 a'!C68,Summary!$D$19:$D$30,0))</f>
        <v>7.6999999999999999E-2</v>
      </c>
      <c r="G68" s="14">
        <f t="shared" si="72"/>
        <v>2.0790000000000002</v>
      </c>
      <c r="H68" s="33" t="s">
        <v>6</v>
      </c>
      <c r="I68" s="94">
        <f>SUMIF(C38:$C$39,C68,I38:$I$39)</f>
        <v>0</v>
      </c>
      <c r="J68" s="65">
        <f t="shared" si="73"/>
        <v>0</v>
      </c>
      <c r="K68" s="31" t="str">
        <f>IF(SUM(K38:K39)=0,"",SUM(K38:K39))</f>
        <v/>
      </c>
      <c r="L68" s="65" t="str">
        <f t="shared" si="75"/>
        <v>-</v>
      </c>
      <c r="M68" s="31" t="str">
        <f>IF(SUM(M38:M39)=0,"",SUM(M38:M39))</f>
        <v/>
      </c>
      <c r="N68" s="65" t="str">
        <f t="shared" si="75"/>
        <v>-</v>
      </c>
      <c r="O68" s="31" t="str">
        <f>IF(SUM(O38:O39)=0,"",SUM(O38:O39))</f>
        <v/>
      </c>
      <c r="P68" s="65" t="str">
        <f t="shared" si="75"/>
        <v>-</v>
      </c>
      <c r="Q68" s="31" t="str">
        <f>IF(SUM(Q38:Q39)=0,"",SUM(Q38:Q39))</f>
        <v/>
      </c>
      <c r="R68" s="65" t="str">
        <f t="shared" si="75"/>
        <v>-</v>
      </c>
      <c r="S68" s="31" t="str">
        <f>IF(SUM(S38:S39)=0,"",SUM(S38:S39))</f>
        <v/>
      </c>
      <c r="T68" s="65" t="str">
        <f t="shared" si="75"/>
        <v>-</v>
      </c>
      <c r="U68" s="31" t="str">
        <f>IF(SUM(U38:U39)=0,"",SUM(U38:U39))</f>
        <v/>
      </c>
      <c r="V68" s="65" t="str">
        <f t="shared" si="75"/>
        <v>-</v>
      </c>
      <c r="W68" s="31" t="str">
        <f>IF(SUM(W38:W39)=0,"",SUM(W38:W39))</f>
        <v/>
      </c>
      <c r="X68" s="65" t="str">
        <f t="shared" si="75"/>
        <v>-</v>
      </c>
      <c r="Y68" s="31" t="str">
        <f>IF(SUM(Y38:Y39)=0,"",SUM(Y38:Y39))</f>
        <v/>
      </c>
      <c r="Z68" s="65" t="str">
        <f t="shared" si="75"/>
        <v>-</v>
      </c>
      <c r="AA68" s="31" t="str">
        <f>IF(SUM(AA38:AA39)=0,"",SUM(AA38:AA39))</f>
        <v/>
      </c>
      <c r="AB68" s="65" t="str">
        <f t="shared" si="75"/>
        <v>-</v>
      </c>
      <c r="AC68" s="31" t="str">
        <f>IF(SUM(AC38:AC39)=0,"",SUM(AC38:AC39))</f>
        <v/>
      </c>
      <c r="AD68" s="65" t="str">
        <f t="shared" si="75"/>
        <v>-</v>
      </c>
      <c r="AE68" s="31" t="str">
        <f>IF(SUM(AE38:AE39)=0,"",SUM(AE38:AE39))</f>
        <v/>
      </c>
      <c r="AF68" s="65" t="str">
        <f t="shared" si="75"/>
        <v>-</v>
      </c>
      <c r="AG68" s="31" t="str">
        <f>IF(SUM(AG38:AG39)=0,"",SUM(AG38:AG39))</f>
        <v/>
      </c>
      <c r="AH68" s="65" t="str">
        <f t="shared" si="75"/>
        <v>-</v>
      </c>
      <c r="AI68" s="31" t="str">
        <f>IF(SUM(AI38:AI39)=0,"",SUM(AI38:AI39))</f>
        <v/>
      </c>
      <c r="AJ68" s="65" t="str">
        <f t="shared" si="75"/>
        <v>-</v>
      </c>
      <c r="AK68" s="31" t="str">
        <f>IF(SUM(AK38:AK39)=0,"",SUM(AK38:AK39))</f>
        <v/>
      </c>
      <c r="AL68" s="65" t="str">
        <f t="shared" si="75"/>
        <v>-</v>
      </c>
      <c r="AM68" s="31" t="str">
        <f>IF(SUM(AM38:AM39)=0,"",SUM(AM38:AM39))</f>
        <v/>
      </c>
      <c r="AN68" s="65" t="str">
        <f t="shared" si="75"/>
        <v>-</v>
      </c>
    </row>
    <row r="69" spans="2:40" ht="11.25" customHeight="1" thickBot="1" x14ac:dyDescent="0.2">
      <c r="B69" s="213"/>
      <c r="C69" s="18" t="s">
        <v>39</v>
      </c>
      <c r="D69" s="18" t="s">
        <v>45</v>
      </c>
      <c r="E69" s="18">
        <v>27</v>
      </c>
      <c r="F69" s="14">
        <f>INDEX(Summary!$F$19:$F$30,MATCH('Unit 2 a'!C69,Summary!$D$19:$D$30,0))</f>
        <v>6.7000000000000004E-2</v>
      </c>
      <c r="G69" s="14">
        <f t="shared" si="72"/>
        <v>1.8090000000000002</v>
      </c>
      <c r="H69" s="34" t="s">
        <v>6</v>
      </c>
      <c r="I69" s="94">
        <f>SUMIF(C37:$C$41,C69,I37:$I$41)</f>
        <v>0</v>
      </c>
      <c r="J69" s="65">
        <f t="shared" si="73"/>
        <v>0</v>
      </c>
      <c r="K69" s="31" t="str">
        <f>IF(K37="","",K37)</f>
        <v/>
      </c>
      <c r="L69" s="65" t="str">
        <f t="shared" si="75"/>
        <v>-</v>
      </c>
      <c r="M69" s="31" t="str">
        <f>IF(M37="","",M37)</f>
        <v/>
      </c>
      <c r="N69" s="65" t="str">
        <f t="shared" si="75"/>
        <v>-</v>
      </c>
      <c r="O69" s="31" t="str">
        <f>IF(O37="","",O37)</f>
        <v/>
      </c>
      <c r="P69" s="65" t="str">
        <f t="shared" si="75"/>
        <v>-</v>
      </c>
      <c r="Q69" s="31" t="str">
        <f>IF(Q37="","",Q37)</f>
        <v/>
      </c>
      <c r="R69" s="65" t="str">
        <f t="shared" si="75"/>
        <v>-</v>
      </c>
      <c r="S69" s="31" t="str">
        <f>IF(S37="","",S37)</f>
        <v/>
      </c>
      <c r="T69" s="65" t="str">
        <f t="shared" si="75"/>
        <v>-</v>
      </c>
      <c r="U69" s="31" t="str">
        <f>IF(U37="","",U37)</f>
        <v/>
      </c>
      <c r="V69" s="65" t="str">
        <f t="shared" si="75"/>
        <v>-</v>
      </c>
      <c r="W69" s="31" t="str">
        <f>IF(W37="","",W37)</f>
        <v/>
      </c>
      <c r="X69" s="65" t="str">
        <f t="shared" si="75"/>
        <v>-</v>
      </c>
      <c r="Y69" s="31" t="str">
        <f>IF(Y37="","",Y37)</f>
        <v/>
      </c>
      <c r="Z69" s="65" t="str">
        <f t="shared" si="75"/>
        <v>-</v>
      </c>
      <c r="AA69" s="31" t="str">
        <f>IF(AA37="","",AA37)</f>
        <v/>
      </c>
      <c r="AB69" s="65" t="str">
        <f t="shared" si="75"/>
        <v>-</v>
      </c>
      <c r="AC69" s="31" t="str">
        <f>IF(AC37="","",AC37)</f>
        <v/>
      </c>
      <c r="AD69" s="65" t="str">
        <f t="shared" si="75"/>
        <v>-</v>
      </c>
      <c r="AE69" s="31" t="str">
        <f>IF(AE37="","",AE37)</f>
        <v/>
      </c>
      <c r="AF69" s="65" t="str">
        <f t="shared" si="75"/>
        <v>-</v>
      </c>
      <c r="AG69" s="31" t="str">
        <f>IF(AG37="","",AG37)</f>
        <v/>
      </c>
      <c r="AH69" s="65" t="str">
        <f t="shared" si="75"/>
        <v>-</v>
      </c>
      <c r="AI69" s="31" t="str">
        <f>IF(AI37="","",AI37)</f>
        <v/>
      </c>
      <c r="AJ69" s="65" t="str">
        <f t="shared" si="75"/>
        <v>-</v>
      </c>
      <c r="AK69" s="31" t="str">
        <f>IF(AK37="","",AK37)</f>
        <v/>
      </c>
      <c r="AL69" s="65" t="str">
        <f t="shared" si="75"/>
        <v>-</v>
      </c>
      <c r="AM69" s="31" t="str">
        <f>IF(AM37="","",AM37)</f>
        <v/>
      </c>
      <c r="AN69" s="65" t="str">
        <f t="shared" si="75"/>
        <v>-</v>
      </c>
    </row>
    <row r="70" spans="2:40" ht="11.25" customHeight="1" thickBot="1" x14ac:dyDescent="0.2">
      <c r="B70" s="212" t="s">
        <v>81</v>
      </c>
      <c r="C70" s="13" t="s">
        <v>41</v>
      </c>
      <c r="D70" s="13"/>
      <c r="E70" s="13">
        <f>Summary!$N$13</f>
        <v>54</v>
      </c>
      <c r="F70" s="14">
        <f>INDEX(Summary!$F$19:$F$30,MATCH('Unit 2 a'!C70,Summary!$D$19:$D$30,0))</f>
        <v>2.5999999999999999E-2</v>
      </c>
      <c r="G70" s="14">
        <f t="shared" si="72"/>
        <v>1.4039999999999999</v>
      </c>
      <c r="H70" s="32" t="s">
        <v>6</v>
      </c>
      <c r="I70" s="94">
        <f>SUMIF(C19:$C$46,C70,I19:$I$46)</f>
        <v>0</v>
      </c>
      <c r="J70" s="65">
        <f t="shared" si="73"/>
        <v>0</v>
      </c>
      <c r="K70" s="31" t="str">
        <f>IF(SUMIF($C$9:$C$46,$C70,K$9:K$46)=0,"",SUMIF($C$9:$C$46,$C70,K$9:K$46))</f>
        <v/>
      </c>
      <c r="L70" s="65" t="str">
        <f>IF(K70="","-",K70*$G70)</f>
        <v>-</v>
      </c>
      <c r="M70" s="31" t="str">
        <f>IF(SUMIF($C$9:$C$46,$C70,M$9:M$46)=0,"",SUMIF($C$9:$C$46,$C70,M$9:M$46))</f>
        <v/>
      </c>
      <c r="N70" s="65" t="str">
        <f>IF(M70="","-",M70*$G70)</f>
        <v>-</v>
      </c>
      <c r="O70" s="31" t="str">
        <f>IF(SUMIF($C$9:$C$46,$C70,O$9:O$46)=0,"",SUMIF($C$9:$C$46,$C70,O$9:O$46))</f>
        <v/>
      </c>
      <c r="P70" s="65" t="str">
        <f>IF(O70="","-",O70*$G70)</f>
        <v>-</v>
      </c>
      <c r="Q70" s="31" t="str">
        <f>IF(SUMIF($C$9:$C$46,$C70,Q$9:Q$46)=0,"",SUMIF($C$9:$C$46,$C70,Q$9:Q$46))</f>
        <v/>
      </c>
      <c r="R70" s="65" t="str">
        <f>IF(Q70="","-",Q70*$G70)</f>
        <v>-</v>
      </c>
      <c r="S70" s="31" t="str">
        <f>IF(SUMIF($C$9:$C$46,$C70,S$9:S$46)=0,"",SUMIF($C$9:$C$46,$C70,S$9:S$46))</f>
        <v/>
      </c>
      <c r="T70" s="65" t="str">
        <f>IF(S70="","-",S70*$G70)</f>
        <v>-</v>
      </c>
      <c r="U70" s="31" t="str">
        <f>IF(SUMIF($C$9:$C$46,$C70,U$9:U$46)=0,"",SUMIF($C$9:$C$46,$C70,U$9:U$46))</f>
        <v/>
      </c>
      <c r="V70" s="65" t="str">
        <f>IF(U70="","-",U70*$G70)</f>
        <v>-</v>
      </c>
      <c r="W70" s="31" t="str">
        <f>IF(SUMIF($C$9:$C$46,$C70,W$9:W$46)=0,"",SUMIF($C$9:$C$46,$C70,W$9:W$46))</f>
        <v/>
      </c>
      <c r="X70" s="65" t="str">
        <f>IF(W70="","-",W70*$G70)</f>
        <v>-</v>
      </c>
      <c r="Y70" s="31" t="str">
        <f>IF(SUMIF($C$9:$C$46,$C70,Y$9:Y$46)=0,"",SUMIF($C$9:$C$46,$C70,Y$9:Y$46))</f>
        <v/>
      </c>
      <c r="Z70" s="65" t="str">
        <f>IF(Y70="","-",Y70*$G70)</f>
        <v>-</v>
      </c>
      <c r="AA70" s="31" t="str">
        <f>IF(SUMIF($C$9:$C$46,$C70,AA$9:AA$46)=0,"",SUMIF($C$9:$C$46,$C70,AA$9:AA$46))</f>
        <v/>
      </c>
      <c r="AB70" s="65" t="str">
        <f>IF(AA70="","-",AA70*$G70)</f>
        <v>-</v>
      </c>
      <c r="AC70" s="31" t="str">
        <f>IF(SUMIF($C$9:$C$46,$C70,AC$9:AC$46)=0,"",SUMIF($C$9:$C$46,$C70,AC$9:AC$46))</f>
        <v/>
      </c>
      <c r="AD70" s="65" t="str">
        <f>IF(AC70="","-",AC70*$G70)</f>
        <v>-</v>
      </c>
      <c r="AE70" s="31" t="str">
        <f>IF(SUMIF($C$9:$C$46,$C70,AE$9:AE$46)=0,"",SUMIF($C$9:$C$46,$C70,AE$9:AE$46))</f>
        <v/>
      </c>
      <c r="AF70" s="65" t="str">
        <f>IF(AE70="","-",AE70*$G70)</f>
        <v>-</v>
      </c>
      <c r="AG70" s="31" t="str">
        <f>IF(SUMIF($C$9:$C$46,$C70,AG$9:AG$46)=0,"",SUMIF($C$9:$C$46,$C70,AG$9:AG$46))</f>
        <v/>
      </c>
      <c r="AH70" s="65" t="str">
        <f>IF(AG70="","-",AG70*$G70)</f>
        <v>-</v>
      </c>
      <c r="AI70" s="31" t="str">
        <f>IF(SUMIF($C$9:$C$46,$C70,AI$9:AI$46)=0,"",SUMIF($C$9:$C$46,$C70,AI$9:AI$46))</f>
        <v/>
      </c>
      <c r="AJ70" s="65" t="str">
        <f>IF(AI70="","-",AI70*$G70)</f>
        <v>-</v>
      </c>
      <c r="AK70" s="31" t="str">
        <f>IF(SUMIF($C$9:$C$46,$C70,AK$9:AK$46)=0,"",SUMIF($C$9:$C$46,$C70,AK$9:AK$46))</f>
        <v/>
      </c>
      <c r="AL70" s="65" t="str">
        <f>IF(AK70="","-",AK70*$G70)</f>
        <v>-</v>
      </c>
      <c r="AM70" s="31" t="str">
        <f>IF(SUMIF($C$9:$C$46,$C70,AM$9:AM$46)=0,"",SUMIF($C$9:$C$46,$C70,AM$9:AM$46))</f>
        <v/>
      </c>
      <c r="AN70" s="65" t="str">
        <f>IF(AM70="","-",AM70*$G70)</f>
        <v>-</v>
      </c>
    </row>
    <row r="71" spans="2:40" ht="11.25" customHeight="1" thickBot="1" x14ac:dyDescent="0.2">
      <c r="B71" s="213"/>
      <c r="C71" s="18" t="s">
        <v>42</v>
      </c>
      <c r="D71" s="18"/>
      <c r="E71" s="13">
        <f>Summary!$N$13</f>
        <v>54</v>
      </c>
      <c r="F71" s="14">
        <f>INDEX(Summary!$F$19:$F$30,MATCH('Unit 2 a'!C71,Summary!$D$19:$D$30,0))</f>
        <v>0.26</v>
      </c>
      <c r="G71" s="14">
        <f t="shared" si="72"/>
        <v>14.040000000000001</v>
      </c>
      <c r="H71" s="34" t="s">
        <v>6</v>
      </c>
      <c r="I71" s="94">
        <f>SUMIF(C20:$C$46,C71,I20:$I$46)</f>
        <v>0</v>
      </c>
      <c r="J71" s="65">
        <f t="shared" si="73"/>
        <v>0</v>
      </c>
      <c r="K71" s="31" t="str">
        <f t="shared" ref="K71:K73" si="90">IF(SUMIF($C$9:$C$46,$C71,K$9:K$46)=0,"",SUMIF($C$9:$C$46,$C71,K$9:K$46))</f>
        <v/>
      </c>
      <c r="L71" s="65" t="str">
        <f t="shared" ref="L71:N73" si="91">IF(K71="","-",K71*$G71)</f>
        <v>-</v>
      </c>
      <c r="M71" s="31" t="str">
        <f t="shared" ref="M71:AM73" si="92">IF(SUMIF($C$9:$C$46,$C71,M$9:M$46)=0,"",SUMIF($C$9:$C$46,$C71,M$9:M$46))</f>
        <v/>
      </c>
      <c r="N71" s="65" t="str">
        <f t="shared" si="91"/>
        <v>-</v>
      </c>
      <c r="O71" s="31" t="str">
        <f t="shared" si="92"/>
        <v/>
      </c>
      <c r="P71" s="65" t="str">
        <f t="shared" ref="P71:P73" si="93">IF(O71="","-",O71*$G71)</f>
        <v>-</v>
      </c>
      <c r="Q71" s="31" t="str">
        <f t="shared" si="92"/>
        <v/>
      </c>
      <c r="R71" s="65" t="str">
        <f t="shared" ref="R71:R73" si="94">IF(Q71="","-",Q71*$G71)</f>
        <v>-</v>
      </c>
      <c r="S71" s="31" t="str">
        <f t="shared" si="92"/>
        <v/>
      </c>
      <c r="T71" s="65" t="str">
        <f t="shared" ref="T71:T73" si="95">IF(S71="","-",S71*$G71)</f>
        <v>-</v>
      </c>
      <c r="U71" s="31" t="str">
        <f t="shared" si="92"/>
        <v/>
      </c>
      <c r="V71" s="65" t="str">
        <f t="shared" ref="V71:V73" si="96">IF(U71="","-",U71*$G71)</f>
        <v>-</v>
      </c>
      <c r="W71" s="31" t="str">
        <f t="shared" si="92"/>
        <v/>
      </c>
      <c r="X71" s="65" t="str">
        <f t="shared" ref="X71:X73" si="97">IF(W71="","-",W71*$G71)</f>
        <v>-</v>
      </c>
      <c r="Y71" s="31" t="str">
        <f t="shared" si="92"/>
        <v/>
      </c>
      <c r="Z71" s="65" t="str">
        <f t="shared" ref="Z71:Z73" si="98">IF(Y71="","-",Y71*$G71)</f>
        <v>-</v>
      </c>
      <c r="AA71" s="31" t="str">
        <f t="shared" si="92"/>
        <v/>
      </c>
      <c r="AB71" s="65" t="str">
        <f t="shared" ref="AB71:AB73" si="99">IF(AA71="","-",AA71*$G71)</f>
        <v>-</v>
      </c>
      <c r="AC71" s="31" t="str">
        <f t="shared" si="92"/>
        <v/>
      </c>
      <c r="AD71" s="65" t="str">
        <f t="shared" ref="AD71:AD73" si="100">IF(AC71="","-",AC71*$G71)</f>
        <v>-</v>
      </c>
      <c r="AE71" s="31" t="str">
        <f t="shared" si="92"/>
        <v/>
      </c>
      <c r="AF71" s="65" t="str">
        <f t="shared" ref="AF71:AF73" si="101">IF(AE71="","-",AE71*$G71)</f>
        <v>-</v>
      </c>
      <c r="AG71" s="31" t="str">
        <f t="shared" si="92"/>
        <v/>
      </c>
      <c r="AH71" s="65" t="str">
        <f t="shared" ref="AH71:AH73" si="102">IF(AG71="","-",AG71*$G71)</f>
        <v>-</v>
      </c>
      <c r="AI71" s="31" t="str">
        <f t="shared" si="92"/>
        <v/>
      </c>
      <c r="AJ71" s="65" t="str">
        <f t="shared" ref="AJ71:AJ73" si="103">IF(AI71="","-",AI71*$G71)</f>
        <v>-</v>
      </c>
      <c r="AK71" s="31" t="str">
        <f t="shared" si="92"/>
        <v/>
      </c>
      <c r="AL71" s="65" t="str">
        <f t="shared" ref="AL71:AL73" si="104">IF(AK71="","-",AK71*$G71)</f>
        <v>-</v>
      </c>
      <c r="AM71" s="31" t="str">
        <f t="shared" si="92"/>
        <v/>
      </c>
      <c r="AN71" s="65" t="str">
        <f t="shared" ref="AN71:AN73" si="105">IF(AM71="","-",AM71*$G71)</f>
        <v>-</v>
      </c>
    </row>
    <row r="72" spans="2:40" ht="11.25" customHeight="1" thickBot="1" x14ac:dyDescent="0.2">
      <c r="B72" s="212" t="s">
        <v>82</v>
      </c>
      <c r="C72" s="13" t="s">
        <v>43</v>
      </c>
      <c r="D72" s="13"/>
      <c r="E72" s="13">
        <f>Summary!$N$13</f>
        <v>54</v>
      </c>
      <c r="F72" s="14">
        <f>INDEX(Summary!$F$19:$F$30,MATCH('Unit 2 a'!C72,Summary!$D$19:$D$30,0))</f>
        <v>5.2999999999999999E-2</v>
      </c>
      <c r="G72" s="14">
        <f t="shared" si="72"/>
        <v>2.8620000000000001</v>
      </c>
      <c r="H72" s="32" t="s">
        <v>6</v>
      </c>
      <c r="I72" s="94">
        <f>SUMIF(C21:$C$46,C72,I21:$I$46)</f>
        <v>0</v>
      </c>
      <c r="J72" s="65">
        <f t="shared" si="73"/>
        <v>0</v>
      </c>
      <c r="K72" s="31" t="str">
        <f t="shared" si="90"/>
        <v/>
      </c>
      <c r="L72" s="65" t="str">
        <f t="shared" si="91"/>
        <v>-</v>
      </c>
      <c r="M72" s="31" t="str">
        <f t="shared" si="92"/>
        <v/>
      </c>
      <c r="N72" s="65" t="str">
        <f t="shared" si="91"/>
        <v>-</v>
      </c>
      <c r="O72" s="31" t="str">
        <f t="shared" si="92"/>
        <v/>
      </c>
      <c r="P72" s="65" t="str">
        <f t="shared" si="93"/>
        <v>-</v>
      </c>
      <c r="Q72" s="31" t="str">
        <f t="shared" si="92"/>
        <v/>
      </c>
      <c r="R72" s="65" t="str">
        <f t="shared" si="94"/>
        <v>-</v>
      </c>
      <c r="S72" s="31" t="str">
        <f t="shared" si="92"/>
        <v/>
      </c>
      <c r="T72" s="65" t="str">
        <f t="shared" si="95"/>
        <v>-</v>
      </c>
      <c r="U72" s="31" t="str">
        <f t="shared" si="92"/>
        <v/>
      </c>
      <c r="V72" s="65" t="str">
        <f t="shared" si="96"/>
        <v>-</v>
      </c>
      <c r="W72" s="31" t="str">
        <f t="shared" si="92"/>
        <v/>
      </c>
      <c r="X72" s="65" t="str">
        <f t="shared" si="97"/>
        <v>-</v>
      </c>
      <c r="Y72" s="31" t="str">
        <f t="shared" si="92"/>
        <v/>
      </c>
      <c r="Z72" s="65" t="str">
        <f t="shared" si="98"/>
        <v>-</v>
      </c>
      <c r="AA72" s="31" t="str">
        <f t="shared" si="92"/>
        <v/>
      </c>
      <c r="AB72" s="65" t="str">
        <f t="shared" si="99"/>
        <v>-</v>
      </c>
      <c r="AC72" s="31" t="str">
        <f t="shared" si="92"/>
        <v/>
      </c>
      <c r="AD72" s="65" t="str">
        <f t="shared" si="100"/>
        <v>-</v>
      </c>
      <c r="AE72" s="31" t="str">
        <f t="shared" si="92"/>
        <v/>
      </c>
      <c r="AF72" s="65" t="str">
        <f t="shared" si="101"/>
        <v>-</v>
      </c>
      <c r="AG72" s="31" t="str">
        <f t="shared" si="92"/>
        <v/>
      </c>
      <c r="AH72" s="65" t="str">
        <f t="shared" si="102"/>
        <v>-</v>
      </c>
      <c r="AI72" s="31" t="str">
        <f t="shared" si="92"/>
        <v/>
      </c>
      <c r="AJ72" s="65" t="str">
        <f t="shared" si="103"/>
        <v>-</v>
      </c>
      <c r="AK72" s="31" t="str">
        <f t="shared" si="92"/>
        <v/>
      </c>
      <c r="AL72" s="65" t="str">
        <f t="shared" si="104"/>
        <v>-</v>
      </c>
      <c r="AM72" s="31" t="str">
        <f t="shared" si="92"/>
        <v/>
      </c>
      <c r="AN72" s="65" t="str">
        <f t="shared" si="105"/>
        <v>-</v>
      </c>
    </row>
    <row r="73" spans="2:40" ht="11.25" customHeight="1" thickBot="1" x14ac:dyDescent="0.2">
      <c r="B73" s="213"/>
      <c r="C73" s="18" t="s">
        <v>44</v>
      </c>
      <c r="D73" s="18" t="s">
        <v>52</v>
      </c>
      <c r="E73" s="18">
        <v>27</v>
      </c>
      <c r="F73" s="14">
        <f>INDEX(Summary!$F$19:$F$30,MATCH('Unit 2 a'!C73,Summary!$D$19:$D$30,0))</f>
        <v>0.1</v>
      </c>
      <c r="G73" s="14">
        <f t="shared" si="72"/>
        <v>2.7</v>
      </c>
      <c r="H73" s="32" t="s">
        <v>6</v>
      </c>
      <c r="I73" s="94">
        <f>SUMIF(C22:$C$46,C73,I22:$I$46)</f>
        <v>0</v>
      </c>
      <c r="J73" s="65">
        <f t="shared" si="73"/>
        <v>0</v>
      </c>
      <c r="K73" s="31" t="str">
        <f t="shared" si="90"/>
        <v/>
      </c>
      <c r="L73" s="65" t="str">
        <f t="shared" si="91"/>
        <v>-</v>
      </c>
      <c r="M73" s="31" t="str">
        <f t="shared" si="92"/>
        <v/>
      </c>
      <c r="N73" s="65" t="str">
        <f t="shared" si="91"/>
        <v>-</v>
      </c>
      <c r="O73" s="31" t="str">
        <f t="shared" si="92"/>
        <v/>
      </c>
      <c r="P73" s="65" t="str">
        <f t="shared" si="93"/>
        <v>-</v>
      </c>
      <c r="Q73" s="31" t="str">
        <f t="shared" si="92"/>
        <v/>
      </c>
      <c r="R73" s="65" t="str">
        <f t="shared" si="94"/>
        <v>-</v>
      </c>
      <c r="S73" s="31" t="str">
        <f t="shared" si="92"/>
        <v/>
      </c>
      <c r="T73" s="65" t="str">
        <f t="shared" si="95"/>
        <v>-</v>
      </c>
      <c r="U73" s="31" t="str">
        <f t="shared" si="92"/>
        <v/>
      </c>
      <c r="V73" s="65" t="str">
        <f t="shared" si="96"/>
        <v>-</v>
      </c>
      <c r="W73" s="31" t="str">
        <f t="shared" si="92"/>
        <v/>
      </c>
      <c r="X73" s="65" t="str">
        <f t="shared" si="97"/>
        <v>-</v>
      </c>
      <c r="Y73" s="31" t="str">
        <f t="shared" si="92"/>
        <v/>
      </c>
      <c r="Z73" s="65" t="str">
        <f t="shared" si="98"/>
        <v>-</v>
      </c>
      <c r="AA73" s="31" t="str">
        <f t="shared" si="92"/>
        <v/>
      </c>
      <c r="AB73" s="65" t="str">
        <f t="shared" si="99"/>
        <v>-</v>
      </c>
      <c r="AC73" s="31" t="str">
        <f t="shared" si="92"/>
        <v/>
      </c>
      <c r="AD73" s="65" t="str">
        <f t="shared" si="100"/>
        <v>-</v>
      </c>
      <c r="AE73" s="31" t="str">
        <f t="shared" si="92"/>
        <v/>
      </c>
      <c r="AF73" s="65" t="str">
        <f t="shared" si="101"/>
        <v>-</v>
      </c>
      <c r="AG73" s="31" t="str">
        <f t="shared" si="92"/>
        <v/>
      </c>
      <c r="AH73" s="65" t="str">
        <f t="shared" si="102"/>
        <v>-</v>
      </c>
      <c r="AI73" s="31" t="str">
        <f t="shared" si="92"/>
        <v/>
      </c>
      <c r="AJ73" s="65" t="str">
        <f t="shared" si="103"/>
        <v>-</v>
      </c>
      <c r="AK73" s="31" t="str">
        <f t="shared" si="92"/>
        <v/>
      </c>
      <c r="AL73" s="65" t="str">
        <f t="shared" si="104"/>
        <v>-</v>
      </c>
      <c r="AM73" s="31" t="str">
        <f t="shared" si="92"/>
        <v/>
      </c>
      <c r="AN73" s="65" t="str">
        <f t="shared" si="105"/>
        <v>-</v>
      </c>
    </row>
    <row r="74" spans="2:40" ht="11.25" customHeight="1" x14ac:dyDescent="0.15">
      <c r="B74" s="224" t="s">
        <v>67</v>
      </c>
      <c r="C74" s="225"/>
      <c r="D74" s="226"/>
      <c r="E74" s="19">
        <f>Summary!H13</f>
        <v>0.25</v>
      </c>
      <c r="F74" s="19" t="s">
        <v>56</v>
      </c>
      <c r="G74" s="19">
        <f>IF(E74=0.25,0.24,0.35)</f>
        <v>0.24</v>
      </c>
      <c r="H74" s="32" t="s">
        <v>6</v>
      </c>
      <c r="I74" s="95">
        <f>SUM(K74,M74,O74,Q74,S74,U74,W74,Y74,AA74,AC74,AE74,AG74,AI74)</f>
        <v>0</v>
      </c>
      <c r="J74" s="74">
        <f>I50*G74</f>
        <v>0</v>
      </c>
      <c r="K74" s="96">
        <f>SUM(K72:K73)</f>
        <v>0</v>
      </c>
      <c r="L74" s="96">
        <f>$G$74*K$50</f>
        <v>0</v>
      </c>
      <c r="M74" s="96">
        <f>SUM(M72:M73)</f>
        <v>0</v>
      </c>
      <c r="N74" s="96">
        <f>$G$74*M$50</f>
        <v>0</v>
      </c>
      <c r="O74" s="96">
        <f>SUM(O72:O73)</f>
        <v>0</v>
      </c>
      <c r="P74" s="96">
        <f>$G$74*O$50</f>
        <v>0</v>
      </c>
      <c r="Q74" s="96">
        <f>SUM(Q72:Q73)</f>
        <v>0</v>
      </c>
      <c r="R74" s="96">
        <f>$G$74*Q$50</f>
        <v>0</v>
      </c>
      <c r="S74" s="96">
        <f>SUM(S72:S73)</f>
        <v>0</v>
      </c>
      <c r="T74" s="96">
        <f>$G$74*S$50</f>
        <v>0</v>
      </c>
      <c r="U74" s="96">
        <f>SUM(U72:U73)</f>
        <v>0</v>
      </c>
      <c r="V74" s="96">
        <f>$G$74*U$50</f>
        <v>0</v>
      </c>
      <c r="W74" s="96">
        <f>SUM(W72:W73)</f>
        <v>0</v>
      </c>
      <c r="X74" s="96">
        <f>$G$74*W$50</f>
        <v>0</v>
      </c>
      <c r="Y74" s="96">
        <f>SUM(Y72:Y73)</f>
        <v>0</v>
      </c>
      <c r="Z74" s="96">
        <f>$G$74*Y$50</f>
        <v>0</v>
      </c>
      <c r="AA74" s="96">
        <f>SUM(AA72:AA73)</f>
        <v>0</v>
      </c>
      <c r="AB74" s="96">
        <f>$G$74*AA$50</f>
        <v>0</v>
      </c>
      <c r="AC74" s="96">
        <f>SUM(AC72:AC73)</f>
        <v>0</v>
      </c>
      <c r="AD74" s="96">
        <f>$G$74*AC$50</f>
        <v>0</v>
      </c>
      <c r="AE74" s="96">
        <f>SUM(AE72:AE73)</f>
        <v>0</v>
      </c>
      <c r="AF74" s="96">
        <f>$G$74*AE$50</f>
        <v>0</v>
      </c>
      <c r="AG74" s="96">
        <f>SUM(AG72:AG73)</f>
        <v>0</v>
      </c>
      <c r="AH74" s="96">
        <f>$G$74*AG$50</f>
        <v>0</v>
      </c>
      <c r="AI74" s="96">
        <f>SUM(AI72:AI73)</f>
        <v>0</v>
      </c>
      <c r="AJ74" s="96">
        <f>$G$74*AI$50</f>
        <v>0</v>
      </c>
      <c r="AK74" s="96">
        <f>SUM(AK72:AK73)</f>
        <v>0</v>
      </c>
      <c r="AL74" s="96">
        <f>$G$74*AK$50</f>
        <v>0</v>
      </c>
      <c r="AM74" s="96">
        <f>SUM(AM72:AM73)</f>
        <v>0</v>
      </c>
      <c r="AN74" s="96">
        <f>$G$74*AM$50</f>
        <v>0</v>
      </c>
    </row>
    <row r="75" spans="2:40" ht="11.25" customHeight="1" x14ac:dyDescent="0.15">
      <c r="B75" s="219" t="s">
        <v>68</v>
      </c>
      <c r="C75" s="220"/>
      <c r="D75" s="220"/>
      <c r="E75" s="220"/>
      <c r="F75" s="220"/>
      <c r="G75" s="220"/>
      <c r="H75" s="241"/>
      <c r="I75" s="97"/>
      <c r="J75" s="68">
        <f>SUM(J60:J74)</f>
        <v>0</v>
      </c>
      <c r="K75" s="98"/>
      <c r="L75" s="68" t="str">
        <f>IF(SUM(L60:L74)=0,"",SUM(L60:L74))</f>
        <v/>
      </c>
      <c r="M75" s="99"/>
      <c r="N75" s="68" t="str">
        <f>IF(SUM(N60:N74)=0,"",SUM(N60:N74))</f>
        <v/>
      </c>
      <c r="O75" s="99"/>
      <c r="P75" s="68" t="str">
        <f ca="1">IF(SUM(P60:P74)=0,"",SUM(P60:P74))</f>
        <v/>
      </c>
      <c r="Q75" s="99"/>
      <c r="R75" s="68" t="str">
        <f ca="1">IF(SUM(R60:R74)=0,"",SUM(R60:R74))</f>
        <v/>
      </c>
      <c r="S75" s="99"/>
      <c r="T75" s="68" t="str">
        <f ca="1">IF(SUM(T60:T74)=0,"",SUM(T60:T74))</f>
        <v/>
      </c>
      <c r="U75" s="99"/>
      <c r="V75" s="68" t="str">
        <f ca="1">IF(SUM(V60:V74)=0,"",SUM(V60:V74))</f>
        <v/>
      </c>
      <c r="W75" s="99"/>
      <c r="X75" s="68" t="str">
        <f ca="1">IF(SUM(X60:X74)=0,"",SUM(X60:X74))</f>
        <v/>
      </c>
      <c r="Y75" s="99"/>
      <c r="Z75" s="68" t="str">
        <f ca="1">IF(SUM(Z60:Z74)=0,"",SUM(Z60:Z74))</f>
        <v/>
      </c>
      <c r="AA75" s="99"/>
      <c r="AB75" s="68" t="str">
        <f ca="1">IF(SUM(AB60:AB74)=0,"",SUM(AB60:AB74))</f>
        <v/>
      </c>
      <c r="AC75" s="99"/>
      <c r="AD75" s="68" t="str">
        <f ca="1">IF(SUM(AD60:AD74)=0,"",SUM(AD60:AD74))</f>
        <v/>
      </c>
      <c r="AE75" s="99"/>
      <c r="AF75" s="68" t="str">
        <f ca="1">IF(SUM(AF60:AF74)=0,"",SUM(AF60:AF74))</f>
        <v/>
      </c>
      <c r="AG75" s="99"/>
      <c r="AH75" s="68" t="str">
        <f ca="1">IF(SUM(AH60:AH74)=0,"",SUM(AH60:AH74))</f>
        <v/>
      </c>
      <c r="AI75" s="99"/>
      <c r="AJ75" s="68" t="str">
        <f ca="1">IF(SUM(AJ60:AJ74)=0,"",SUM(AJ60:AJ74))</f>
        <v/>
      </c>
      <c r="AK75" s="99"/>
      <c r="AL75" s="68" t="str">
        <f ca="1">IF(SUM(AL60:AL74)=0,"",SUM(AL60:AL74))</f>
        <v/>
      </c>
      <c r="AM75" s="99"/>
      <c r="AN75" s="68" t="str">
        <f ca="1">IF(SUM(AN60:AN74)=0,"",SUM(AN60:AN74))</f>
        <v/>
      </c>
    </row>
    <row r="76" spans="2:40" ht="11.25" customHeight="1" x14ac:dyDescent="0.15">
      <c r="B76" s="242" t="s">
        <v>59</v>
      </c>
      <c r="C76" s="233"/>
      <c r="D76" s="233"/>
      <c r="E76" s="233"/>
      <c r="F76" s="233"/>
      <c r="G76" s="35">
        <v>15</v>
      </c>
      <c r="H76" s="36" t="s">
        <v>73</v>
      </c>
      <c r="I76" s="97"/>
      <c r="J76" s="68">
        <f>J75*G76/100</f>
        <v>0</v>
      </c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</row>
    <row r="77" spans="2:40" ht="11.25" customHeight="1" x14ac:dyDescent="0.15">
      <c r="B77" s="107" t="s">
        <v>69</v>
      </c>
      <c r="C77" s="108"/>
      <c r="D77" s="108"/>
      <c r="E77" s="108" t="s">
        <v>216</v>
      </c>
      <c r="F77" s="108"/>
      <c r="G77" s="110">
        <f>J77/0.95/12000</f>
        <v>0</v>
      </c>
      <c r="H77" s="109" t="s">
        <v>149</v>
      </c>
      <c r="I77" s="97"/>
      <c r="J77" s="68">
        <f>SUM(J75:J76)</f>
        <v>0</v>
      </c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</row>
    <row r="78" spans="2:40" ht="11.25" customHeight="1" x14ac:dyDescent="0.15">
      <c r="B78" s="243" t="s">
        <v>70</v>
      </c>
      <c r="C78" s="244"/>
      <c r="D78" s="244"/>
      <c r="E78" s="244"/>
      <c r="F78" s="244"/>
      <c r="G78" s="244"/>
      <c r="H78" s="245"/>
      <c r="I78" s="97"/>
      <c r="J78" s="100">
        <f>J77/3413</f>
        <v>0</v>
      </c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</row>
    <row r="79" spans="2:40" ht="11.25" customHeight="1" thickBot="1" x14ac:dyDescent="0.2">
      <c r="B79" s="236" t="s">
        <v>62</v>
      </c>
      <c r="C79" s="237"/>
      <c r="D79" s="237"/>
      <c r="E79" s="37">
        <v>5</v>
      </c>
      <c r="F79" s="38" t="s">
        <v>74</v>
      </c>
      <c r="G79" s="246" t="s">
        <v>75</v>
      </c>
      <c r="H79" s="247"/>
      <c r="I79" s="97"/>
      <c r="J79" s="68">
        <f>E56*400</f>
        <v>600</v>
      </c>
      <c r="K79" s="98"/>
      <c r="L79" s="68" t="str">
        <f>IF(L75="","",L75/$J$75*$J$79)</f>
        <v/>
      </c>
      <c r="M79" s="98"/>
      <c r="N79" s="68" t="str">
        <f>IF(N75="","",N75/$J$75*$J$79)</f>
        <v/>
      </c>
      <c r="O79" s="98"/>
      <c r="P79" s="68" t="str">
        <f ca="1">IF(P75="","",P75/$J$75*$J$79)</f>
        <v/>
      </c>
      <c r="Q79" s="98"/>
      <c r="R79" s="68" t="str">
        <f ca="1">IF(R75="","",R75/$J$75*$J$79)</f>
        <v/>
      </c>
      <c r="S79" s="98"/>
      <c r="T79" s="68" t="str">
        <f ca="1">IF(T75="","",T75/$J$75*$J$79)</f>
        <v/>
      </c>
      <c r="U79" s="98"/>
      <c r="V79" s="68" t="str">
        <f ca="1">IF(V75="","",V75/$J$75*$J$79)</f>
        <v/>
      </c>
      <c r="W79" s="98"/>
      <c r="X79" s="68" t="str">
        <f ca="1">IF(X75="","",X75/$J$75*$J$79)</f>
        <v/>
      </c>
      <c r="Y79" s="98"/>
      <c r="Z79" s="68" t="str">
        <f ca="1">IF(Z75="","",Z75/$J$75*$J$79)</f>
        <v/>
      </c>
      <c r="AA79" s="98"/>
      <c r="AB79" s="68" t="str">
        <f ca="1">IF(AB75="","",AB75/$J$75*$J$79)</f>
        <v/>
      </c>
      <c r="AC79" s="98"/>
      <c r="AD79" s="68" t="str">
        <f ca="1">IF(AD75="","",AD75/$J$75*$J$79)</f>
        <v/>
      </c>
      <c r="AE79" s="98"/>
      <c r="AF79" s="68" t="str">
        <f ca="1">IF(AF75="","",AF75/$J$75*$J$79)</f>
        <v/>
      </c>
      <c r="AG79" s="98"/>
      <c r="AH79" s="68" t="str">
        <f ca="1">IF(AH75="","",AH75/$J$75*$J$79)</f>
        <v/>
      </c>
      <c r="AI79" s="98"/>
      <c r="AJ79" s="68" t="str">
        <f ca="1">IF(AJ75="","",AJ75/$J$75*$J$79)</f>
        <v/>
      </c>
      <c r="AK79" s="98"/>
      <c r="AL79" s="68" t="str">
        <f ca="1">IF(AL75="","",AL75/$J$75*$J$79)</f>
        <v/>
      </c>
      <c r="AM79" s="98"/>
      <c r="AN79" s="68" t="str">
        <f ca="1">IF(AN75="","",AN75/$J$75*$J$79)</f>
        <v/>
      </c>
    </row>
    <row r="80" spans="2:40" x14ac:dyDescent="0.15">
      <c r="J80" s="39"/>
    </row>
    <row r="81" spans="10:10" x14ac:dyDescent="0.15">
      <c r="J81" s="39"/>
    </row>
    <row r="82" spans="10:10" x14ac:dyDescent="0.15">
      <c r="J82" s="39"/>
    </row>
    <row r="83" spans="10:10" x14ac:dyDescent="0.15">
      <c r="J83" s="39"/>
    </row>
    <row r="84" spans="10:10" x14ac:dyDescent="0.15">
      <c r="J84" s="39"/>
    </row>
    <row r="85" spans="10:10" x14ac:dyDescent="0.15">
      <c r="J85" s="39"/>
    </row>
    <row r="86" spans="10:10" x14ac:dyDescent="0.15">
      <c r="J86" s="39"/>
    </row>
  </sheetData>
  <mergeCells count="107">
    <mergeCell ref="N1:R1"/>
    <mergeCell ref="T1:V1"/>
    <mergeCell ref="N2:R2"/>
    <mergeCell ref="Q3:R3"/>
    <mergeCell ref="T3:V3"/>
    <mergeCell ref="I6:J6"/>
    <mergeCell ref="K6:L6"/>
    <mergeCell ref="M6:N6"/>
    <mergeCell ref="O6:P6"/>
    <mergeCell ref="Q6:R6"/>
    <mergeCell ref="AE6:AF6"/>
    <mergeCell ref="AG6:AH6"/>
    <mergeCell ref="AI6:AJ6"/>
    <mergeCell ref="AK6:AL6"/>
    <mergeCell ref="AM6:AN6"/>
    <mergeCell ref="B7:D7"/>
    <mergeCell ref="E7:E8"/>
    <mergeCell ref="F7:F8"/>
    <mergeCell ref="G7:H8"/>
    <mergeCell ref="I7:J7"/>
    <mergeCell ref="S6:T6"/>
    <mergeCell ref="U6:V6"/>
    <mergeCell ref="W6:X6"/>
    <mergeCell ref="Y6:Z6"/>
    <mergeCell ref="AA6:AB6"/>
    <mergeCell ref="AC6:AD6"/>
    <mergeCell ref="AK7:AL7"/>
    <mergeCell ref="AM7:AN7"/>
    <mergeCell ref="B29:B36"/>
    <mergeCell ref="B37:B41"/>
    <mergeCell ref="B42:B43"/>
    <mergeCell ref="B44:B46"/>
    <mergeCell ref="B47:B49"/>
    <mergeCell ref="D47:F47"/>
    <mergeCell ref="D48:F48"/>
    <mergeCell ref="D49:F49"/>
    <mergeCell ref="AI7:AJ7"/>
    <mergeCell ref="B9:B18"/>
    <mergeCell ref="B19:B20"/>
    <mergeCell ref="B21:B28"/>
    <mergeCell ref="W7:X7"/>
    <mergeCell ref="Y7:Z7"/>
    <mergeCell ref="AA7:AB7"/>
    <mergeCell ref="AC7:AD7"/>
    <mergeCell ref="AE7:AF7"/>
    <mergeCell ref="AG7:AH7"/>
    <mergeCell ref="K7:L7"/>
    <mergeCell ref="M7:N7"/>
    <mergeCell ref="O7:P7"/>
    <mergeCell ref="Q7:R7"/>
    <mergeCell ref="S7:T7"/>
    <mergeCell ref="U7:V7"/>
    <mergeCell ref="B56:D56"/>
    <mergeCell ref="G56:H56"/>
    <mergeCell ref="I57:J57"/>
    <mergeCell ref="K57:L57"/>
    <mergeCell ref="M57:N57"/>
    <mergeCell ref="O57:P57"/>
    <mergeCell ref="B50:F50"/>
    <mergeCell ref="B51:D51"/>
    <mergeCell ref="B52:H52"/>
    <mergeCell ref="B53:F53"/>
    <mergeCell ref="B54:H54"/>
    <mergeCell ref="B55:H55"/>
    <mergeCell ref="AG57:AH57"/>
    <mergeCell ref="AI57:AJ57"/>
    <mergeCell ref="AK57:AL57"/>
    <mergeCell ref="AM57:AN57"/>
    <mergeCell ref="Q57:R57"/>
    <mergeCell ref="S57:T57"/>
    <mergeCell ref="U57:V57"/>
    <mergeCell ref="W57:X57"/>
    <mergeCell ref="Y57:Z57"/>
    <mergeCell ref="AA57:AB57"/>
    <mergeCell ref="W58:X58"/>
    <mergeCell ref="B58:D58"/>
    <mergeCell ref="E58:E59"/>
    <mergeCell ref="F58:F59"/>
    <mergeCell ref="G58:H59"/>
    <mergeCell ref="I58:J58"/>
    <mergeCell ref="K58:L58"/>
    <mergeCell ref="AC57:AD57"/>
    <mergeCell ref="AE57:AF57"/>
    <mergeCell ref="B72:B73"/>
    <mergeCell ref="B74:D74"/>
    <mergeCell ref="B75:H75"/>
    <mergeCell ref="B76:F76"/>
    <mergeCell ref="B78:H78"/>
    <mergeCell ref="B79:D79"/>
    <mergeCell ref="G79:H79"/>
    <mergeCell ref="AK58:AL58"/>
    <mergeCell ref="AM58:AN58"/>
    <mergeCell ref="B60:B62"/>
    <mergeCell ref="B63:B64"/>
    <mergeCell ref="B65:B69"/>
    <mergeCell ref="B70:B71"/>
    <mergeCell ref="Y58:Z58"/>
    <mergeCell ref="AA58:AB58"/>
    <mergeCell ref="AC58:AD58"/>
    <mergeCell ref="AE58:AF58"/>
    <mergeCell ref="AG58:AH58"/>
    <mergeCell ref="AI58:AJ58"/>
    <mergeCell ref="M58:N58"/>
    <mergeCell ref="O58:P58"/>
    <mergeCell ref="Q58:R58"/>
    <mergeCell ref="S58:T58"/>
    <mergeCell ref="U58:V58"/>
  </mergeCells>
  <pageMargins left="0.7" right="0.7" top="0.75" bottom="0.75" header="0.3" footer="0.3"/>
  <pageSetup scale="5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C20EC0-5BC1-42B7-8E00-7E95B1E478FD}">
          <x14:formula1>
            <xm:f>'Glass CLF Calculation'!$A$41:$A$48</xm:f>
          </x14:formula1>
          <xm:sqref>Q3:R3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ABC4-94C6-4E0D-85EB-07C08578FF89}">
  <sheetPr>
    <pageSetUpPr fitToPage="1"/>
  </sheetPr>
  <dimension ref="B1:AN86"/>
  <sheetViews>
    <sheetView zoomScale="115" zoomScaleNormal="115" workbookViewId="0">
      <pane ySplit="7" topLeftCell="A8" activePane="bottomLeft" state="frozen"/>
      <selection activeCell="J9" sqref="J9:P9"/>
      <selection pane="bottomLeft" activeCell="AP12" sqref="AP12"/>
    </sheetView>
  </sheetViews>
  <sheetFormatPr baseColWidth="10" defaultColWidth="9.1640625" defaultRowHeight="11" x14ac:dyDescent="0.15"/>
  <cols>
    <col min="1" max="1" width="2" style="1" customWidth="1"/>
    <col min="2" max="2" width="2.5" style="1" customWidth="1"/>
    <col min="3" max="3" width="4.5" style="1" bestFit="1" customWidth="1"/>
    <col min="4" max="4" width="7.83203125" style="1" customWidth="1"/>
    <col min="5" max="5" width="4.6640625" style="1" customWidth="1"/>
    <col min="6" max="6" width="5.33203125" style="1" customWidth="1"/>
    <col min="7" max="7" width="6.5" style="1" customWidth="1"/>
    <col min="8" max="8" width="9.1640625" style="1" customWidth="1"/>
    <col min="9" max="9" width="5.5" style="1" customWidth="1"/>
    <col min="10" max="10" width="5.83203125" style="1" customWidth="1"/>
    <col min="11" max="40" width="5.1640625" style="1" customWidth="1"/>
    <col min="41" max="16384" width="9.1640625" style="1"/>
  </cols>
  <sheetData>
    <row r="1" spans="2:40" x14ac:dyDescent="0.15">
      <c r="B1" s="1" t="s">
        <v>85</v>
      </c>
      <c r="E1" s="1" t="str">
        <f>Summary!F3</f>
        <v>Carillon</v>
      </c>
      <c r="M1" s="2" t="s">
        <v>87</v>
      </c>
      <c r="N1" s="235">
        <v>42998</v>
      </c>
      <c r="O1" s="235"/>
      <c r="P1" s="235"/>
      <c r="Q1" s="235"/>
      <c r="R1" s="235"/>
      <c r="T1" s="211" t="s">
        <v>93</v>
      </c>
      <c r="U1" s="211"/>
      <c r="V1" s="211"/>
      <c r="W1" s="5">
        <f>Summary!G10</f>
        <v>8.5</v>
      </c>
    </row>
    <row r="2" spans="2:40" x14ac:dyDescent="0.15">
      <c r="B2" s="1" t="s">
        <v>84</v>
      </c>
      <c r="E2" s="1" t="str">
        <f>Summary!F4</f>
        <v>Lawrenceville, GA</v>
      </c>
      <c r="M2" s="2" t="s">
        <v>88</v>
      </c>
      <c r="N2" s="228"/>
      <c r="O2" s="228"/>
      <c r="P2" s="228"/>
      <c r="Q2" s="228"/>
      <c r="R2" s="228"/>
    </row>
    <row r="3" spans="2:40" x14ac:dyDescent="0.15">
      <c r="B3" s="1" t="s">
        <v>2</v>
      </c>
      <c r="E3" s="1" t="str">
        <f>Summary!F5</f>
        <v>Millhaven GL</v>
      </c>
      <c r="M3" s="2" t="s">
        <v>89</v>
      </c>
      <c r="N3" s="4" t="s">
        <v>91</v>
      </c>
      <c r="O3" s="4"/>
      <c r="P3" s="4"/>
      <c r="Q3" s="230" t="s">
        <v>244</v>
      </c>
      <c r="R3" s="230"/>
      <c r="T3" s="211" t="s">
        <v>94</v>
      </c>
      <c r="U3" s="211"/>
      <c r="V3" s="211"/>
      <c r="W3" s="5">
        <v>1</v>
      </c>
    </row>
    <row r="4" spans="2:40" ht="12" customHeight="1" x14ac:dyDescent="0.15">
      <c r="E4" s="1" t="s">
        <v>86</v>
      </c>
      <c r="F4" s="2"/>
      <c r="G4" s="3">
        <f>SUM(I44:I46)</f>
        <v>0</v>
      </c>
      <c r="H4" s="2" t="s">
        <v>54</v>
      </c>
      <c r="I4" s="3">
        <f>I50</f>
        <v>0</v>
      </c>
      <c r="J4" s="2" t="s">
        <v>92</v>
      </c>
      <c r="K4" s="106">
        <f>G4/E56</f>
        <v>0</v>
      </c>
      <c r="M4" s="2" t="s">
        <v>90</v>
      </c>
      <c r="N4" s="4">
        <v>14</v>
      </c>
    </row>
    <row r="5" spans="2:40" ht="5.25" customHeight="1" thickBot="1" x14ac:dyDescent="0.2"/>
    <row r="6" spans="2:40" ht="13.5" customHeight="1" x14ac:dyDescent="0.15">
      <c r="B6" s="6"/>
      <c r="C6" s="7"/>
      <c r="D6" s="7"/>
      <c r="E6" s="7"/>
      <c r="F6" s="7"/>
      <c r="G6" s="7"/>
      <c r="H6" s="7"/>
      <c r="I6" s="259" t="s">
        <v>32</v>
      </c>
      <c r="J6" s="259"/>
      <c r="K6" s="205">
        <f>$W$1</f>
        <v>8.5</v>
      </c>
      <c r="L6" s="205"/>
      <c r="M6" s="205">
        <f t="shared" ref="M6" si="0">$W$1</f>
        <v>8.5</v>
      </c>
      <c r="N6" s="205"/>
      <c r="O6" s="205">
        <f t="shared" ref="O6" si="1">$W$1</f>
        <v>8.5</v>
      </c>
      <c r="P6" s="205"/>
      <c r="Q6" s="205">
        <f t="shared" ref="Q6" si="2">$W$1</f>
        <v>8.5</v>
      </c>
      <c r="R6" s="205"/>
      <c r="S6" s="205">
        <f t="shared" ref="S6" si="3">$W$1</f>
        <v>8.5</v>
      </c>
      <c r="T6" s="205"/>
      <c r="U6" s="205">
        <f t="shared" ref="U6" si="4">$W$1</f>
        <v>8.5</v>
      </c>
      <c r="V6" s="205"/>
      <c r="W6" s="205">
        <f t="shared" ref="W6" si="5">$W$1</f>
        <v>8.5</v>
      </c>
      <c r="X6" s="205"/>
      <c r="Y6" s="205">
        <f t="shared" ref="Y6" si="6">$W$1</f>
        <v>8.5</v>
      </c>
      <c r="Z6" s="205"/>
      <c r="AA6" s="205">
        <f t="shared" ref="AA6" si="7">$W$1</f>
        <v>8.5</v>
      </c>
      <c r="AB6" s="205"/>
      <c r="AC6" s="205">
        <f t="shared" ref="AC6" si="8">$W$1</f>
        <v>8.5</v>
      </c>
      <c r="AD6" s="205"/>
      <c r="AE6" s="205">
        <f t="shared" ref="AE6" si="9">$W$1</f>
        <v>8.5</v>
      </c>
      <c r="AF6" s="205"/>
      <c r="AG6" s="205">
        <f t="shared" ref="AG6:AK6" si="10">$W$1</f>
        <v>8.5</v>
      </c>
      <c r="AH6" s="205"/>
      <c r="AI6" s="205">
        <f t="shared" ref="AI6" si="11">$W$1</f>
        <v>8.5</v>
      </c>
      <c r="AJ6" s="205"/>
      <c r="AK6" s="205">
        <f t="shared" si="10"/>
        <v>8.5</v>
      </c>
      <c r="AL6" s="205"/>
      <c r="AM6" s="205">
        <f t="shared" ref="AM6" si="12">$W$1</f>
        <v>8.5</v>
      </c>
      <c r="AN6" s="205"/>
    </row>
    <row r="7" spans="2:40" s="9" customFormat="1" ht="36" customHeight="1" x14ac:dyDescent="0.2">
      <c r="B7" s="254" t="s">
        <v>0</v>
      </c>
      <c r="C7" s="255"/>
      <c r="D7" s="255"/>
      <c r="E7" s="256" t="s">
        <v>3</v>
      </c>
      <c r="F7" s="256" t="s">
        <v>4</v>
      </c>
      <c r="G7" s="255" t="s">
        <v>5</v>
      </c>
      <c r="H7" s="206"/>
      <c r="I7" s="255" t="s">
        <v>29</v>
      </c>
      <c r="J7" s="255"/>
      <c r="K7" s="255" t="str" cm="1">
        <f t="array" ref="K7">IFERROR(INDEX('Rooms Walls and Glass'!$D$7:$AB$7,MATCH(0,IF('Unit 2 b'!$Q$3='Rooms Walls and Glass'!$D$2:$AB$2,COUNTIF($E$1:$E1,'Rooms Walls and Glass'!E7:AB$7),""),0)),"")</f>
        <v/>
      </c>
      <c r="L7" s="255"/>
      <c r="M7" s="255" t="str" cm="1">
        <f t="array" ref="M7">IFERROR(INDEX('Rooms Walls and Glass'!$D$7:$AB$7,MATCH(0,IF('Unit 2 b'!$Q$3='Rooms Walls and Glass'!$D$2:$AB$2,COUNTIF(K7,'Rooms Walls and Glass'!D$7:$AB$7),""),0)),"")</f>
        <v/>
      </c>
      <c r="N7" s="255"/>
      <c r="O7" s="206" t="str" cm="1">
        <f t="array" ref="O7">IFERROR(INDEX('Rooms Walls and Glass'!$D$7:$AB$7,MATCH(0,IF('Unit 2 b'!$Q$3='Rooms Walls and Glass'!$D$2:$AB$2,COUNTIF(K7:M7,'Rooms Walls and Glass'!D$7:$AB$7),""),0)),"")</f>
        <v/>
      </c>
      <c r="P7" s="207"/>
      <c r="Q7" s="206" t="str" cm="1">
        <f t="array" ref="Q7">IFERROR(INDEX('Rooms Walls and Glass'!$D$7:$AB$7,MATCH(0,IF('Unit 2 b'!$Q$3='Rooms Walls and Glass'!$D$2:$AB$2,COUNTIF($K$7:O$7,'Rooms Walls and Glass'!D$7:$AB$7),""),0)),"")</f>
        <v/>
      </c>
      <c r="R7" s="207"/>
      <c r="S7" s="206" t="str" cm="1">
        <f t="array" ref="S7">IFERROR(INDEX('Rooms Walls and Glass'!$D$7:$AB$7,MATCH(0,IF('Unit 2 b'!$Q$3='Rooms Walls and Glass'!$D$2:$AB$2,COUNTIF($K$7:R$7,'Rooms Walls and Glass'!$D$7:$AB$7),""),0)),"")</f>
        <v/>
      </c>
      <c r="T7" s="207"/>
      <c r="U7" s="206" t="str" cm="1">
        <f t="array" ref="U7">IFERROR(INDEX('Rooms Walls and Glass'!$D$7:$AB$7,MATCH(0,IF('Unit 2 b'!$Q$3='Rooms Walls and Glass'!$D$2:$AB$2,COUNTIF($K$7:T$7,'Rooms Walls and Glass'!$D$7:$AB$7),""),0)),"")</f>
        <v/>
      </c>
      <c r="V7" s="207"/>
      <c r="W7" s="206" t="str" cm="1">
        <f t="array" ref="W7">IFERROR(INDEX('Rooms Walls and Glass'!$D$7:$AB$7,MATCH(0,IF('Unit 2 b'!$Q$3='Rooms Walls and Glass'!$D$2:$AB$2,COUNTIF($K$7:V$7,'Rooms Walls and Glass'!$D$7:$AB$7),""),0)),"")</f>
        <v/>
      </c>
      <c r="X7" s="207"/>
      <c r="Y7" s="206" t="str" cm="1">
        <f t="array" ref="Y7">IFERROR(INDEX('Rooms Walls and Glass'!$D$7:$AB$7,MATCH(0,IF('Unit 2 b'!$Q$3='Rooms Walls and Glass'!$D$2:$AB$2,COUNTIF($K$7:X$7,'Rooms Walls and Glass'!$D$7:$AB$7),""),0)),"")</f>
        <v/>
      </c>
      <c r="Z7" s="207"/>
      <c r="AA7" s="206" t="str" cm="1">
        <f t="array" ref="AA7">IFERROR(INDEX('Rooms Walls and Glass'!$D$7:$AB$7,MATCH(0,IF('Unit 2 b'!$Q$3='Rooms Walls and Glass'!$D$2:$AB$2,COUNTIF($K$7:Z$7,'Rooms Walls and Glass'!$D$7:$AB$7),""),0)),"")</f>
        <v/>
      </c>
      <c r="AB7" s="207"/>
      <c r="AC7" s="206" t="str" cm="1">
        <f t="array" ref="AC7">IFERROR(INDEX('Rooms Walls and Glass'!$D$7:$AB$7,MATCH(0,IF('Unit 2 b'!$Q$3='Rooms Walls and Glass'!$D$2:$AB$2,COUNTIF($K$7:AB$7,'Rooms Walls and Glass'!$D$7:$AB$7),""),0)),"")</f>
        <v/>
      </c>
      <c r="AD7" s="207"/>
      <c r="AE7" s="206" t="str" cm="1">
        <f t="array" ref="AE7">IFERROR(INDEX('Rooms Walls and Glass'!$D$7:$AB$7,MATCH(0,IF('Unit 2 b'!$Q$3='Rooms Walls and Glass'!$D$2:$AB$2,COUNTIF($K$7:AD$7,'Rooms Walls and Glass'!$D$7:$AB$7),""),0)),"")</f>
        <v/>
      </c>
      <c r="AF7" s="207"/>
      <c r="AG7" s="206" t="str" cm="1">
        <f t="array" ref="AG7">IFERROR(INDEX('Rooms Walls and Glass'!$D$7:$AB$7,MATCH(0,IF('Unit 2 b'!$Q$3='Rooms Walls and Glass'!$D$2:$AB$2,COUNTIF($K$7:AF$7,'Rooms Walls and Glass'!$D$7:$AB$7),""),0)),"")</f>
        <v/>
      </c>
      <c r="AH7" s="207"/>
      <c r="AI7" s="206" t="str" cm="1">
        <f t="array" ref="AI7">IFERROR(INDEX('Rooms Walls and Glass'!$D$7:$AB$7,MATCH(0,IF('Unit 2 b'!$Q$3='Rooms Walls and Glass'!$D$2:$AB$2,COUNTIF($K$7:AH$7,'Rooms Walls and Glass'!$D$7:$AB$7),""),0)),"")</f>
        <v/>
      </c>
      <c r="AJ7" s="207"/>
      <c r="AK7" s="206" t="str" cm="1">
        <f t="array" ref="AK7">IFERROR(INDEX('Rooms Walls and Glass'!$D$7:$AB$7,MATCH(0,IF('Unit 2 b'!$Q$3='Rooms Walls and Glass'!$D$2:$AB$2,COUNTIF($K$7:AJ$7,'Rooms Walls and Glass'!$D$7:$AB$7),""),0)),"")</f>
        <v/>
      </c>
      <c r="AL7" s="207"/>
      <c r="AM7" s="206" t="str" cm="1">
        <f t="array" ref="AM7">IFERROR(INDEX('Rooms Walls and Glass'!$D$7:$AB$7,MATCH(0,IF('Unit 2 b'!$Q$3='Rooms Walls and Glass'!$D$2:$AB$2,COUNTIF($K$7:AL$7,'Rooms Walls and Glass'!$D$7:$AB$7),""),0)),"")</f>
        <v/>
      </c>
      <c r="AN7" s="207"/>
    </row>
    <row r="8" spans="2:40" ht="11.25" customHeight="1" thickBot="1" x14ac:dyDescent="0.2">
      <c r="B8" s="40"/>
      <c r="C8" s="18" t="s">
        <v>1</v>
      </c>
      <c r="D8" s="18" t="s">
        <v>2</v>
      </c>
      <c r="E8" s="257"/>
      <c r="F8" s="257"/>
      <c r="G8" s="258"/>
      <c r="H8" s="258"/>
      <c r="I8" s="18" t="s">
        <v>30</v>
      </c>
      <c r="J8" s="18" t="s">
        <v>31</v>
      </c>
      <c r="K8" s="18" t="s">
        <v>30</v>
      </c>
      <c r="L8" s="18" t="s">
        <v>31</v>
      </c>
      <c r="M8" s="18" t="s">
        <v>30</v>
      </c>
      <c r="N8" s="18" t="s">
        <v>31</v>
      </c>
      <c r="O8" s="18" t="s">
        <v>30</v>
      </c>
      <c r="P8" s="18" t="s">
        <v>31</v>
      </c>
      <c r="Q8" s="18" t="s">
        <v>30</v>
      </c>
      <c r="R8" s="18" t="s">
        <v>31</v>
      </c>
      <c r="S8" s="18" t="s">
        <v>30</v>
      </c>
      <c r="T8" s="18" t="s">
        <v>31</v>
      </c>
      <c r="U8" s="18" t="s">
        <v>30</v>
      </c>
      <c r="V8" s="18" t="s">
        <v>31</v>
      </c>
      <c r="W8" s="18" t="s">
        <v>30</v>
      </c>
      <c r="X8" s="18" t="s">
        <v>31</v>
      </c>
      <c r="Y8" s="18" t="s">
        <v>30</v>
      </c>
      <c r="Z8" s="18" t="s">
        <v>31</v>
      </c>
      <c r="AA8" s="18" t="s">
        <v>30</v>
      </c>
      <c r="AB8" s="18" t="s">
        <v>31</v>
      </c>
      <c r="AC8" s="18" t="s">
        <v>30</v>
      </c>
      <c r="AD8" s="18" t="s">
        <v>31</v>
      </c>
      <c r="AE8" s="18" t="s">
        <v>30</v>
      </c>
      <c r="AF8" s="18" t="s">
        <v>31</v>
      </c>
      <c r="AG8" s="18" t="s">
        <v>30</v>
      </c>
      <c r="AH8" s="18" t="s">
        <v>31</v>
      </c>
      <c r="AI8" s="18" t="s">
        <v>30</v>
      </c>
      <c r="AJ8" s="34" t="s">
        <v>31</v>
      </c>
      <c r="AK8" s="18" t="s">
        <v>30</v>
      </c>
      <c r="AL8" s="18" t="s">
        <v>31</v>
      </c>
      <c r="AM8" s="18" t="s">
        <v>30</v>
      </c>
      <c r="AN8" s="34" t="s">
        <v>31</v>
      </c>
    </row>
    <row r="9" spans="2:40" ht="11.25" customHeight="1" thickBot="1" x14ac:dyDescent="0.2">
      <c r="B9" s="212" t="s">
        <v>77</v>
      </c>
      <c r="C9" s="12" t="s">
        <v>7</v>
      </c>
      <c r="D9" s="13" t="str">
        <f>'Rooms Walls and Glass'!A8</f>
        <v>NorthWest</v>
      </c>
      <c r="E9" s="13" t="s">
        <v>8</v>
      </c>
      <c r="F9" s="13" t="s">
        <v>9</v>
      </c>
      <c r="G9" s="103">
        <f>INDEX('Glass CLF Calculation'!$A$4:$G$11,MATCH('Unit 2 b'!D9,'Glass CLF Calculation'!$A$4:$A$11,0),7)</f>
        <v>18.306648888888887</v>
      </c>
      <c r="H9" s="13" t="s">
        <v>6</v>
      </c>
      <c r="I9" s="65">
        <f>SUM(K9,M9,O9,Q9,U9,W9,Y9,AA9,AC9,AE9,AG9,AI9,S9,AK9,AM9)</f>
        <v>0</v>
      </c>
      <c r="J9" s="65">
        <f>IF(I9="","-",I9*$G9)</f>
        <v>0</v>
      </c>
      <c r="K9" s="66" t="str">
        <f>IF(K$7="","",IF(INDEX('Rooms Walls and Glass'!$D$3:$AB$17, MATCH($D9,'Rooms Walls and Glass'!$A$3:$A$17,0), MATCH('Unit 2 b'!K$7,'Rooms Walls and Glass'!$D$1:$AB$1,0))=0,"",INDEX('Rooms Walls and Glass'!$D$3:$AB$17, MATCH($D9,'Rooms Walls and Glass'!$A$3:$A$17,0), MATCH('Unit 2 b'!K$7,'Rooms Walls and Glass'!$D$1:$AB$1,0))))</f>
        <v/>
      </c>
      <c r="L9" s="65" t="str">
        <f>IF(K9="","-",K9*$G9)</f>
        <v>-</v>
      </c>
      <c r="M9" s="66" t="str">
        <f>IF(M$7="","",IF(INDEX('Rooms Walls and Glass'!$D$3:$AB$17, MATCH($D9,'Rooms Walls and Glass'!$A$3:$A$17,0), MATCH('Unit 2 b'!M$7,'Rooms Walls and Glass'!$D$1:$AB$1,0))=0,"",INDEX('Rooms Walls and Glass'!$D$3:$AB$17, MATCH($D9,'Rooms Walls and Glass'!$A$3:$A$17,0), MATCH('Unit 2 b'!M$7,'Rooms Walls and Glass'!$D$1:$AB$1,0))))</f>
        <v/>
      </c>
      <c r="N9" s="65" t="str">
        <f>IF(M9="","-",M9*$G9)</f>
        <v>-</v>
      </c>
      <c r="O9" s="66" t="str">
        <f>IF(O$7="","",IF(INDEX('Rooms Walls and Glass'!$D$3:$AB$17, MATCH($D9,'Rooms Walls and Glass'!$A$3:$A$17,0), MATCH('Unit 2 b'!O$7,'Rooms Walls and Glass'!$D$1:$AB$1,0))=0,"",INDEX('Rooms Walls and Glass'!$D$3:$AB$17, MATCH($D9,'Rooms Walls and Glass'!$A$3:$A$17,0), MATCH('Unit 2 b'!O$7,'Rooms Walls and Glass'!$D$1:$AB$1,0))))</f>
        <v/>
      </c>
      <c r="P9" s="65" t="str">
        <f>IF(O9="","-",O9*$G9)</f>
        <v>-</v>
      </c>
      <c r="Q9" s="66" t="str">
        <f>IF(Q$7="","",IF(INDEX('Rooms Walls and Glass'!$D$3:$AB$17, MATCH($D9,'Rooms Walls and Glass'!$A$3:$A$17,0), MATCH('Unit 2 b'!Q$7,'Rooms Walls and Glass'!$D$1:$AB$1,0))=0,"",INDEX('Rooms Walls and Glass'!$D$3:$AB$17, MATCH($D9,'Rooms Walls and Glass'!$A$3:$A$17,0), MATCH('Unit 2 b'!Q$7,'Rooms Walls and Glass'!$D$1:$AB$1,0))))</f>
        <v/>
      </c>
      <c r="R9" s="65" t="str">
        <f>IF(Q9="","-",Q9*$G9)</f>
        <v>-</v>
      </c>
      <c r="S9" s="66" t="str">
        <f>IF(S$7="","",IF(INDEX('Rooms Walls and Glass'!$D$3:$AB$17, MATCH($D9,'Rooms Walls and Glass'!$A$3:$A$17,0), MATCH('Unit 2 b'!S$7,'Rooms Walls and Glass'!$D$1:$AB$1,0))=0,"",INDEX('Rooms Walls and Glass'!$D$3:$AB$17, MATCH($D9,'Rooms Walls and Glass'!$A$3:$A$17,0), MATCH('Unit 2 b'!S$7,'Rooms Walls and Glass'!$D$1:$AB$1,0))))</f>
        <v/>
      </c>
      <c r="T9" s="65" t="str">
        <f>IF(S9="","-",S9*$G9)</f>
        <v>-</v>
      </c>
      <c r="U9" s="66" t="str">
        <f>IF(U$7="","",IF(INDEX('Rooms Walls and Glass'!$D$3:$AB$17, MATCH($D9,'Rooms Walls and Glass'!$A$3:$A$17,0), MATCH('Unit 2 b'!U$7,'Rooms Walls and Glass'!$D$1:$AB$1,0))=0,"",INDEX('Rooms Walls and Glass'!$D$3:$AB$17, MATCH($D9,'Rooms Walls and Glass'!$A$3:$A$17,0), MATCH('Unit 2 b'!U$7,'Rooms Walls and Glass'!$D$1:$AB$1,0))))</f>
        <v/>
      </c>
      <c r="V9" s="65" t="str">
        <f>IF(U9="","-",U9*$G9)</f>
        <v>-</v>
      </c>
      <c r="W9" s="66" t="str">
        <f>IF(W$7="","",IF(INDEX('Rooms Walls and Glass'!$D$3:$AB$17, MATCH($D9,'Rooms Walls and Glass'!$A$3:$A$17,0), MATCH('Unit 2 b'!W$7,'Rooms Walls and Glass'!$D$1:$AB$1,0))=0,"",INDEX('Rooms Walls and Glass'!$D$3:$AB$17, MATCH($D9,'Rooms Walls and Glass'!$A$3:$A$17,0), MATCH('Unit 2 b'!W$7,'Rooms Walls and Glass'!$D$1:$AB$1,0))))</f>
        <v/>
      </c>
      <c r="X9" s="65" t="str">
        <f>IF(W9="","-",W9*$G9)</f>
        <v>-</v>
      </c>
      <c r="Y9" s="66" t="str">
        <f>IF(Y$7="","",IF(INDEX('Rooms Walls and Glass'!$D$3:$AB$17, MATCH($D9,'Rooms Walls and Glass'!$A$3:$A$17,0), MATCH('Unit 2 b'!Y$7,'Rooms Walls and Glass'!$D$1:$AB$1,0))=0,"",INDEX('Rooms Walls and Glass'!$D$3:$AB$17, MATCH($D9,'Rooms Walls and Glass'!$A$3:$A$17,0), MATCH('Unit 2 b'!Y$7,'Rooms Walls and Glass'!$D$1:$AB$1,0))))</f>
        <v/>
      </c>
      <c r="Z9" s="65" t="str">
        <f>IF(Y9="","-",Y9*$G9)</f>
        <v>-</v>
      </c>
      <c r="AA9" s="66" t="str">
        <f>IF(AA$7="","",IF(INDEX('Rooms Walls and Glass'!$D$3:$AB$17, MATCH($D9,'Rooms Walls and Glass'!$A$3:$A$17,0), MATCH('Unit 2 b'!AA$7,'Rooms Walls and Glass'!$D$1:$AB$1,0))=0,"",INDEX('Rooms Walls and Glass'!$D$3:$AB$17, MATCH($D9,'Rooms Walls and Glass'!$A$3:$A$17,0), MATCH('Unit 2 b'!AA$7,'Rooms Walls and Glass'!$D$1:$AB$1,0))))</f>
        <v/>
      </c>
      <c r="AB9" s="65" t="str">
        <f>IF(AA9="","-",AA9*$G9)</f>
        <v>-</v>
      </c>
      <c r="AC9" s="66" t="str">
        <f>IF(AC$7="","",IF(INDEX('Rooms Walls and Glass'!$D$3:$AB$17, MATCH($D9,'Rooms Walls and Glass'!$A$3:$A$17,0), MATCH('Unit 2 b'!AC$7,'Rooms Walls and Glass'!$D$1:$AB$1,0))=0,"",INDEX('Rooms Walls and Glass'!$D$3:$AB$17, MATCH($D9,'Rooms Walls and Glass'!$A$3:$A$17,0), MATCH('Unit 2 b'!AC$7,'Rooms Walls and Glass'!$D$1:$AB$1,0))))</f>
        <v/>
      </c>
      <c r="AD9" s="65" t="str">
        <f>IF(AC9="","-",AC9*$G9)</f>
        <v>-</v>
      </c>
      <c r="AE9" s="66" t="str">
        <f>IF(AE$7="","",IF(INDEX('Rooms Walls and Glass'!$D$3:$AB$17, MATCH($D9,'Rooms Walls and Glass'!$A$3:$A$17,0), MATCH('Unit 2 b'!AE$7,'Rooms Walls and Glass'!$D$1:$AB$1,0))=0,"",INDEX('Rooms Walls and Glass'!$D$3:$AB$17, MATCH($D9,'Rooms Walls and Glass'!$A$3:$A$17,0), MATCH('Unit 2 b'!AE$7,'Rooms Walls and Glass'!$D$1:$AB$1,0))))</f>
        <v/>
      </c>
      <c r="AF9" s="65" t="str">
        <f>IF(AE9="","-",AE9*$G9)</f>
        <v>-</v>
      </c>
      <c r="AG9" s="66" t="str">
        <f>IF(AG$7="","",IF(INDEX('Rooms Walls and Glass'!$D$3:$AB$17, MATCH($D9,'Rooms Walls and Glass'!$A$3:$A$17,0), MATCH('Unit 2 b'!AG$7,'Rooms Walls and Glass'!$D$1:$AB$1,0))=0,"",INDEX('Rooms Walls and Glass'!$D$3:$AB$17, MATCH($D9,'Rooms Walls and Glass'!$A$3:$A$17,0), MATCH('Unit 2 b'!AG$7,'Rooms Walls and Glass'!$D$1:$AB$1,0))))</f>
        <v/>
      </c>
      <c r="AH9" s="65" t="str">
        <f>IF(AG9="","-",AG9*$G9)</f>
        <v>-</v>
      </c>
      <c r="AI9" s="66" t="str">
        <f>IF(AI$7="","",IF(INDEX('Rooms Walls and Glass'!$D$3:$AB$17, MATCH($D9,'Rooms Walls and Glass'!$A$3:$A$17,0), MATCH('Unit 2 b'!AI$7,'Rooms Walls and Glass'!$D$1:$AB$1,0))=0,"",INDEX('Rooms Walls and Glass'!$D$3:$AB$17, MATCH($D9,'Rooms Walls and Glass'!$A$3:$A$17,0), MATCH('Unit 2 b'!AI$7,'Rooms Walls and Glass'!$D$1:$AB$1,0))))</f>
        <v/>
      </c>
      <c r="AJ9" s="67" t="str">
        <f>IF(AI9="","-",AI9*$G9)</f>
        <v>-</v>
      </c>
      <c r="AK9" s="66" t="str">
        <f>IF(AK$7="","",IF(INDEX('Rooms Walls and Glass'!$D$3:$AB$17, MATCH($D9,'Rooms Walls and Glass'!$A$3:$A$17,0), MATCH('Unit 2 b'!AK$7,'Rooms Walls and Glass'!$D$1:$AB$1,0))=0,"",INDEX('Rooms Walls and Glass'!$D$3:$AB$17, MATCH($D9,'Rooms Walls and Glass'!$A$3:$A$17,0), MATCH('Unit 2 b'!AK$7,'Rooms Walls and Glass'!$D$1:$AB$1,0))))</f>
        <v/>
      </c>
      <c r="AL9" s="65" t="str">
        <f>IF(AK9="","-",AK9*$G9)</f>
        <v>-</v>
      </c>
      <c r="AM9" s="66" t="str">
        <f>IF(AM$7="","",IF(INDEX('Rooms Walls and Glass'!$D$3:$AB$17, MATCH($D9,'Rooms Walls and Glass'!$A$3:$A$17,0), MATCH('Unit 2 b'!AM$7,'Rooms Walls and Glass'!$D$1:$AB$1,0))=0,"",INDEX('Rooms Walls and Glass'!$D$3:$AB$17, MATCH($D9,'Rooms Walls and Glass'!$A$3:$A$17,0), MATCH('Unit 2 b'!AM$7,'Rooms Walls and Glass'!$D$1:$AB$1,0))))</f>
        <v/>
      </c>
      <c r="AN9" s="67" t="str">
        <f>IF(AM9="","-",AM9*$G9)</f>
        <v>-</v>
      </c>
    </row>
    <row r="10" spans="2:40" ht="11.25" customHeight="1" thickBot="1" x14ac:dyDescent="0.2">
      <c r="B10" s="214"/>
      <c r="C10" s="15" t="s">
        <v>7</v>
      </c>
      <c r="D10" s="13" t="str">
        <f>'Rooms Walls and Glass'!A9</f>
        <v>North</v>
      </c>
      <c r="E10" s="16"/>
      <c r="F10" s="16" t="s">
        <v>10</v>
      </c>
      <c r="G10" s="103">
        <f>INDEX('Glass CLF Calculation'!$A$4:$G$11,MATCH('Unit 2 b'!D10,'Glass CLF Calculation'!$A$4:$A$11,0),7)</f>
        <v>6.2012662222222215</v>
      </c>
      <c r="H10" s="16" t="s">
        <v>6</v>
      </c>
      <c r="I10" s="65">
        <f t="shared" ref="I10:I46" si="13">SUM(K10,M10,O10,Q10,U10,W10,Y10,AA10,AC10,AE10,AG10,AI10,S10,AK10,AM10)</f>
        <v>0</v>
      </c>
      <c r="J10" s="68">
        <f t="shared" ref="J10:J49" si="14">IF(I10="","-",I10*$G10)</f>
        <v>0</v>
      </c>
      <c r="K10" s="66" t="str">
        <f>IF(K$7="","",IF(INDEX('Rooms Walls and Glass'!$D$3:$AB$17, MATCH($D10,'Rooms Walls and Glass'!$A$3:$A$17,0), MATCH('Unit 2 b'!K$7,'Rooms Walls and Glass'!$D$1:$AB$1,0))=0,"",INDEX('Rooms Walls and Glass'!$D$3:$AB$17, MATCH($D10,'Rooms Walls and Glass'!$A$3:$A$17,0), MATCH('Unit 2 b'!K$7,'Rooms Walls and Glass'!$D$1:$AB$1,0))))</f>
        <v/>
      </c>
      <c r="L10" s="68" t="str">
        <f t="shared" ref="L10:L55" si="15">IF(K10="","-",K10*$G10)</f>
        <v>-</v>
      </c>
      <c r="M10" s="66" t="str">
        <f>IF(M$7="","",IF(INDEX('Rooms Walls and Glass'!$D$3:$AB$17, MATCH($D10,'Rooms Walls and Glass'!$A$3:$A$17,0), MATCH('Unit 2 b'!M$7,'Rooms Walls and Glass'!$D$1:$AB$1,0))=0,"",INDEX('Rooms Walls and Glass'!$D$3:$AB$17, MATCH($D10,'Rooms Walls and Glass'!$A$3:$A$17,0), MATCH('Unit 2 b'!M$7,'Rooms Walls and Glass'!$D$1:$AB$1,0))))</f>
        <v/>
      </c>
      <c r="N10" s="68" t="str">
        <f t="shared" ref="N10:N55" si="16">IF(M10="","-",M10*$G10)</f>
        <v>-</v>
      </c>
      <c r="O10" s="66" t="str">
        <f>IF(O$7="","",IF(INDEX('Rooms Walls and Glass'!$D$3:$AB$17, MATCH($D10,'Rooms Walls and Glass'!$A$3:$A$17,0), MATCH('Unit 2 b'!O$7,'Rooms Walls and Glass'!$D$1:$AB$1,0))=0,"",INDEX('Rooms Walls and Glass'!$D$3:$AB$17, MATCH($D10,'Rooms Walls and Glass'!$A$3:$A$17,0), MATCH('Unit 2 b'!O$7,'Rooms Walls and Glass'!$D$1:$AB$1,0))))</f>
        <v/>
      </c>
      <c r="P10" s="68" t="str">
        <f t="shared" ref="P10:P55" si="17">IF(O10="","-",O10*$G10)</f>
        <v>-</v>
      </c>
      <c r="Q10" s="66" t="str">
        <f>IF(Q$7="","",IF(INDEX('Rooms Walls and Glass'!$D$3:$AB$17, MATCH($D10,'Rooms Walls and Glass'!$A$3:$A$17,0), MATCH('Unit 2 b'!Q$7,'Rooms Walls and Glass'!$D$1:$AB$1,0))=0,"",INDEX('Rooms Walls and Glass'!$D$3:$AB$17, MATCH($D10,'Rooms Walls and Glass'!$A$3:$A$17,0), MATCH('Unit 2 b'!Q$7,'Rooms Walls and Glass'!$D$1:$AB$1,0))))</f>
        <v/>
      </c>
      <c r="R10" s="68" t="str">
        <f t="shared" ref="R10:R55" si="18">IF(Q10="","-",Q10*$G10)</f>
        <v>-</v>
      </c>
      <c r="S10" s="66" t="str">
        <f>IF(S$7="","",IF(INDEX('Rooms Walls and Glass'!$D$3:$AB$17, MATCH($D10,'Rooms Walls and Glass'!$A$3:$A$17,0), MATCH('Unit 2 b'!S$7,'Rooms Walls and Glass'!$D$1:$AB$1,0))=0,"",INDEX('Rooms Walls and Glass'!$D$3:$AB$17, MATCH($D10,'Rooms Walls and Glass'!$A$3:$A$17,0), MATCH('Unit 2 b'!S$7,'Rooms Walls and Glass'!$D$1:$AB$1,0))))</f>
        <v/>
      </c>
      <c r="T10" s="68" t="str">
        <f t="shared" ref="T10:T55" si="19">IF(S10="","-",S10*$G10)</f>
        <v>-</v>
      </c>
      <c r="U10" s="66" t="str">
        <f>IF(U$7="","",IF(INDEX('Rooms Walls and Glass'!$D$3:$AB$17, MATCH($D10,'Rooms Walls and Glass'!$A$3:$A$17,0), MATCH('Unit 2 b'!U$7,'Rooms Walls and Glass'!$D$1:$AB$1,0))=0,"",INDEX('Rooms Walls and Glass'!$D$3:$AB$17, MATCH($D10,'Rooms Walls and Glass'!$A$3:$A$17,0), MATCH('Unit 2 b'!U$7,'Rooms Walls and Glass'!$D$1:$AB$1,0))))</f>
        <v/>
      </c>
      <c r="V10" s="68" t="str">
        <f t="shared" ref="V10:V55" si="20">IF(U10="","-",U10*$G10)</f>
        <v>-</v>
      </c>
      <c r="W10" s="66" t="str">
        <f>IF(W$7="","",IF(INDEX('Rooms Walls and Glass'!$D$3:$AB$17, MATCH($D10,'Rooms Walls and Glass'!$A$3:$A$17,0), MATCH('Unit 2 b'!W$7,'Rooms Walls and Glass'!$D$1:$AB$1,0))=0,"",INDEX('Rooms Walls and Glass'!$D$3:$AB$17, MATCH($D10,'Rooms Walls and Glass'!$A$3:$A$17,0), MATCH('Unit 2 b'!W$7,'Rooms Walls and Glass'!$D$1:$AB$1,0))))</f>
        <v/>
      </c>
      <c r="X10" s="68" t="str">
        <f t="shared" ref="X10:X55" si="21">IF(W10="","-",W10*$G10)</f>
        <v>-</v>
      </c>
      <c r="Y10" s="66" t="str">
        <f>IF(Y$7="","",IF(INDEX('Rooms Walls and Glass'!$D$3:$AB$17, MATCH($D10,'Rooms Walls and Glass'!$A$3:$A$17,0), MATCH('Unit 2 b'!Y$7,'Rooms Walls and Glass'!$D$1:$AB$1,0))=0,"",INDEX('Rooms Walls and Glass'!$D$3:$AB$17, MATCH($D10,'Rooms Walls and Glass'!$A$3:$A$17,0), MATCH('Unit 2 b'!Y$7,'Rooms Walls and Glass'!$D$1:$AB$1,0))))</f>
        <v/>
      </c>
      <c r="Z10" s="68" t="str">
        <f t="shared" ref="Z10:Z55" si="22">IF(Y10="","-",Y10*$G10)</f>
        <v>-</v>
      </c>
      <c r="AA10" s="66" t="str">
        <f>IF(AA$7="","",IF(INDEX('Rooms Walls and Glass'!$D$3:$AB$17, MATCH($D10,'Rooms Walls and Glass'!$A$3:$A$17,0), MATCH('Unit 2 b'!AA$7,'Rooms Walls and Glass'!$D$1:$AB$1,0))=0,"",INDEX('Rooms Walls and Glass'!$D$3:$AB$17, MATCH($D10,'Rooms Walls and Glass'!$A$3:$A$17,0), MATCH('Unit 2 b'!AA$7,'Rooms Walls and Glass'!$D$1:$AB$1,0))))</f>
        <v/>
      </c>
      <c r="AB10" s="68" t="str">
        <f t="shared" ref="AB10:AB55" si="23">IF(AA10="","-",AA10*$G10)</f>
        <v>-</v>
      </c>
      <c r="AC10" s="66" t="str">
        <f>IF(AC$7="","",IF(INDEX('Rooms Walls and Glass'!$D$3:$AB$17, MATCH($D10,'Rooms Walls and Glass'!$A$3:$A$17,0), MATCH('Unit 2 b'!AC$7,'Rooms Walls and Glass'!$D$1:$AB$1,0))=0,"",INDEX('Rooms Walls and Glass'!$D$3:$AB$17, MATCH($D10,'Rooms Walls and Glass'!$A$3:$A$17,0), MATCH('Unit 2 b'!AC$7,'Rooms Walls and Glass'!$D$1:$AB$1,0))))</f>
        <v/>
      </c>
      <c r="AD10" s="68" t="str">
        <f t="shared" ref="AD10:AF25" si="24">IF(AC10="","-",AC10*$G10)</f>
        <v>-</v>
      </c>
      <c r="AE10" s="66" t="str">
        <f>IF(AE$7="","",IF(INDEX('Rooms Walls and Glass'!$D$3:$AB$17, MATCH($D10,'Rooms Walls and Glass'!$A$3:$A$17,0), MATCH('Unit 2 b'!AE$7,'Rooms Walls and Glass'!$D$1:$AB$1,0))=0,"",INDEX('Rooms Walls and Glass'!$D$3:$AB$17, MATCH($D10,'Rooms Walls and Glass'!$A$3:$A$17,0), MATCH('Unit 2 b'!AE$7,'Rooms Walls and Glass'!$D$1:$AB$1,0))))</f>
        <v/>
      </c>
      <c r="AF10" s="68" t="str">
        <f t="shared" si="24"/>
        <v>-</v>
      </c>
      <c r="AG10" s="66" t="str">
        <f>IF(AG$7="","",IF(INDEX('Rooms Walls and Glass'!$D$3:$AB$17, MATCH($D10,'Rooms Walls and Glass'!$A$3:$A$17,0), MATCH('Unit 2 b'!AG$7,'Rooms Walls and Glass'!$D$1:$AB$1,0))=0,"",INDEX('Rooms Walls and Glass'!$D$3:$AB$17, MATCH($D10,'Rooms Walls and Glass'!$A$3:$A$17,0), MATCH('Unit 2 b'!AG$7,'Rooms Walls and Glass'!$D$1:$AB$1,0))))</f>
        <v/>
      </c>
      <c r="AH10" s="68" t="str">
        <f t="shared" ref="AH10:AH55" si="25">IF(AG10="","-",AG10*$G10)</f>
        <v>-</v>
      </c>
      <c r="AI10" s="66" t="str">
        <f>IF(AI$7="","",IF(INDEX('Rooms Walls and Glass'!$D$3:$AB$17, MATCH($D10,'Rooms Walls and Glass'!$A$3:$A$17,0), MATCH('Unit 2 b'!AI$7,'Rooms Walls and Glass'!$D$1:$AB$1,0))=0,"",INDEX('Rooms Walls and Glass'!$D$3:$AB$17, MATCH($D10,'Rooms Walls and Glass'!$A$3:$A$17,0), MATCH('Unit 2 b'!AI$7,'Rooms Walls and Glass'!$D$1:$AB$1,0))))</f>
        <v/>
      </c>
      <c r="AJ10" s="69" t="str">
        <f t="shared" ref="AJ10:AJ55" si="26">IF(AI10="","-",AI10*$G10)</f>
        <v>-</v>
      </c>
      <c r="AK10" s="66" t="str">
        <f>IF(AK$7="","",IF(INDEX('Rooms Walls and Glass'!$D$3:$AB$17, MATCH($D10,'Rooms Walls and Glass'!$A$3:$A$17,0), MATCH('Unit 2 b'!AK$7,'Rooms Walls and Glass'!$D$1:$AB$1,0))=0,"",INDEX('Rooms Walls and Glass'!$D$3:$AB$17, MATCH($D10,'Rooms Walls and Glass'!$A$3:$A$17,0), MATCH('Unit 2 b'!AK$7,'Rooms Walls and Glass'!$D$1:$AB$1,0))))</f>
        <v/>
      </c>
      <c r="AL10" s="68" t="str">
        <f t="shared" ref="AL10:AL47" si="27">IF(AK10="","-",AK10*$G10)</f>
        <v>-</v>
      </c>
      <c r="AM10" s="66" t="str">
        <f>IF(AM$7="","",IF(INDEX('Rooms Walls and Glass'!$D$3:$AB$17, MATCH($D10,'Rooms Walls and Glass'!$A$3:$A$17,0), MATCH('Unit 2 b'!AM$7,'Rooms Walls and Glass'!$D$1:$AB$1,0))=0,"",INDEX('Rooms Walls and Glass'!$D$3:$AB$17, MATCH($D10,'Rooms Walls and Glass'!$A$3:$A$17,0), MATCH('Unit 2 b'!AM$7,'Rooms Walls and Glass'!$D$1:$AB$1,0))))</f>
        <v/>
      </c>
      <c r="AN10" s="69" t="str">
        <f t="shared" ref="AN10:AN47" si="28">IF(AM10="","-",AM10*$G10)</f>
        <v>-</v>
      </c>
    </row>
    <row r="11" spans="2:40" ht="11.25" customHeight="1" thickBot="1" x14ac:dyDescent="0.2">
      <c r="B11" s="214"/>
      <c r="C11" s="15" t="s">
        <v>7</v>
      </c>
      <c r="D11" s="13" t="str">
        <f>'Rooms Walls and Glass'!A10</f>
        <v>NorthEast</v>
      </c>
      <c r="E11" s="16" t="s">
        <v>17</v>
      </c>
      <c r="F11" s="16" t="s">
        <v>11</v>
      </c>
      <c r="G11" s="103">
        <f>INDEX('Glass CLF Calculation'!$A$4:$G$11,MATCH('Unit 2 b'!D11,'Glass CLF Calculation'!$A$4:$A$11,0),7)</f>
        <v>7.8267093333333335</v>
      </c>
      <c r="H11" s="16" t="s">
        <v>6</v>
      </c>
      <c r="I11" s="65">
        <f t="shared" si="13"/>
        <v>0</v>
      </c>
      <c r="J11" s="68">
        <f t="shared" si="14"/>
        <v>0</v>
      </c>
      <c r="K11" s="66" t="str">
        <f>IF(K$7="","",IF(INDEX('Rooms Walls and Glass'!$D$3:$AB$17, MATCH($D11,'Rooms Walls and Glass'!$A$3:$A$17,0), MATCH('Unit 2 b'!K$7,'Rooms Walls and Glass'!$D$1:$AB$1,0))=0,"",INDEX('Rooms Walls and Glass'!$D$3:$AB$17, MATCH($D11,'Rooms Walls and Glass'!$A$3:$A$17,0), MATCH('Unit 2 b'!K$7,'Rooms Walls and Glass'!$D$1:$AB$1,0))))</f>
        <v/>
      </c>
      <c r="L11" s="68" t="str">
        <f t="shared" si="15"/>
        <v>-</v>
      </c>
      <c r="M11" s="66" t="str">
        <f>IF(M$7="","",IF(INDEX('Rooms Walls and Glass'!$D$3:$AB$17, MATCH($D11,'Rooms Walls and Glass'!$A$3:$A$17,0), MATCH('Unit 2 b'!M$7,'Rooms Walls and Glass'!$D$1:$AB$1,0))=0,"",INDEX('Rooms Walls and Glass'!$D$3:$AB$17, MATCH($D11,'Rooms Walls and Glass'!$A$3:$A$17,0), MATCH('Unit 2 b'!M$7,'Rooms Walls and Glass'!$D$1:$AB$1,0))))</f>
        <v/>
      </c>
      <c r="N11" s="68" t="str">
        <f t="shared" si="16"/>
        <v>-</v>
      </c>
      <c r="O11" s="66" t="str">
        <f>IF(O$7="","",IF(INDEX('Rooms Walls and Glass'!$D$3:$AB$17, MATCH($D11,'Rooms Walls and Glass'!$A$3:$A$17,0), MATCH('Unit 2 b'!O$7,'Rooms Walls and Glass'!$D$1:$AB$1,0))=0,"",INDEX('Rooms Walls and Glass'!$D$3:$AB$17, MATCH($D11,'Rooms Walls and Glass'!$A$3:$A$17,0), MATCH('Unit 2 b'!O$7,'Rooms Walls and Glass'!$D$1:$AB$1,0))))</f>
        <v/>
      </c>
      <c r="P11" s="68" t="str">
        <f t="shared" si="17"/>
        <v>-</v>
      </c>
      <c r="Q11" s="66" t="str">
        <f>IF(Q$7="","",IF(INDEX('Rooms Walls and Glass'!$D$3:$AB$17, MATCH($D11,'Rooms Walls and Glass'!$A$3:$A$17,0), MATCH('Unit 2 b'!Q$7,'Rooms Walls and Glass'!$D$1:$AB$1,0))=0,"",INDEX('Rooms Walls and Glass'!$D$3:$AB$17, MATCH($D11,'Rooms Walls and Glass'!$A$3:$A$17,0), MATCH('Unit 2 b'!Q$7,'Rooms Walls and Glass'!$D$1:$AB$1,0))))</f>
        <v/>
      </c>
      <c r="R11" s="68" t="str">
        <f t="shared" si="18"/>
        <v>-</v>
      </c>
      <c r="S11" s="66" t="str">
        <f>IF(S$7="","",IF(INDEX('Rooms Walls and Glass'!$D$3:$AB$17, MATCH($D11,'Rooms Walls and Glass'!$A$3:$A$17,0), MATCH('Unit 2 b'!S$7,'Rooms Walls and Glass'!$D$1:$AB$1,0))=0,"",INDEX('Rooms Walls and Glass'!$D$3:$AB$17, MATCH($D11,'Rooms Walls and Glass'!$A$3:$A$17,0), MATCH('Unit 2 b'!S$7,'Rooms Walls and Glass'!$D$1:$AB$1,0))))</f>
        <v/>
      </c>
      <c r="T11" s="68" t="str">
        <f t="shared" si="19"/>
        <v>-</v>
      </c>
      <c r="U11" s="66" t="str">
        <f>IF(U$7="","",IF(INDEX('Rooms Walls and Glass'!$D$3:$AB$17, MATCH($D11,'Rooms Walls and Glass'!$A$3:$A$17,0), MATCH('Unit 2 b'!U$7,'Rooms Walls and Glass'!$D$1:$AB$1,0))=0,"",INDEX('Rooms Walls and Glass'!$D$3:$AB$17, MATCH($D11,'Rooms Walls and Glass'!$A$3:$A$17,0), MATCH('Unit 2 b'!U$7,'Rooms Walls and Glass'!$D$1:$AB$1,0))))</f>
        <v/>
      </c>
      <c r="V11" s="68" t="str">
        <f t="shared" si="20"/>
        <v>-</v>
      </c>
      <c r="W11" s="66" t="str">
        <f>IF(W$7="","",IF(INDEX('Rooms Walls and Glass'!$D$3:$AB$17, MATCH($D11,'Rooms Walls and Glass'!$A$3:$A$17,0), MATCH('Unit 2 b'!W$7,'Rooms Walls and Glass'!$D$1:$AB$1,0))=0,"",INDEX('Rooms Walls and Glass'!$D$3:$AB$17, MATCH($D11,'Rooms Walls and Glass'!$A$3:$A$17,0), MATCH('Unit 2 b'!W$7,'Rooms Walls and Glass'!$D$1:$AB$1,0))))</f>
        <v/>
      </c>
      <c r="X11" s="68" t="str">
        <f t="shared" si="21"/>
        <v>-</v>
      </c>
      <c r="Y11" s="66" t="str">
        <f>IF(Y$7="","",IF(INDEX('Rooms Walls and Glass'!$D$3:$AB$17, MATCH($D11,'Rooms Walls and Glass'!$A$3:$A$17,0), MATCH('Unit 2 b'!Y$7,'Rooms Walls and Glass'!$D$1:$AB$1,0))=0,"",INDEX('Rooms Walls and Glass'!$D$3:$AB$17, MATCH($D11,'Rooms Walls and Glass'!$A$3:$A$17,0), MATCH('Unit 2 b'!Y$7,'Rooms Walls and Glass'!$D$1:$AB$1,0))))</f>
        <v/>
      </c>
      <c r="Z11" s="68" t="str">
        <f t="shared" si="22"/>
        <v>-</v>
      </c>
      <c r="AA11" s="66" t="str">
        <f>IF(AA$7="","",IF(INDEX('Rooms Walls and Glass'!$D$3:$AB$17, MATCH($D11,'Rooms Walls and Glass'!$A$3:$A$17,0), MATCH('Unit 2 b'!AA$7,'Rooms Walls and Glass'!$D$1:$AB$1,0))=0,"",INDEX('Rooms Walls and Glass'!$D$3:$AB$17, MATCH($D11,'Rooms Walls and Glass'!$A$3:$A$17,0), MATCH('Unit 2 b'!AA$7,'Rooms Walls and Glass'!$D$1:$AB$1,0))))</f>
        <v/>
      </c>
      <c r="AB11" s="68" t="str">
        <f t="shared" si="23"/>
        <v>-</v>
      </c>
      <c r="AC11" s="66" t="str">
        <f>IF(AC$7="","",IF(INDEX('Rooms Walls and Glass'!$D$3:$AB$17, MATCH($D11,'Rooms Walls and Glass'!$A$3:$A$17,0), MATCH('Unit 2 b'!AC$7,'Rooms Walls and Glass'!$D$1:$AB$1,0))=0,"",INDEX('Rooms Walls and Glass'!$D$3:$AB$17, MATCH($D11,'Rooms Walls and Glass'!$A$3:$A$17,0), MATCH('Unit 2 b'!AC$7,'Rooms Walls and Glass'!$D$1:$AB$1,0))))</f>
        <v/>
      </c>
      <c r="AD11" s="68" t="str">
        <f t="shared" si="24"/>
        <v>-</v>
      </c>
      <c r="AE11" s="66" t="str">
        <f>IF(AE$7="","",IF(INDEX('Rooms Walls and Glass'!$D$3:$AB$17, MATCH($D11,'Rooms Walls and Glass'!$A$3:$A$17,0), MATCH('Unit 2 b'!AE$7,'Rooms Walls and Glass'!$D$1:$AB$1,0))=0,"",INDEX('Rooms Walls and Glass'!$D$3:$AB$17, MATCH($D11,'Rooms Walls and Glass'!$A$3:$A$17,0), MATCH('Unit 2 b'!AE$7,'Rooms Walls and Glass'!$D$1:$AB$1,0))))</f>
        <v/>
      </c>
      <c r="AF11" s="68" t="str">
        <f t="shared" si="24"/>
        <v>-</v>
      </c>
      <c r="AG11" s="66" t="str">
        <f>IF(AG$7="","",IF(INDEX('Rooms Walls and Glass'!$D$3:$AB$17, MATCH($D11,'Rooms Walls and Glass'!$A$3:$A$17,0), MATCH('Unit 2 b'!AG$7,'Rooms Walls and Glass'!$D$1:$AB$1,0))=0,"",INDEX('Rooms Walls and Glass'!$D$3:$AB$17, MATCH($D11,'Rooms Walls and Glass'!$A$3:$A$17,0), MATCH('Unit 2 b'!AG$7,'Rooms Walls and Glass'!$D$1:$AB$1,0))))</f>
        <v/>
      </c>
      <c r="AH11" s="68" t="str">
        <f t="shared" si="25"/>
        <v>-</v>
      </c>
      <c r="AI11" s="66" t="str">
        <f>IF(AI$7="","",IF(INDEX('Rooms Walls and Glass'!$D$3:$AB$17, MATCH($D11,'Rooms Walls and Glass'!$A$3:$A$17,0), MATCH('Unit 2 b'!AI$7,'Rooms Walls and Glass'!$D$1:$AB$1,0))=0,"",INDEX('Rooms Walls and Glass'!$D$3:$AB$17, MATCH($D11,'Rooms Walls and Glass'!$A$3:$A$17,0), MATCH('Unit 2 b'!AI$7,'Rooms Walls and Glass'!$D$1:$AB$1,0))))</f>
        <v/>
      </c>
      <c r="AJ11" s="69" t="str">
        <f t="shared" si="26"/>
        <v>-</v>
      </c>
      <c r="AK11" s="66" t="str">
        <f>IF(AK$7="","",IF(INDEX('Rooms Walls and Glass'!$D$3:$AB$17, MATCH($D11,'Rooms Walls and Glass'!$A$3:$A$17,0), MATCH('Unit 2 b'!AK$7,'Rooms Walls and Glass'!$D$1:$AB$1,0))=0,"",INDEX('Rooms Walls and Glass'!$D$3:$AB$17, MATCH($D11,'Rooms Walls and Glass'!$A$3:$A$17,0), MATCH('Unit 2 b'!AK$7,'Rooms Walls and Glass'!$D$1:$AB$1,0))))</f>
        <v/>
      </c>
      <c r="AL11" s="68" t="str">
        <f t="shared" si="27"/>
        <v>-</v>
      </c>
      <c r="AM11" s="66" t="str">
        <f>IF(AM$7="","",IF(INDEX('Rooms Walls and Glass'!$D$3:$AB$17, MATCH($D11,'Rooms Walls and Glass'!$A$3:$A$17,0), MATCH('Unit 2 b'!AM$7,'Rooms Walls and Glass'!$D$1:$AB$1,0))=0,"",INDEX('Rooms Walls and Glass'!$D$3:$AB$17, MATCH($D11,'Rooms Walls and Glass'!$A$3:$A$17,0), MATCH('Unit 2 b'!AM$7,'Rooms Walls and Glass'!$D$1:$AB$1,0))))</f>
        <v/>
      </c>
      <c r="AN11" s="69" t="str">
        <f t="shared" si="28"/>
        <v>-</v>
      </c>
    </row>
    <row r="12" spans="2:40" ht="11.25" customHeight="1" thickBot="1" x14ac:dyDescent="0.2">
      <c r="B12" s="214"/>
      <c r="C12" s="15" t="s">
        <v>7</v>
      </c>
      <c r="D12" s="13" t="str">
        <f>'Rooms Walls and Glass'!A11</f>
        <v>East</v>
      </c>
      <c r="E12" s="16"/>
      <c r="F12" s="16" t="s">
        <v>12</v>
      </c>
      <c r="G12" s="103">
        <f>INDEX('Glass CLF Calculation'!$A$4:$G$11,MATCH('Unit 2 b'!D12,'Glass CLF Calculation'!$A$4:$A$11,0),7)</f>
        <v>12.953999999999999</v>
      </c>
      <c r="H12" s="16" t="s">
        <v>6</v>
      </c>
      <c r="I12" s="65">
        <f t="shared" si="13"/>
        <v>0</v>
      </c>
      <c r="J12" s="68">
        <f t="shared" si="14"/>
        <v>0</v>
      </c>
      <c r="K12" s="66" t="str">
        <f>IF(K$7="","",IF(INDEX('Rooms Walls and Glass'!$D$3:$AB$17, MATCH($D12,'Rooms Walls and Glass'!$A$3:$A$17,0), MATCH('Unit 2 b'!K$7,'Rooms Walls and Glass'!$D$1:$AB$1,0))=0,"",INDEX('Rooms Walls and Glass'!$D$3:$AB$17, MATCH($D12,'Rooms Walls and Glass'!$A$3:$A$17,0), MATCH('Unit 2 b'!K$7,'Rooms Walls and Glass'!$D$1:$AB$1,0))))</f>
        <v/>
      </c>
      <c r="L12" s="68" t="str">
        <f t="shared" si="15"/>
        <v>-</v>
      </c>
      <c r="M12" s="66" t="str">
        <f>IF(M$7="","",IF(INDEX('Rooms Walls and Glass'!$D$3:$AB$17, MATCH($D12,'Rooms Walls and Glass'!$A$3:$A$17,0), MATCH('Unit 2 b'!M$7,'Rooms Walls and Glass'!$D$1:$AB$1,0))=0,"",INDEX('Rooms Walls and Glass'!$D$3:$AB$17, MATCH($D12,'Rooms Walls and Glass'!$A$3:$A$17,0), MATCH('Unit 2 b'!M$7,'Rooms Walls and Glass'!$D$1:$AB$1,0))))</f>
        <v/>
      </c>
      <c r="N12" s="68" t="str">
        <f t="shared" si="16"/>
        <v>-</v>
      </c>
      <c r="O12" s="66" t="str">
        <f>IF(O$7="","",IF(INDEX('Rooms Walls and Glass'!$D$3:$AB$17, MATCH($D12,'Rooms Walls and Glass'!$A$3:$A$17,0), MATCH('Unit 2 b'!O$7,'Rooms Walls and Glass'!$D$1:$AB$1,0))=0,"",INDEX('Rooms Walls and Glass'!$D$3:$AB$17, MATCH($D12,'Rooms Walls and Glass'!$A$3:$A$17,0), MATCH('Unit 2 b'!O$7,'Rooms Walls and Glass'!$D$1:$AB$1,0))))</f>
        <v/>
      </c>
      <c r="P12" s="68" t="str">
        <f t="shared" si="17"/>
        <v>-</v>
      </c>
      <c r="Q12" s="66" t="str">
        <f>IF(Q$7="","",IF(INDEX('Rooms Walls and Glass'!$D$3:$AB$17, MATCH($D12,'Rooms Walls and Glass'!$A$3:$A$17,0), MATCH('Unit 2 b'!Q$7,'Rooms Walls and Glass'!$D$1:$AB$1,0))=0,"",INDEX('Rooms Walls and Glass'!$D$3:$AB$17, MATCH($D12,'Rooms Walls and Glass'!$A$3:$A$17,0), MATCH('Unit 2 b'!Q$7,'Rooms Walls and Glass'!$D$1:$AB$1,0))))</f>
        <v/>
      </c>
      <c r="R12" s="68" t="str">
        <f t="shared" si="18"/>
        <v>-</v>
      </c>
      <c r="S12" s="66" t="str">
        <f>IF(S$7="","",IF(INDEX('Rooms Walls and Glass'!$D$3:$AB$17, MATCH($D12,'Rooms Walls and Glass'!$A$3:$A$17,0), MATCH('Unit 2 b'!S$7,'Rooms Walls and Glass'!$D$1:$AB$1,0))=0,"",INDEX('Rooms Walls and Glass'!$D$3:$AB$17, MATCH($D12,'Rooms Walls and Glass'!$A$3:$A$17,0), MATCH('Unit 2 b'!S$7,'Rooms Walls and Glass'!$D$1:$AB$1,0))))</f>
        <v/>
      </c>
      <c r="T12" s="68" t="str">
        <f t="shared" si="19"/>
        <v>-</v>
      </c>
      <c r="U12" s="66" t="str">
        <f>IF(U$7="","",IF(INDEX('Rooms Walls and Glass'!$D$3:$AB$17, MATCH($D12,'Rooms Walls and Glass'!$A$3:$A$17,0), MATCH('Unit 2 b'!U$7,'Rooms Walls and Glass'!$D$1:$AB$1,0))=0,"",INDEX('Rooms Walls and Glass'!$D$3:$AB$17, MATCH($D12,'Rooms Walls and Glass'!$A$3:$A$17,0), MATCH('Unit 2 b'!U$7,'Rooms Walls and Glass'!$D$1:$AB$1,0))))</f>
        <v/>
      </c>
      <c r="V12" s="68" t="str">
        <f t="shared" si="20"/>
        <v>-</v>
      </c>
      <c r="W12" s="66" t="str">
        <f>IF(W$7="","",IF(INDEX('Rooms Walls and Glass'!$D$3:$AB$17, MATCH($D12,'Rooms Walls and Glass'!$A$3:$A$17,0), MATCH('Unit 2 b'!W$7,'Rooms Walls and Glass'!$D$1:$AB$1,0))=0,"",INDEX('Rooms Walls and Glass'!$D$3:$AB$17, MATCH($D12,'Rooms Walls and Glass'!$A$3:$A$17,0), MATCH('Unit 2 b'!W$7,'Rooms Walls and Glass'!$D$1:$AB$1,0))))</f>
        <v/>
      </c>
      <c r="X12" s="68" t="str">
        <f t="shared" si="21"/>
        <v>-</v>
      </c>
      <c r="Y12" s="66" t="str">
        <f>IF(Y$7="","",IF(INDEX('Rooms Walls and Glass'!$D$3:$AB$17, MATCH($D12,'Rooms Walls and Glass'!$A$3:$A$17,0), MATCH('Unit 2 b'!Y$7,'Rooms Walls and Glass'!$D$1:$AB$1,0))=0,"",INDEX('Rooms Walls and Glass'!$D$3:$AB$17, MATCH($D12,'Rooms Walls and Glass'!$A$3:$A$17,0), MATCH('Unit 2 b'!Y$7,'Rooms Walls and Glass'!$D$1:$AB$1,0))))</f>
        <v/>
      </c>
      <c r="Z12" s="68" t="str">
        <f t="shared" si="22"/>
        <v>-</v>
      </c>
      <c r="AA12" s="66" t="str">
        <f>IF(AA$7="","",IF(INDEX('Rooms Walls and Glass'!$D$3:$AB$17, MATCH($D12,'Rooms Walls and Glass'!$A$3:$A$17,0), MATCH('Unit 2 b'!AA$7,'Rooms Walls and Glass'!$D$1:$AB$1,0))=0,"",INDEX('Rooms Walls and Glass'!$D$3:$AB$17, MATCH($D12,'Rooms Walls and Glass'!$A$3:$A$17,0), MATCH('Unit 2 b'!AA$7,'Rooms Walls and Glass'!$D$1:$AB$1,0))))</f>
        <v/>
      </c>
      <c r="AB12" s="68" t="str">
        <f t="shared" si="23"/>
        <v>-</v>
      </c>
      <c r="AC12" s="66" t="str">
        <f>IF(AC$7="","",IF(INDEX('Rooms Walls and Glass'!$D$3:$AB$17, MATCH($D12,'Rooms Walls and Glass'!$A$3:$A$17,0), MATCH('Unit 2 b'!AC$7,'Rooms Walls and Glass'!$D$1:$AB$1,0))=0,"",INDEX('Rooms Walls and Glass'!$D$3:$AB$17, MATCH($D12,'Rooms Walls and Glass'!$A$3:$A$17,0), MATCH('Unit 2 b'!AC$7,'Rooms Walls and Glass'!$D$1:$AB$1,0))))</f>
        <v/>
      </c>
      <c r="AD12" s="68" t="str">
        <f t="shared" si="24"/>
        <v>-</v>
      </c>
      <c r="AE12" s="66" t="str">
        <f>IF(AE$7="","",IF(INDEX('Rooms Walls and Glass'!$D$3:$AB$17, MATCH($D12,'Rooms Walls and Glass'!$A$3:$A$17,0), MATCH('Unit 2 b'!AE$7,'Rooms Walls and Glass'!$D$1:$AB$1,0))=0,"",INDEX('Rooms Walls and Glass'!$D$3:$AB$17, MATCH($D12,'Rooms Walls and Glass'!$A$3:$A$17,0), MATCH('Unit 2 b'!AE$7,'Rooms Walls and Glass'!$D$1:$AB$1,0))))</f>
        <v/>
      </c>
      <c r="AF12" s="68" t="str">
        <f t="shared" si="24"/>
        <v>-</v>
      </c>
      <c r="AG12" s="66" t="str">
        <f>IF(AG$7="","",IF(INDEX('Rooms Walls and Glass'!$D$3:$AB$17, MATCH($D12,'Rooms Walls and Glass'!$A$3:$A$17,0), MATCH('Unit 2 b'!AG$7,'Rooms Walls and Glass'!$D$1:$AB$1,0))=0,"",INDEX('Rooms Walls and Glass'!$D$3:$AB$17, MATCH($D12,'Rooms Walls and Glass'!$A$3:$A$17,0), MATCH('Unit 2 b'!AG$7,'Rooms Walls and Glass'!$D$1:$AB$1,0))))</f>
        <v/>
      </c>
      <c r="AH12" s="68" t="str">
        <f t="shared" si="25"/>
        <v>-</v>
      </c>
      <c r="AI12" s="66" t="str">
        <f>IF(AI$7="","",IF(INDEX('Rooms Walls and Glass'!$D$3:$AB$17, MATCH($D12,'Rooms Walls and Glass'!$A$3:$A$17,0), MATCH('Unit 2 b'!AI$7,'Rooms Walls and Glass'!$D$1:$AB$1,0))=0,"",INDEX('Rooms Walls and Glass'!$D$3:$AB$17, MATCH($D12,'Rooms Walls and Glass'!$A$3:$A$17,0), MATCH('Unit 2 b'!AI$7,'Rooms Walls and Glass'!$D$1:$AB$1,0))))</f>
        <v/>
      </c>
      <c r="AJ12" s="69" t="str">
        <f t="shared" si="26"/>
        <v>-</v>
      </c>
      <c r="AK12" s="66" t="str">
        <f>IF(AK$7="","",IF(INDEX('Rooms Walls and Glass'!$D$3:$AB$17, MATCH($D12,'Rooms Walls and Glass'!$A$3:$A$17,0), MATCH('Unit 2 b'!AK$7,'Rooms Walls and Glass'!$D$1:$AB$1,0))=0,"",INDEX('Rooms Walls and Glass'!$D$3:$AB$17, MATCH($D12,'Rooms Walls and Glass'!$A$3:$A$17,0), MATCH('Unit 2 b'!AK$7,'Rooms Walls and Glass'!$D$1:$AB$1,0))))</f>
        <v/>
      </c>
      <c r="AL12" s="68" t="str">
        <f t="shared" si="27"/>
        <v>-</v>
      </c>
      <c r="AM12" s="66" t="str">
        <f>IF(AM$7="","",IF(INDEX('Rooms Walls and Glass'!$D$3:$AB$17, MATCH($D12,'Rooms Walls and Glass'!$A$3:$A$17,0), MATCH('Unit 2 b'!AM$7,'Rooms Walls and Glass'!$D$1:$AB$1,0))=0,"",INDEX('Rooms Walls and Glass'!$D$3:$AB$17, MATCH($D12,'Rooms Walls and Glass'!$A$3:$A$17,0), MATCH('Unit 2 b'!AM$7,'Rooms Walls and Glass'!$D$1:$AB$1,0))))</f>
        <v/>
      </c>
      <c r="AN12" s="69" t="str">
        <f t="shared" si="28"/>
        <v>-</v>
      </c>
    </row>
    <row r="13" spans="2:40" ht="11.25" customHeight="1" thickBot="1" x14ac:dyDescent="0.2">
      <c r="B13" s="214"/>
      <c r="C13" s="15" t="s">
        <v>7</v>
      </c>
      <c r="D13" s="13" t="str">
        <f>'Rooms Walls and Glass'!A12</f>
        <v>SouthEast</v>
      </c>
      <c r="E13" s="16" t="s">
        <v>18</v>
      </c>
      <c r="F13" s="16" t="s">
        <v>13</v>
      </c>
      <c r="G13" s="103">
        <f>INDEX('Glass CLF Calculation'!$A$4:$G$11,MATCH('Unit 2 b'!D13,'Glass CLF Calculation'!$A$4:$A$11,0),7)</f>
        <v>14.271164444444445</v>
      </c>
      <c r="H13" s="16" t="s">
        <v>6</v>
      </c>
      <c r="I13" s="65">
        <f t="shared" si="13"/>
        <v>0</v>
      </c>
      <c r="J13" s="68">
        <f t="shared" si="14"/>
        <v>0</v>
      </c>
      <c r="K13" s="66" t="str">
        <f>IF(K$7="","",IF(INDEX('Rooms Walls and Glass'!$D$3:$AB$17, MATCH($D13,'Rooms Walls and Glass'!$A$3:$A$17,0), MATCH('Unit 2 b'!K$7,'Rooms Walls and Glass'!$D$1:$AB$1,0))=0,"",INDEX('Rooms Walls and Glass'!$D$3:$AB$17, MATCH($D13,'Rooms Walls and Glass'!$A$3:$A$17,0), MATCH('Unit 2 b'!K$7,'Rooms Walls and Glass'!$D$1:$AB$1,0))))</f>
        <v/>
      </c>
      <c r="L13" s="68" t="str">
        <f t="shared" si="15"/>
        <v>-</v>
      </c>
      <c r="M13" s="66" t="str">
        <f>IF(M$7="","",IF(INDEX('Rooms Walls and Glass'!$D$3:$AB$17, MATCH($D13,'Rooms Walls and Glass'!$A$3:$A$17,0), MATCH('Unit 2 b'!M$7,'Rooms Walls and Glass'!$D$1:$AB$1,0))=0,"",INDEX('Rooms Walls and Glass'!$D$3:$AB$17, MATCH($D13,'Rooms Walls and Glass'!$A$3:$A$17,0), MATCH('Unit 2 b'!M$7,'Rooms Walls and Glass'!$D$1:$AB$1,0))))</f>
        <v/>
      </c>
      <c r="N13" s="68" t="str">
        <f t="shared" si="16"/>
        <v>-</v>
      </c>
      <c r="O13" s="66" t="str">
        <f>IF(O$7="","",IF(INDEX('Rooms Walls and Glass'!$D$3:$AB$17, MATCH($D13,'Rooms Walls and Glass'!$A$3:$A$17,0), MATCH('Unit 2 b'!O$7,'Rooms Walls and Glass'!$D$1:$AB$1,0))=0,"",INDEX('Rooms Walls and Glass'!$D$3:$AB$17, MATCH($D13,'Rooms Walls and Glass'!$A$3:$A$17,0), MATCH('Unit 2 b'!O$7,'Rooms Walls and Glass'!$D$1:$AB$1,0))))</f>
        <v/>
      </c>
      <c r="P13" s="68" t="str">
        <f t="shared" si="17"/>
        <v>-</v>
      </c>
      <c r="Q13" s="66" t="str">
        <f>IF(Q$7="","",IF(INDEX('Rooms Walls and Glass'!$D$3:$AB$17, MATCH($D13,'Rooms Walls and Glass'!$A$3:$A$17,0), MATCH('Unit 2 b'!Q$7,'Rooms Walls and Glass'!$D$1:$AB$1,0))=0,"",INDEX('Rooms Walls and Glass'!$D$3:$AB$17, MATCH($D13,'Rooms Walls and Glass'!$A$3:$A$17,0), MATCH('Unit 2 b'!Q$7,'Rooms Walls and Glass'!$D$1:$AB$1,0))))</f>
        <v/>
      </c>
      <c r="R13" s="68" t="str">
        <f t="shared" si="18"/>
        <v>-</v>
      </c>
      <c r="S13" s="66" t="str">
        <f>IF(S$7="","",IF(INDEX('Rooms Walls and Glass'!$D$3:$AB$17, MATCH($D13,'Rooms Walls and Glass'!$A$3:$A$17,0), MATCH('Unit 2 b'!S$7,'Rooms Walls and Glass'!$D$1:$AB$1,0))=0,"",INDEX('Rooms Walls and Glass'!$D$3:$AB$17, MATCH($D13,'Rooms Walls and Glass'!$A$3:$A$17,0), MATCH('Unit 2 b'!S$7,'Rooms Walls and Glass'!$D$1:$AB$1,0))))</f>
        <v/>
      </c>
      <c r="T13" s="68" t="str">
        <f t="shared" si="19"/>
        <v>-</v>
      </c>
      <c r="U13" s="66" t="str">
        <f>IF(U$7="","",IF(INDEX('Rooms Walls and Glass'!$D$3:$AB$17, MATCH($D13,'Rooms Walls and Glass'!$A$3:$A$17,0), MATCH('Unit 2 b'!U$7,'Rooms Walls and Glass'!$D$1:$AB$1,0))=0,"",INDEX('Rooms Walls and Glass'!$D$3:$AB$17, MATCH($D13,'Rooms Walls and Glass'!$A$3:$A$17,0), MATCH('Unit 2 b'!U$7,'Rooms Walls and Glass'!$D$1:$AB$1,0))))</f>
        <v/>
      </c>
      <c r="V13" s="68" t="str">
        <f t="shared" si="20"/>
        <v>-</v>
      </c>
      <c r="W13" s="66" t="str">
        <f>IF(W$7="","",IF(INDEX('Rooms Walls and Glass'!$D$3:$AB$17, MATCH($D13,'Rooms Walls and Glass'!$A$3:$A$17,0), MATCH('Unit 2 b'!W$7,'Rooms Walls and Glass'!$D$1:$AB$1,0))=0,"",INDEX('Rooms Walls and Glass'!$D$3:$AB$17, MATCH($D13,'Rooms Walls and Glass'!$A$3:$A$17,0), MATCH('Unit 2 b'!W$7,'Rooms Walls and Glass'!$D$1:$AB$1,0))))</f>
        <v/>
      </c>
      <c r="X13" s="68" t="str">
        <f t="shared" si="21"/>
        <v>-</v>
      </c>
      <c r="Y13" s="66" t="str">
        <f>IF(Y$7="","",IF(INDEX('Rooms Walls and Glass'!$D$3:$AB$17, MATCH($D13,'Rooms Walls and Glass'!$A$3:$A$17,0), MATCH('Unit 2 b'!Y$7,'Rooms Walls and Glass'!$D$1:$AB$1,0))=0,"",INDEX('Rooms Walls and Glass'!$D$3:$AB$17, MATCH($D13,'Rooms Walls and Glass'!$A$3:$A$17,0), MATCH('Unit 2 b'!Y$7,'Rooms Walls and Glass'!$D$1:$AB$1,0))))</f>
        <v/>
      </c>
      <c r="Z13" s="68" t="str">
        <f t="shared" si="22"/>
        <v>-</v>
      </c>
      <c r="AA13" s="66" t="str">
        <f>IF(AA$7="","",IF(INDEX('Rooms Walls and Glass'!$D$3:$AB$17, MATCH($D13,'Rooms Walls and Glass'!$A$3:$A$17,0), MATCH('Unit 2 b'!AA$7,'Rooms Walls and Glass'!$D$1:$AB$1,0))=0,"",INDEX('Rooms Walls and Glass'!$D$3:$AB$17, MATCH($D13,'Rooms Walls and Glass'!$A$3:$A$17,0), MATCH('Unit 2 b'!AA$7,'Rooms Walls and Glass'!$D$1:$AB$1,0))))</f>
        <v/>
      </c>
      <c r="AB13" s="68" t="str">
        <f t="shared" si="23"/>
        <v>-</v>
      </c>
      <c r="AC13" s="66" t="str">
        <f>IF(AC$7="","",IF(INDEX('Rooms Walls and Glass'!$D$3:$AB$17, MATCH($D13,'Rooms Walls and Glass'!$A$3:$A$17,0), MATCH('Unit 2 b'!AC$7,'Rooms Walls and Glass'!$D$1:$AB$1,0))=0,"",INDEX('Rooms Walls and Glass'!$D$3:$AB$17, MATCH($D13,'Rooms Walls and Glass'!$A$3:$A$17,0), MATCH('Unit 2 b'!AC$7,'Rooms Walls and Glass'!$D$1:$AB$1,0))))</f>
        <v/>
      </c>
      <c r="AD13" s="68" t="str">
        <f t="shared" si="24"/>
        <v>-</v>
      </c>
      <c r="AE13" s="66" t="str">
        <f>IF(AE$7="","",IF(INDEX('Rooms Walls and Glass'!$D$3:$AB$17, MATCH($D13,'Rooms Walls and Glass'!$A$3:$A$17,0), MATCH('Unit 2 b'!AE$7,'Rooms Walls and Glass'!$D$1:$AB$1,0))=0,"",INDEX('Rooms Walls and Glass'!$D$3:$AB$17, MATCH($D13,'Rooms Walls and Glass'!$A$3:$A$17,0), MATCH('Unit 2 b'!AE$7,'Rooms Walls and Glass'!$D$1:$AB$1,0))))</f>
        <v/>
      </c>
      <c r="AF13" s="68" t="str">
        <f t="shared" si="24"/>
        <v>-</v>
      </c>
      <c r="AG13" s="66" t="str">
        <f>IF(AG$7="","",IF(INDEX('Rooms Walls and Glass'!$D$3:$AB$17, MATCH($D13,'Rooms Walls and Glass'!$A$3:$A$17,0), MATCH('Unit 2 b'!AG$7,'Rooms Walls and Glass'!$D$1:$AB$1,0))=0,"",INDEX('Rooms Walls and Glass'!$D$3:$AB$17, MATCH($D13,'Rooms Walls and Glass'!$A$3:$A$17,0), MATCH('Unit 2 b'!AG$7,'Rooms Walls and Glass'!$D$1:$AB$1,0))))</f>
        <v/>
      </c>
      <c r="AH13" s="68" t="str">
        <f t="shared" si="25"/>
        <v>-</v>
      </c>
      <c r="AI13" s="66" t="str">
        <f>IF(AI$7="","",IF(INDEX('Rooms Walls and Glass'!$D$3:$AB$17, MATCH($D13,'Rooms Walls and Glass'!$A$3:$A$17,0), MATCH('Unit 2 b'!AI$7,'Rooms Walls and Glass'!$D$1:$AB$1,0))=0,"",INDEX('Rooms Walls and Glass'!$D$3:$AB$17, MATCH($D13,'Rooms Walls and Glass'!$A$3:$A$17,0), MATCH('Unit 2 b'!AI$7,'Rooms Walls and Glass'!$D$1:$AB$1,0))))</f>
        <v/>
      </c>
      <c r="AJ13" s="69" t="str">
        <f t="shared" si="26"/>
        <v>-</v>
      </c>
      <c r="AK13" s="66" t="str">
        <f>IF(AK$7="","",IF(INDEX('Rooms Walls and Glass'!$D$3:$AB$17, MATCH($D13,'Rooms Walls and Glass'!$A$3:$A$17,0), MATCH('Unit 2 b'!AK$7,'Rooms Walls and Glass'!$D$1:$AB$1,0))=0,"",INDEX('Rooms Walls and Glass'!$D$3:$AB$17, MATCH($D13,'Rooms Walls and Glass'!$A$3:$A$17,0), MATCH('Unit 2 b'!AK$7,'Rooms Walls and Glass'!$D$1:$AB$1,0))))</f>
        <v/>
      </c>
      <c r="AL13" s="68" t="str">
        <f t="shared" si="27"/>
        <v>-</v>
      </c>
      <c r="AM13" s="66" t="str">
        <f>IF(AM$7="","",IF(INDEX('Rooms Walls and Glass'!$D$3:$AB$17, MATCH($D13,'Rooms Walls and Glass'!$A$3:$A$17,0), MATCH('Unit 2 b'!AM$7,'Rooms Walls and Glass'!$D$1:$AB$1,0))=0,"",INDEX('Rooms Walls and Glass'!$D$3:$AB$17, MATCH($D13,'Rooms Walls and Glass'!$A$3:$A$17,0), MATCH('Unit 2 b'!AM$7,'Rooms Walls and Glass'!$D$1:$AB$1,0))))</f>
        <v/>
      </c>
      <c r="AN13" s="69" t="str">
        <f t="shared" si="28"/>
        <v>-</v>
      </c>
    </row>
    <row r="14" spans="2:40" ht="11.25" customHeight="1" thickBot="1" x14ac:dyDescent="0.2">
      <c r="B14" s="214"/>
      <c r="C14" s="15" t="s">
        <v>7</v>
      </c>
      <c r="D14" s="13" t="str">
        <f>'Rooms Walls and Glass'!A13</f>
        <v>South</v>
      </c>
      <c r="E14" s="16"/>
      <c r="F14" s="16" t="s">
        <v>14</v>
      </c>
      <c r="G14" s="103">
        <f>INDEX('Glass CLF Calculation'!$A$4:$G$11,MATCH('Unit 2 b'!D14,'Glass CLF Calculation'!$A$4:$A$11,0),7)</f>
        <v>15.869088</v>
      </c>
      <c r="H14" s="16" t="s">
        <v>6</v>
      </c>
      <c r="I14" s="65">
        <f t="shared" si="13"/>
        <v>0</v>
      </c>
      <c r="J14" s="68">
        <f t="shared" si="14"/>
        <v>0</v>
      </c>
      <c r="K14" s="66" t="str">
        <f>IF(K$7="","",IF(INDEX('Rooms Walls and Glass'!$D$3:$AB$17, MATCH($D14,'Rooms Walls and Glass'!$A$3:$A$17,0), MATCH('Unit 2 b'!K$7,'Rooms Walls and Glass'!$D$1:$AB$1,0))=0,"",INDEX('Rooms Walls and Glass'!$D$3:$AB$17, MATCH($D14,'Rooms Walls and Glass'!$A$3:$A$17,0), MATCH('Unit 2 b'!K$7,'Rooms Walls and Glass'!$D$1:$AB$1,0))))</f>
        <v/>
      </c>
      <c r="L14" s="68" t="str">
        <f t="shared" si="15"/>
        <v>-</v>
      </c>
      <c r="M14" s="66" t="str">
        <f>IF(M$7="","",IF(INDEX('Rooms Walls and Glass'!$D$3:$AB$17, MATCH($D14,'Rooms Walls and Glass'!$A$3:$A$17,0), MATCH('Unit 2 b'!M$7,'Rooms Walls and Glass'!$D$1:$AB$1,0))=0,"",INDEX('Rooms Walls and Glass'!$D$3:$AB$17, MATCH($D14,'Rooms Walls and Glass'!$A$3:$A$17,0), MATCH('Unit 2 b'!M$7,'Rooms Walls and Glass'!$D$1:$AB$1,0))))</f>
        <v/>
      </c>
      <c r="N14" s="68" t="str">
        <f t="shared" si="16"/>
        <v>-</v>
      </c>
      <c r="O14" s="66" t="str">
        <f>IF(O$7="","",IF(INDEX('Rooms Walls and Glass'!$D$3:$AB$17, MATCH($D14,'Rooms Walls and Glass'!$A$3:$A$17,0), MATCH('Unit 2 b'!O$7,'Rooms Walls and Glass'!$D$1:$AB$1,0))=0,"",INDEX('Rooms Walls and Glass'!$D$3:$AB$17, MATCH($D14,'Rooms Walls and Glass'!$A$3:$A$17,0), MATCH('Unit 2 b'!O$7,'Rooms Walls and Glass'!$D$1:$AB$1,0))))</f>
        <v/>
      </c>
      <c r="P14" s="68" t="str">
        <f t="shared" si="17"/>
        <v>-</v>
      </c>
      <c r="Q14" s="66" t="str">
        <f>IF(Q$7="","",IF(INDEX('Rooms Walls and Glass'!$D$3:$AB$17, MATCH($D14,'Rooms Walls and Glass'!$A$3:$A$17,0), MATCH('Unit 2 b'!Q$7,'Rooms Walls and Glass'!$D$1:$AB$1,0))=0,"",INDEX('Rooms Walls and Glass'!$D$3:$AB$17, MATCH($D14,'Rooms Walls and Glass'!$A$3:$A$17,0), MATCH('Unit 2 b'!Q$7,'Rooms Walls and Glass'!$D$1:$AB$1,0))))</f>
        <v/>
      </c>
      <c r="R14" s="68" t="str">
        <f t="shared" si="18"/>
        <v>-</v>
      </c>
      <c r="S14" s="66" t="str">
        <f>IF(S$7="","",IF(INDEX('Rooms Walls and Glass'!$D$3:$AB$17, MATCH($D14,'Rooms Walls and Glass'!$A$3:$A$17,0), MATCH('Unit 2 b'!S$7,'Rooms Walls and Glass'!$D$1:$AB$1,0))=0,"",INDEX('Rooms Walls and Glass'!$D$3:$AB$17, MATCH($D14,'Rooms Walls and Glass'!$A$3:$A$17,0), MATCH('Unit 2 b'!S$7,'Rooms Walls and Glass'!$D$1:$AB$1,0))))</f>
        <v/>
      </c>
      <c r="T14" s="68" t="str">
        <f t="shared" si="19"/>
        <v>-</v>
      </c>
      <c r="U14" s="66" t="str">
        <f>IF(U$7="","",IF(INDEX('Rooms Walls and Glass'!$D$3:$AB$17, MATCH($D14,'Rooms Walls and Glass'!$A$3:$A$17,0), MATCH('Unit 2 b'!U$7,'Rooms Walls and Glass'!$D$1:$AB$1,0))=0,"",INDEX('Rooms Walls and Glass'!$D$3:$AB$17, MATCH($D14,'Rooms Walls and Glass'!$A$3:$A$17,0), MATCH('Unit 2 b'!U$7,'Rooms Walls and Glass'!$D$1:$AB$1,0))))</f>
        <v/>
      </c>
      <c r="V14" s="68" t="str">
        <f t="shared" si="20"/>
        <v>-</v>
      </c>
      <c r="W14" s="66" t="str">
        <f>IF(W$7="","",IF(INDEX('Rooms Walls and Glass'!$D$3:$AB$17, MATCH($D14,'Rooms Walls and Glass'!$A$3:$A$17,0), MATCH('Unit 2 b'!W$7,'Rooms Walls and Glass'!$D$1:$AB$1,0))=0,"",INDEX('Rooms Walls and Glass'!$D$3:$AB$17, MATCH($D14,'Rooms Walls and Glass'!$A$3:$A$17,0), MATCH('Unit 2 b'!W$7,'Rooms Walls and Glass'!$D$1:$AB$1,0))))</f>
        <v/>
      </c>
      <c r="X14" s="68" t="str">
        <f t="shared" si="21"/>
        <v>-</v>
      </c>
      <c r="Y14" s="66" t="str">
        <f>IF(Y$7="","",IF(INDEX('Rooms Walls and Glass'!$D$3:$AB$17, MATCH($D14,'Rooms Walls and Glass'!$A$3:$A$17,0), MATCH('Unit 2 b'!Y$7,'Rooms Walls and Glass'!$D$1:$AB$1,0))=0,"",INDEX('Rooms Walls and Glass'!$D$3:$AB$17, MATCH($D14,'Rooms Walls and Glass'!$A$3:$A$17,0), MATCH('Unit 2 b'!Y$7,'Rooms Walls and Glass'!$D$1:$AB$1,0))))</f>
        <v/>
      </c>
      <c r="Z14" s="68" t="str">
        <f t="shared" si="22"/>
        <v>-</v>
      </c>
      <c r="AA14" s="66" t="str">
        <f>IF(AA$7="","",IF(INDEX('Rooms Walls and Glass'!$D$3:$AB$17, MATCH($D14,'Rooms Walls and Glass'!$A$3:$A$17,0), MATCH('Unit 2 b'!AA$7,'Rooms Walls and Glass'!$D$1:$AB$1,0))=0,"",INDEX('Rooms Walls and Glass'!$D$3:$AB$17, MATCH($D14,'Rooms Walls and Glass'!$A$3:$A$17,0), MATCH('Unit 2 b'!AA$7,'Rooms Walls and Glass'!$D$1:$AB$1,0))))</f>
        <v/>
      </c>
      <c r="AB14" s="68" t="str">
        <f t="shared" si="23"/>
        <v>-</v>
      </c>
      <c r="AC14" s="66" t="str">
        <f>IF(AC$7="","",IF(INDEX('Rooms Walls and Glass'!$D$3:$AB$17, MATCH($D14,'Rooms Walls and Glass'!$A$3:$A$17,0), MATCH('Unit 2 b'!AC$7,'Rooms Walls and Glass'!$D$1:$AB$1,0))=0,"",INDEX('Rooms Walls and Glass'!$D$3:$AB$17, MATCH($D14,'Rooms Walls and Glass'!$A$3:$A$17,0), MATCH('Unit 2 b'!AC$7,'Rooms Walls and Glass'!$D$1:$AB$1,0))))</f>
        <v/>
      </c>
      <c r="AD14" s="68" t="str">
        <f t="shared" si="24"/>
        <v>-</v>
      </c>
      <c r="AE14" s="66" t="str">
        <f>IF(AE$7="","",IF(INDEX('Rooms Walls and Glass'!$D$3:$AB$17, MATCH($D14,'Rooms Walls and Glass'!$A$3:$A$17,0), MATCH('Unit 2 b'!AE$7,'Rooms Walls and Glass'!$D$1:$AB$1,0))=0,"",INDEX('Rooms Walls and Glass'!$D$3:$AB$17, MATCH($D14,'Rooms Walls and Glass'!$A$3:$A$17,0), MATCH('Unit 2 b'!AE$7,'Rooms Walls and Glass'!$D$1:$AB$1,0))))</f>
        <v/>
      </c>
      <c r="AF14" s="68" t="str">
        <f t="shared" si="24"/>
        <v>-</v>
      </c>
      <c r="AG14" s="66" t="str">
        <f>IF(AG$7="","",IF(INDEX('Rooms Walls and Glass'!$D$3:$AB$17, MATCH($D14,'Rooms Walls and Glass'!$A$3:$A$17,0), MATCH('Unit 2 b'!AG$7,'Rooms Walls and Glass'!$D$1:$AB$1,0))=0,"",INDEX('Rooms Walls and Glass'!$D$3:$AB$17, MATCH($D14,'Rooms Walls and Glass'!$A$3:$A$17,0), MATCH('Unit 2 b'!AG$7,'Rooms Walls and Glass'!$D$1:$AB$1,0))))</f>
        <v/>
      </c>
      <c r="AH14" s="68" t="str">
        <f t="shared" si="25"/>
        <v>-</v>
      </c>
      <c r="AI14" s="66" t="str">
        <f>IF(AI$7="","",IF(INDEX('Rooms Walls and Glass'!$D$3:$AB$17, MATCH($D14,'Rooms Walls and Glass'!$A$3:$A$17,0), MATCH('Unit 2 b'!AI$7,'Rooms Walls and Glass'!$D$1:$AB$1,0))=0,"",INDEX('Rooms Walls and Glass'!$D$3:$AB$17, MATCH($D14,'Rooms Walls and Glass'!$A$3:$A$17,0), MATCH('Unit 2 b'!AI$7,'Rooms Walls and Glass'!$D$1:$AB$1,0))))</f>
        <v/>
      </c>
      <c r="AJ14" s="69" t="str">
        <f t="shared" si="26"/>
        <v>-</v>
      </c>
      <c r="AK14" s="66" t="str">
        <f>IF(AK$7="","",IF(INDEX('Rooms Walls and Glass'!$D$3:$AB$17, MATCH($D14,'Rooms Walls and Glass'!$A$3:$A$17,0), MATCH('Unit 2 b'!AK$7,'Rooms Walls and Glass'!$D$1:$AB$1,0))=0,"",INDEX('Rooms Walls and Glass'!$D$3:$AB$17, MATCH($D14,'Rooms Walls and Glass'!$A$3:$A$17,0), MATCH('Unit 2 b'!AK$7,'Rooms Walls and Glass'!$D$1:$AB$1,0))))</f>
        <v/>
      </c>
      <c r="AL14" s="68" t="str">
        <f t="shared" si="27"/>
        <v>-</v>
      </c>
      <c r="AM14" s="66" t="str">
        <f>IF(AM$7="","",IF(INDEX('Rooms Walls and Glass'!$D$3:$AB$17, MATCH($D14,'Rooms Walls and Glass'!$A$3:$A$17,0), MATCH('Unit 2 b'!AM$7,'Rooms Walls and Glass'!$D$1:$AB$1,0))=0,"",INDEX('Rooms Walls and Glass'!$D$3:$AB$17, MATCH($D14,'Rooms Walls and Glass'!$A$3:$A$17,0), MATCH('Unit 2 b'!AM$7,'Rooms Walls and Glass'!$D$1:$AB$1,0))))</f>
        <v/>
      </c>
      <c r="AN14" s="69" t="str">
        <f t="shared" si="28"/>
        <v>-</v>
      </c>
    </row>
    <row r="15" spans="2:40" ht="11.25" customHeight="1" thickBot="1" x14ac:dyDescent="0.2">
      <c r="B15" s="214"/>
      <c r="C15" s="15" t="s">
        <v>7</v>
      </c>
      <c r="D15" s="13" t="str">
        <f>'Rooms Walls and Glass'!A14</f>
        <v>SouthWest</v>
      </c>
      <c r="E15" s="16" t="s">
        <v>19</v>
      </c>
      <c r="F15" s="16" t="s">
        <v>15</v>
      </c>
      <c r="G15" s="103">
        <f>INDEX('Glass CLF Calculation'!$A$4:$G$11,MATCH('Unit 2 b'!D15,'Glass CLF Calculation'!$A$4:$A$11,0),7)</f>
        <v>26.22</v>
      </c>
      <c r="H15" s="16" t="s">
        <v>6</v>
      </c>
      <c r="I15" s="65">
        <f t="shared" si="13"/>
        <v>0</v>
      </c>
      <c r="J15" s="68">
        <f t="shared" si="14"/>
        <v>0</v>
      </c>
      <c r="K15" s="66" t="str">
        <f>IF(K$7="","",IF(INDEX('Rooms Walls and Glass'!$D$3:$AB$17, MATCH($D15,'Rooms Walls and Glass'!$A$3:$A$17,0), MATCH('Unit 2 b'!K$7,'Rooms Walls and Glass'!$D$1:$AB$1,0))=0,"",INDEX('Rooms Walls and Glass'!$D$3:$AB$17, MATCH($D15,'Rooms Walls and Glass'!$A$3:$A$17,0), MATCH('Unit 2 b'!K$7,'Rooms Walls and Glass'!$D$1:$AB$1,0))))</f>
        <v/>
      </c>
      <c r="L15" s="68" t="str">
        <f t="shared" si="15"/>
        <v>-</v>
      </c>
      <c r="M15" s="66" t="str">
        <f>IF(M$7="","",IF(INDEX('Rooms Walls and Glass'!$D$3:$AB$17, MATCH($D15,'Rooms Walls and Glass'!$A$3:$A$17,0), MATCH('Unit 2 b'!M$7,'Rooms Walls and Glass'!$D$1:$AB$1,0))=0,"",INDEX('Rooms Walls and Glass'!$D$3:$AB$17, MATCH($D15,'Rooms Walls and Glass'!$A$3:$A$17,0), MATCH('Unit 2 b'!M$7,'Rooms Walls and Glass'!$D$1:$AB$1,0))))</f>
        <v/>
      </c>
      <c r="N15" s="68" t="str">
        <f t="shared" si="16"/>
        <v>-</v>
      </c>
      <c r="O15" s="66" t="str">
        <f>IF(O$7="","",IF(INDEX('Rooms Walls and Glass'!$D$3:$AB$17, MATCH($D15,'Rooms Walls and Glass'!$A$3:$A$17,0), MATCH('Unit 2 b'!O$7,'Rooms Walls and Glass'!$D$1:$AB$1,0))=0,"",INDEX('Rooms Walls and Glass'!$D$3:$AB$17, MATCH($D15,'Rooms Walls and Glass'!$A$3:$A$17,0), MATCH('Unit 2 b'!O$7,'Rooms Walls and Glass'!$D$1:$AB$1,0))))</f>
        <v/>
      </c>
      <c r="P15" s="68" t="str">
        <f t="shared" si="17"/>
        <v>-</v>
      </c>
      <c r="Q15" s="66" t="str">
        <f>IF(Q$7="","",IF(INDEX('Rooms Walls and Glass'!$D$3:$AB$17, MATCH($D15,'Rooms Walls and Glass'!$A$3:$A$17,0), MATCH('Unit 2 b'!Q$7,'Rooms Walls and Glass'!$D$1:$AB$1,0))=0,"",INDEX('Rooms Walls and Glass'!$D$3:$AB$17, MATCH($D15,'Rooms Walls and Glass'!$A$3:$A$17,0), MATCH('Unit 2 b'!Q$7,'Rooms Walls and Glass'!$D$1:$AB$1,0))))</f>
        <v/>
      </c>
      <c r="R15" s="68" t="str">
        <f t="shared" si="18"/>
        <v>-</v>
      </c>
      <c r="S15" s="66" t="str">
        <f>IF(S$7="","",IF(INDEX('Rooms Walls and Glass'!$D$3:$AB$17, MATCH($D15,'Rooms Walls and Glass'!$A$3:$A$17,0), MATCH('Unit 2 b'!S$7,'Rooms Walls and Glass'!$D$1:$AB$1,0))=0,"",INDEX('Rooms Walls and Glass'!$D$3:$AB$17, MATCH($D15,'Rooms Walls and Glass'!$A$3:$A$17,0), MATCH('Unit 2 b'!S$7,'Rooms Walls and Glass'!$D$1:$AB$1,0))))</f>
        <v/>
      </c>
      <c r="T15" s="68" t="str">
        <f t="shared" si="19"/>
        <v>-</v>
      </c>
      <c r="U15" s="66" t="str">
        <f>IF(U$7="","",IF(INDEX('Rooms Walls and Glass'!$D$3:$AB$17, MATCH($D15,'Rooms Walls and Glass'!$A$3:$A$17,0), MATCH('Unit 2 b'!U$7,'Rooms Walls and Glass'!$D$1:$AB$1,0))=0,"",INDEX('Rooms Walls and Glass'!$D$3:$AB$17, MATCH($D15,'Rooms Walls and Glass'!$A$3:$A$17,0), MATCH('Unit 2 b'!U$7,'Rooms Walls and Glass'!$D$1:$AB$1,0))))</f>
        <v/>
      </c>
      <c r="V15" s="68" t="str">
        <f t="shared" si="20"/>
        <v>-</v>
      </c>
      <c r="W15" s="66" t="str">
        <f>IF(W$7="","",IF(INDEX('Rooms Walls and Glass'!$D$3:$AB$17, MATCH($D15,'Rooms Walls and Glass'!$A$3:$A$17,0), MATCH('Unit 2 b'!W$7,'Rooms Walls and Glass'!$D$1:$AB$1,0))=0,"",INDEX('Rooms Walls and Glass'!$D$3:$AB$17, MATCH($D15,'Rooms Walls and Glass'!$A$3:$A$17,0), MATCH('Unit 2 b'!W$7,'Rooms Walls and Glass'!$D$1:$AB$1,0))))</f>
        <v/>
      </c>
      <c r="X15" s="68" t="str">
        <f t="shared" si="21"/>
        <v>-</v>
      </c>
      <c r="Y15" s="66" t="str">
        <f>IF(Y$7="","",IF(INDEX('Rooms Walls and Glass'!$D$3:$AB$17, MATCH($D15,'Rooms Walls and Glass'!$A$3:$A$17,0), MATCH('Unit 2 b'!Y$7,'Rooms Walls and Glass'!$D$1:$AB$1,0))=0,"",INDEX('Rooms Walls and Glass'!$D$3:$AB$17, MATCH($D15,'Rooms Walls and Glass'!$A$3:$A$17,0), MATCH('Unit 2 b'!Y$7,'Rooms Walls and Glass'!$D$1:$AB$1,0))))</f>
        <v/>
      </c>
      <c r="Z15" s="68" t="str">
        <f t="shared" si="22"/>
        <v>-</v>
      </c>
      <c r="AA15" s="66" t="str">
        <f>IF(AA$7="","",IF(INDEX('Rooms Walls and Glass'!$D$3:$AB$17, MATCH($D15,'Rooms Walls and Glass'!$A$3:$A$17,0), MATCH('Unit 2 b'!AA$7,'Rooms Walls and Glass'!$D$1:$AB$1,0))=0,"",INDEX('Rooms Walls and Glass'!$D$3:$AB$17, MATCH($D15,'Rooms Walls and Glass'!$A$3:$A$17,0), MATCH('Unit 2 b'!AA$7,'Rooms Walls and Glass'!$D$1:$AB$1,0))))</f>
        <v/>
      </c>
      <c r="AB15" s="68" t="str">
        <f t="shared" si="23"/>
        <v>-</v>
      </c>
      <c r="AC15" s="66" t="str">
        <f>IF(AC$7="","",IF(INDEX('Rooms Walls and Glass'!$D$3:$AB$17, MATCH($D15,'Rooms Walls and Glass'!$A$3:$A$17,0), MATCH('Unit 2 b'!AC$7,'Rooms Walls and Glass'!$D$1:$AB$1,0))=0,"",INDEX('Rooms Walls and Glass'!$D$3:$AB$17, MATCH($D15,'Rooms Walls and Glass'!$A$3:$A$17,0), MATCH('Unit 2 b'!AC$7,'Rooms Walls and Glass'!$D$1:$AB$1,0))))</f>
        <v/>
      </c>
      <c r="AD15" s="68" t="str">
        <f t="shared" si="24"/>
        <v>-</v>
      </c>
      <c r="AE15" s="66" t="str">
        <f>IF(AE$7="","",IF(INDEX('Rooms Walls and Glass'!$D$3:$AB$17, MATCH($D15,'Rooms Walls and Glass'!$A$3:$A$17,0), MATCH('Unit 2 b'!AE$7,'Rooms Walls and Glass'!$D$1:$AB$1,0))=0,"",INDEX('Rooms Walls and Glass'!$D$3:$AB$17, MATCH($D15,'Rooms Walls and Glass'!$A$3:$A$17,0), MATCH('Unit 2 b'!AE$7,'Rooms Walls and Glass'!$D$1:$AB$1,0))))</f>
        <v/>
      </c>
      <c r="AF15" s="68" t="str">
        <f t="shared" si="24"/>
        <v>-</v>
      </c>
      <c r="AG15" s="66" t="str">
        <f>IF(AG$7="","",IF(INDEX('Rooms Walls and Glass'!$D$3:$AB$17, MATCH($D15,'Rooms Walls and Glass'!$A$3:$A$17,0), MATCH('Unit 2 b'!AG$7,'Rooms Walls and Glass'!$D$1:$AB$1,0))=0,"",INDEX('Rooms Walls and Glass'!$D$3:$AB$17, MATCH($D15,'Rooms Walls and Glass'!$A$3:$A$17,0), MATCH('Unit 2 b'!AG$7,'Rooms Walls and Glass'!$D$1:$AB$1,0))))</f>
        <v/>
      </c>
      <c r="AH15" s="68" t="str">
        <f t="shared" si="25"/>
        <v>-</v>
      </c>
      <c r="AI15" s="66" t="str">
        <f>IF(AI$7="","",IF(INDEX('Rooms Walls and Glass'!$D$3:$AB$17, MATCH($D15,'Rooms Walls and Glass'!$A$3:$A$17,0), MATCH('Unit 2 b'!AI$7,'Rooms Walls and Glass'!$D$1:$AB$1,0))=0,"",INDEX('Rooms Walls and Glass'!$D$3:$AB$17, MATCH($D15,'Rooms Walls and Glass'!$A$3:$A$17,0), MATCH('Unit 2 b'!AI$7,'Rooms Walls and Glass'!$D$1:$AB$1,0))))</f>
        <v/>
      </c>
      <c r="AJ15" s="69" t="str">
        <f t="shared" si="26"/>
        <v>-</v>
      </c>
      <c r="AK15" s="66" t="str">
        <f>IF(AK$7="","",IF(INDEX('Rooms Walls and Glass'!$D$3:$AB$17, MATCH($D15,'Rooms Walls and Glass'!$A$3:$A$17,0), MATCH('Unit 2 b'!AK$7,'Rooms Walls and Glass'!$D$1:$AB$1,0))=0,"",INDEX('Rooms Walls and Glass'!$D$3:$AB$17, MATCH($D15,'Rooms Walls and Glass'!$A$3:$A$17,0), MATCH('Unit 2 b'!AK$7,'Rooms Walls and Glass'!$D$1:$AB$1,0))))</f>
        <v/>
      </c>
      <c r="AL15" s="68" t="str">
        <f t="shared" si="27"/>
        <v>-</v>
      </c>
      <c r="AM15" s="66" t="str">
        <f>IF(AM$7="","",IF(INDEX('Rooms Walls and Glass'!$D$3:$AB$17, MATCH($D15,'Rooms Walls and Glass'!$A$3:$A$17,0), MATCH('Unit 2 b'!AM$7,'Rooms Walls and Glass'!$D$1:$AB$1,0))=0,"",INDEX('Rooms Walls and Glass'!$D$3:$AB$17, MATCH($D15,'Rooms Walls and Glass'!$A$3:$A$17,0), MATCH('Unit 2 b'!AM$7,'Rooms Walls and Glass'!$D$1:$AB$1,0))))</f>
        <v/>
      </c>
      <c r="AN15" s="69" t="str">
        <f t="shared" si="28"/>
        <v>-</v>
      </c>
    </row>
    <row r="16" spans="2:40" ht="11.25" customHeight="1" thickBot="1" x14ac:dyDescent="0.2">
      <c r="B16" s="214"/>
      <c r="C16" s="15" t="s">
        <v>7</v>
      </c>
      <c r="D16" s="13" t="str">
        <f>'Rooms Walls and Glass'!A15</f>
        <v>West</v>
      </c>
      <c r="E16" s="16"/>
      <c r="F16" s="16" t="s">
        <v>16</v>
      </c>
      <c r="G16" s="103">
        <f>INDEX('Glass CLF Calculation'!$A$4:$G$11,MATCH('Unit 2 b'!D16,'Glass CLF Calculation'!$A$4:$A$11,0),7)</f>
        <v>29.197724444444443</v>
      </c>
      <c r="H16" s="16" t="s">
        <v>6</v>
      </c>
      <c r="I16" s="65">
        <f t="shared" si="13"/>
        <v>0</v>
      </c>
      <c r="J16" s="68">
        <f t="shared" si="14"/>
        <v>0</v>
      </c>
      <c r="K16" s="66" t="str">
        <f>IF(K$7="","",IF(INDEX('Rooms Walls and Glass'!$D$3:$AB$17, MATCH($D16,'Rooms Walls and Glass'!$A$3:$A$17,0), MATCH('Unit 2 b'!K$7,'Rooms Walls and Glass'!$D$1:$AB$1,0))=0,"",INDEX('Rooms Walls and Glass'!$D$3:$AB$17, MATCH($D16,'Rooms Walls and Glass'!$A$3:$A$17,0), MATCH('Unit 2 b'!K$7,'Rooms Walls and Glass'!$D$1:$AB$1,0))))</f>
        <v/>
      </c>
      <c r="L16" s="68" t="str">
        <f t="shared" si="15"/>
        <v>-</v>
      </c>
      <c r="M16" s="66" t="str">
        <f>IF(M$7="","",IF(INDEX('Rooms Walls and Glass'!$D$3:$AB$17, MATCH($D16,'Rooms Walls and Glass'!$A$3:$A$17,0), MATCH('Unit 2 b'!M$7,'Rooms Walls and Glass'!$D$1:$AB$1,0))=0,"",INDEX('Rooms Walls and Glass'!$D$3:$AB$17, MATCH($D16,'Rooms Walls and Glass'!$A$3:$A$17,0), MATCH('Unit 2 b'!M$7,'Rooms Walls and Glass'!$D$1:$AB$1,0))))</f>
        <v/>
      </c>
      <c r="N16" s="68" t="str">
        <f t="shared" si="16"/>
        <v>-</v>
      </c>
      <c r="O16" s="66" t="str">
        <f>IF(O$7="","",IF(INDEX('Rooms Walls and Glass'!$D$3:$AB$17, MATCH($D16,'Rooms Walls and Glass'!$A$3:$A$17,0), MATCH('Unit 2 b'!O$7,'Rooms Walls and Glass'!$D$1:$AB$1,0))=0,"",INDEX('Rooms Walls and Glass'!$D$3:$AB$17, MATCH($D16,'Rooms Walls and Glass'!$A$3:$A$17,0), MATCH('Unit 2 b'!O$7,'Rooms Walls and Glass'!$D$1:$AB$1,0))))</f>
        <v/>
      </c>
      <c r="P16" s="68" t="str">
        <f t="shared" si="17"/>
        <v>-</v>
      </c>
      <c r="Q16" s="66" t="str">
        <f>IF(Q$7="","",IF(INDEX('Rooms Walls and Glass'!$D$3:$AB$17, MATCH($D16,'Rooms Walls and Glass'!$A$3:$A$17,0), MATCH('Unit 2 b'!Q$7,'Rooms Walls and Glass'!$D$1:$AB$1,0))=0,"",INDEX('Rooms Walls and Glass'!$D$3:$AB$17, MATCH($D16,'Rooms Walls and Glass'!$A$3:$A$17,0), MATCH('Unit 2 b'!Q$7,'Rooms Walls and Glass'!$D$1:$AB$1,0))))</f>
        <v/>
      </c>
      <c r="R16" s="68" t="str">
        <f t="shared" si="18"/>
        <v>-</v>
      </c>
      <c r="S16" s="66" t="str">
        <f>IF(S$7="","",IF(INDEX('Rooms Walls and Glass'!$D$3:$AB$17, MATCH($D16,'Rooms Walls and Glass'!$A$3:$A$17,0), MATCH('Unit 2 b'!S$7,'Rooms Walls and Glass'!$D$1:$AB$1,0))=0,"",INDEX('Rooms Walls and Glass'!$D$3:$AB$17, MATCH($D16,'Rooms Walls and Glass'!$A$3:$A$17,0), MATCH('Unit 2 b'!S$7,'Rooms Walls and Glass'!$D$1:$AB$1,0))))</f>
        <v/>
      </c>
      <c r="T16" s="68" t="str">
        <f t="shared" si="19"/>
        <v>-</v>
      </c>
      <c r="U16" s="66" t="str">
        <f>IF(U$7="","",IF(INDEX('Rooms Walls and Glass'!$D$3:$AB$17, MATCH($D16,'Rooms Walls and Glass'!$A$3:$A$17,0), MATCH('Unit 2 b'!U$7,'Rooms Walls and Glass'!$D$1:$AB$1,0))=0,"",INDEX('Rooms Walls and Glass'!$D$3:$AB$17, MATCH($D16,'Rooms Walls and Glass'!$A$3:$A$17,0), MATCH('Unit 2 b'!U$7,'Rooms Walls and Glass'!$D$1:$AB$1,0))))</f>
        <v/>
      </c>
      <c r="V16" s="68" t="str">
        <f t="shared" si="20"/>
        <v>-</v>
      </c>
      <c r="W16" s="66" t="str">
        <f>IF(W$7="","",IF(INDEX('Rooms Walls and Glass'!$D$3:$AB$17, MATCH($D16,'Rooms Walls and Glass'!$A$3:$A$17,0), MATCH('Unit 2 b'!W$7,'Rooms Walls and Glass'!$D$1:$AB$1,0))=0,"",INDEX('Rooms Walls and Glass'!$D$3:$AB$17, MATCH($D16,'Rooms Walls and Glass'!$A$3:$A$17,0), MATCH('Unit 2 b'!W$7,'Rooms Walls and Glass'!$D$1:$AB$1,0))))</f>
        <v/>
      </c>
      <c r="X16" s="68" t="str">
        <f t="shared" si="21"/>
        <v>-</v>
      </c>
      <c r="Y16" s="66" t="str">
        <f>IF(Y$7="","",IF(INDEX('Rooms Walls and Glass'!$D$3:$AB$17, MATCH($D16,'Rooms Walls and Glass'!$A$3:$A$17,0), MATCH('Unit 2 b'!Y$7,'Rooms Walls and Glass'!$D$1:$AB$1,0))=0,"",INDEX('Rooms Walls and Glass'!$D$3:$AB$17, MATCH($D16,'Rooms Walls and Glass'!$A$3:$A$17,0), MATCH('Unit 2 b'!Y$7,'Rooms Walls and Glass'!$D$1:$AB$1,0))))</f>
        <v/>
      </c>
      <c r="Z16" s="68" t="str">
        <f t="shared" si="22"/>
        <v>-</v>
      </c>
      <c r="AA16" s="66" t="str">
        <f>IF(AA$7="","",IF(INDEX('Rooms Walls and Glass'!$D$3:$AB$17, MATCH($D16,'Rooms Walls and Glass'!$A$3:$A$17,0), MATCH('Unit 2 b'!AA$7,'Rooms Walls and Glass'!$D$1:$AB$1,0))=0,"",INDEX('Rooms Walls and Glass'!$D$3:$AB$17, MATCH($D16,'Rooms Walls and Glass'!$A$3:$A$17,0), MATCH('Unit 2 b'!AA$7,'Rooms Walls and Glass'!$D$1:$AB$1,0))))</f>
        <v/>
      </c>
      <c r="AB16" s="68" t="str">
        <f t="shared" si="23"/>
        <v>-</v>
      </c>
      <c r="AC16" s="66" t="str">
        <f>IF(AC$7="","",IF(INDEX('Rooms Walls and Glass'!$D$3:$AB$17, MATCH($D16,'Rooms Walls and Glass'!$A$3:$A$17,0), MATCH('Unit 2 b'!AC$7,'Rooms Walls and Glass'!$D$1:$AB$1,0))=0,"",INDEX('Rooms Walls and Glass'!$D$3:$AB$17, MATCH($D16,'Rooms Walls and Glass'!$A$3:$A$17,0), MATCH('Unit 2 b'!AC$7,'Rooms Walls and Glass'!$D$1:$AB$1,0))))</f>
        <v/>
      </c>
      <c r="AD16" s="68" t="str">
        <f t="shared" si="24"/>
        <v>-</v>
      </c>
      <c r="AE16" s="66" t="str">
        <f>IF(AE$7="","",IF(INDEX('Rooms Walls and Glass'!$D$3:$AB$17, MATCH($D16,'Rooms Walls and Glass'!$A$3:$A$17,0), MATCH('Unit 2 b'!AE$7,'Rooms Walls and Glass'!$D$1:$AB$1,0))=0,"",INDEX('Rooms Walls and Glass'!$D$3:$AB$17, MATCH($D16,'Rooms Walls and Glass'!$A$3:$A$17,0), MATCH('Unit 2 b'!AE$7,'Rooms Walls and Glass'!$D$1:$AB$1,0))))</f>
        <v/>
      </c>
      <c r="AF16" s="68" t="str">
        <f t="shared" si="24"/>
        <v>-</v>
      </c>
      <c r="AG16" s="66" t="str">
        <f>IF(AG$7="","",IF(INDEX('Rooms Walls and Glass'!$D$3:$AB$17, MATCH($D16,'Rooms Walls and Glass'!$A$3:$A$17,0), MATCH('Unit 2 b'!AG$7,'Rooms Walls and Glass'!$D$1:$AB$1,0))=0,"",INDEX('Rooms Walls and Glass'!$D$3:$AB$17, MATCH($D16,'Rooms Walls and Glass'!$A$3:$A$17,0), MATCH('Unit 2 b'!AG$7,'Rooms Walls and Glass'!$D$1:$AB$1,0))))</f>
        <v/>
      </c>
      <c r="AH16" s="68" t="str">
        <f t="shared" si="25"/>
        <v>-</v>
      </c>
      <c r="AI16" s="66" t="str">
        <f>IF(AI$7="","",IF(INDEX('Rooms Walls and Glass'!$D$3:$AB$17, MATCH($D16,'Rooms Walls and Glass'!$A$3:$A$17,0), MATCH('Unit 2 b'!AI$7,'Rooms Walls and Glass'!$D$1:$AB$1,0))=0,"",INDEX('Rooms Walls and Glass'!$D$3:$AB$17, MATCH($D16,'Rooms Walls and Glass'!$A$3:$A$17,0), MATCH('Unit 2 b'!AI$7,'Rooms Walls and Glass'!$D$1:$AB$1,0))))</f>
        <v/>
      </c>
      <c r="AJ16" s="69" t="str">
        <f t="shared" si="26"/>
        <v>-</v>
      </c>
      <c r="AK16" s="66" t="str">
        <f>IF(AK$7="","",IF(INDEX('Rooms Walls and Glass'!$D$3:$AB$17, MATCH($D16,'Rooms Walls and Glass'!$A$3:$A$17,0), MATCH('Unit 2 b'!AK$7,'Rooms Walls and Glass'!$D$1:$AB$1,0))=0,"",INDEX('Rooms Walls and Glass'!$D$3:$AB$17, MATCH($D16,'Rooms Walls and Glass'!$A$3:$A$17,0), MATCH('Unit 2 b'!AK$7,'Rooms Walls and Glass'!$D$1:$AB$1,0))))</f>
        <v/>
      </c>
      <c r="AL16" s="68" t="str">
        <f t="shared" si="27"/>
        <v>-</v>
      </c>
      <c r="AM16" s="66" t="str">
        <f>IF(AM$7="","",IF(INDEX('Rooms Walls and Glass'!$D$3:$AB$17, MATCH($D16,'Rooms Walls and Glass'!$A$3:$A$17,0), MATCH('Unit 2 b'!AM$7,'Rooms Walls and Glass'!$D$1:$AB$1,0))=0,"",INDEX('Rooms Walls and Glass'!$D$3:$AB$17, MATCH($D16,'Rooms Walls and Glass'!$A$3:$A$17,0), MATCH('Unit 2 b'!AM$7,'Rooms Walls and Glass'!$D$1:$AB$1,0))))</f>
        <v/>
      </c>
      <c r="AN16" s="69" t="str">
        <f t="shared" si="28"/>
        <v>-</v>
      </c>
    </row>
    <row r="17" spans="2:40" ht="11.25" customHeight="1" thickBot="1" x14ac:dyDescent="0.2">
      <c r="B17" s="214"/>
      <c r="C17" s="15" t="s">
        <v>7</v>
      </c>
      <c r="D17" s="13" t="str">
        <f>'Rooms Walls and Glass'!A16</f>
        <v>Sky Light</v>
      </c>
      <c r="E17" s="16"/>
      <c r="F17" s="16"/>
      <c r="G17" s="105">
        <v>55</v>
      </c>
      <c r="H17" s="16" t="s">
        <v>6</v>
      </c>
      <c r="I17" s="65">
        <f t="shared" si="13"/>
        <v>0</v>
      </c>
      <c r="J17" s="68">
        <f t="shared" si="14"/>
        <v>0</v>
      </c>
      <c r="K17" s="66" t="str">
        <f>IF(K$7="","",IF(INDEX('Rooms Walls and Glass'!$D$3:$AB$17, MATCH($D17,'Rooms Walls and Glass'!$A$3:$A$17,0), MATCH('Unit 2 b'!K$7,'Rooms Walls and Glass'!$D$1:$AB$1,0))=0,"",INDEX('Rooms Walls and Glass'!$D$3:$AB$17, MATCH($D17,'Rooms Walls and Glass'!$A$3:$A$17,0), MATCH('Unit 2 b'!K$7,'Rooms Walls and Glass'!$D$1:$AB$1,0))))</f>
        <v/>
      </c>
      <c r="L17" s="68" t="str">
        <f t="shared" si="15"/>
        <v>-</v>
      </c>
      <c r="M17" s="66" t="str">
        <f>IF(M$7="","",IF(INDEX('Rooms Walls and Glass'!$D$3:$AB$17, MATCH($D17,'Rooms Walls and Glass'!$A$3:$A$17,0), MATCH('Unit 2 b'!M$7,'Rooms Walls and Glass'!$D$1:$AB$1,0))=0,"",INDEX('Rooms Walls and Glass'!$D$3:$AB$17, MATCH($D17,'Rooms Walls and Glass'!$A$3:$A$17,0), MATCH('Unit 2 b'!M$7,'Rooms Walls and Glass'!$D$1:$AB$1,0))))</f>
        <v/>
      </c>
      <c r="N17" s="68" t="str">
        <f t="shared" si="16"/>
        <v>-</v>
      </c>
      <c r="O17" s="66" t="str">
        <f>IF(O$7="","",IF(INDEX('Rooms Walls and Glass'!$D$3:$AB$17, MATCH($D17,'Rooms Walls and Glass'!$A$3:$A$17,0), MATCH('Unit 2 b'!O$7,'Rooms Walls and Glass'!$D$1:$AB$1,0))=0,"",INDEX('Rooms Walls and Glass'!$D$3:$AB$17, MATCH($D17,'Rooms Walls and Glass'!$A$3:$A$17,0), MATCH('Unit 2 b'!O$7,'Rooms Walls and Glass'!$D$1:$AB$1,0))))</f>
        <v/>
      </c>
      <c r="P17" s="68" t="str">
        <f t="shared" si="17"/>
        <v>-</v>
      </c>
      <c r="Q17" s="66" t="str">
        <f>IF(Q$7="","",IF(INDEX('Rooms Walls and Glass'!$D$3:$AB$17, MATCH($D17,'Rooms Walls and Glass'!$A$3:$A$17,0), MATCH('Unit 2 b'!Q$7,'Rooms Walls and Glass'!$D$1:$AB$1,0))=0,"",INDEX('Rooms Walls and Glass'!$D$3:$AB$17, MATCH($D17,'Rooms Walls and Glass'!$A$3:$A$17,0), MATCH('Unit 2 b'!Q$7,'Rooms Walls and Glass'!$D$1:$AB$1,0))))</f>
        <v/>
      </c>
      <c r="R17" s="68" t="str">
        <f t="shared" si="18"/>
        <v>-</v>
      </c>
      <c r="S17" s="66" t="str">
        <f>IF(S$7="","",IF(INDEX('Rooms Walls and Glass'!$D$3:$AB$17, MATCH($D17,'Rooms Walls and Glass'!$A$3:$A$17,0), MATCH('Unit 2 b'!S$7,'Rooms Walls and Glass'!$D$1:$AB$1,0))=0,"",INDEX('Rooms Walls and Glass'!$D$3:$AB$17, MATCH($D17,'Rooms Walls and Glass'!$A$3:$A$17,0), MATCH('Unit 2 b'!S$7,'Rooms Walls and Glass'!$D$1:$AB$1,0))))</f>
        <v/>
      </c>
      <c r="T17" s="68" t="str">
        <f t="shared" si="19"/>
        <v>-</v>
      </c>
      <c r="U17" s="66" t="str">
        <f>IF(U$7="","",IF(INDEX('Rooms Walls and Glass'!$D$3:$AB$17, MATCH($D17,'Rooms Walls and Glass'!$A$3:$A$17,0), MATCH('Unit 2 b'!U$7,'Rooms Walls and Glass'!$D$1:$AB$1,0))=0,"",INDEX('Rooms Walls and Glass'!$D$3:$AB$17, MATCH($D17,'Rooms Walls and Glass'!$A$3:$A$17,0), MATCH('Unit 2 b'!U$7,'Rooms Walls and Glass'!$D$1:$AB$1,0))))</f>
        <v/>
      </c>
      <c r="V17" s="68" t="str">
        <f t="shared" si="20"/>
        <v>-</v>
      </c>
      <c r="W17" s="66" t="str">
        <f>IF(W$7="","",IF(INDEX('Rooms Walls and Glass'!$D$3:$AB$17, MATCH($D17,'Rooms Walls and Glass'!$A$3:$A$17,0), MATCH('Unit 2 b'!W$7,'Rooms Walls and Glass'!$D$1:$AB$1,0))=0,"",INDEX('Rooms Walls and Glass'!$D$3:$AB$17, MATCH($D17,'Rooms Walls and Glass'!$A$3:$A$17,0), MATCH('Unit 2 b'!W$7,'Rooms Walls and Glass'!$D$1:$AB$1,0))))</f>
        <v/>
      </c>
      <c r="X17" s="68" t="str">
        <f t="shared" si="21"/>
        <v>-</v>
      </c>
      <c r="Y17" s="66" t="str">
        <f>IF(Y$7="","",IF(INDEX('Rooms Walls and Glass'!$D$3:$AB$17, MATCH($D17,'Rooms Walls and Glass'!$A$3:$A$17,0), MATCH('Unit 2 b'!Y$7,'Rooms Walls and Glass'!$D$1:$AB$1,0))=0,"",INDEX('Rooms Walls and Glass'!$D$3:$AB$17, MATCH($D17,'Rooms Walls and Glass'!$A$3:$A$17,0), MATCH('Unit 2 b'!Y$7,'Rooms Walls and Glass'!$D$1:$AB$1,0))))</f>
        <v/>
      </c>
      <c r="Z17" s="68" t="str">
        <f t="shared" si="22"/>
        <v>-</v>
      </c>
      <c r="AA17" s="66" t="str">
        <f>IF(AA$7="","",IF(INDEX('Rooms Walls and Glass'!$D$3:$AB$17, MATCH($D17,'Rooms Walls and Glass'!$A$3:$A$17,0), MATCH('Unit 2 b'!AA$7,'Rooms Walls and Glass'!$D$1:$AB$1,0))=0,"",INDEX('Rooms Walls and Glass'!$D$3:$AB$17, MATCH($D17,'Rooms Walls and Glass'!$A$3:$A$17,0), MATCH('Unit 2 b'!AA$7,'Rooms Walls and Glass'!$D$1:$AB$1,0))))</f>
        <v/>
      </c>
      <c r="AB17" s="68" t="str">
        <f t="shared" si="23"/>
        <v>-</v>
      </c>
      <c r="AC17" s="66" t="str">
        <f>IF(AC$7="","",IF(INDEX('Rooms Walls and Glass'!$D$3:$AB$17, MATCH($D17,'Rooms Walls and Glass'!$A$3:$A$17,0), MATCH('Unit 2 b'!AC$7,'Rooms Walls and Glass'!$D$1:$AB$1,0))=0,"",INDEX('Rooms Walls and Glass'!$D$3:$AB$17, MATCH($D17,'Rooms Walls and Glass'!$A$3:$A$17,0), MATCH('Unit 2 b'!AC$7,'Rooms Walls and Glass'!$D$1:$AB$1,0))))</f>
        <v/>
      </c>
      <c r="AD17" s="68" t="str">
        <f t="shared" si="24"/>
        <v>-</v>
      </c>
      <c r="AE17" s="66" t="str">
        <f>IF(AE$7="","",IF(INDEX('Rooms Walls and Glass'!$D$3:$AB$17, MATCH($D17,'Rooms Walls and Glass'!$A$3:$A$17,0), MATCH('Unit 2 b'!AE$7,'Rooms Walls and Glass'!$D$1:$AB$1,0))=0,"",INDEX('Rooms Walls and Glass'!$D$3:$AB$17, MATCH($D17,'Rooms Walls and Glass'!$A$3:$A$17,0), MATCH('Unit 2 b'!AE$7,'Rooms Walls and Glass'!$D$1:$AB$1,0))))</f>
        <v/>
      </c>
      <c r="AF17" s="68" t="str">
        <f t="shared" si="24"/>
        <v>-</v>
      </c>
      <c r="AG17" s="66" t="str">
        <f>IF(AG$7="","",IF(INDEX('Rooms Walls and Glass'!$D$3:$AB$17, MATCH($D17,'Rooms Walls and Glass'!$A$3:$A$17,0), MATCH('Unit 2 b'!AG$7,'Rooms Walls and Glass'!$D$1:$AB$1,0))=0,"",INDEX('Rooms Walls and Glass'!$D$3:$AB$17, MATCH($D17,'Rooms Walls and Glass'!$A$3:$A$17,0), MATCH('Unit 2 b'!AG$7,'Rooms Walls and Glass'!$D$1:$AB$1,0))))</f>
        <v/>
      </c>
      <c r="AH17" s="68" t="str">
        <f t="shared" si="25"/>
        <v>-</v>
      </c>
      <c r="AI17" s="66" t="str">
        <f>IF(AI$7="","",IF(INDEX('Rooms Walls and Glass'!$D$3:$AB$17, MATCH($D17,'Rooms Walls and Glass'!$A$3:$A$17,0), MATCH('Unit 2 b'!AI$7,'Rooms Walls and Glass'!$D$1:$AB$1,0))=0,"",INDEX('Rooms Walls and Glass'!$D$3:$AB$17, MATCH($D17,'Rooms Walls and Glass'!$A$3:$A$17,0), MATCH('Unit 2 b'!AI$7,'Rooms Walls and Glass'!$D$1:$AB$1,0))))</f>
        <v/>
      </c>
      <c r="AJ17" s="69" t="str">
        <f t="shared" si="26"/>
        <v>-</v>
      </c>
      <c r="AK17" s="66" t="str">
        <f>IF(AK$7="","",IF(INDEX('Rooms Walls and Glass'!$D$3:$AB$17, MATCH($D17,'Rooms Walls and Glass'!$A$3:$A$17,0), MATCH('Unit 2 b'!AK$7,'Rooms Walls and Glass'!$D$1:$AB$1,0))=0,"",INDEX('Rooms Walls and Glass'!$D$3:$AB$17, MATCH($D17,'Rooms Walls and Glass'!$A$3:$A$17,0), MATCH('Unit 2 b'!AK$7,'Rooms Walls and Glass'!$D$1:$AB$1,0))))</f>
        <v/>
      </c>
      <c r="AL17" s="68" t="str">
        <f t="shared" si="27"/>
        <v>-</v>
      </c>
      <c r="AM17" s="66" t="str">
        <f>IF(AM$7="","",IF(INDEX('Rooms Walls and Glass'!$D$3:$AB$17, MATCH($D17,'Rooms Walls and Glass'!$A$3:$A$17,0), MATCH('Unit 2 b'!AM$7,'Rooms Walls and Glass'!$D$1:$AB$1,0))=0,"",INDEX('Rooms Walls and Glass'!$D$3:$AB$17, MATCH($D17,'Rooms Walls and Glass'!$A$3:$A$17,0), MATCH('Unit 2 b'!AM$7,'Rooms Walls and Glass'!$D$1:$AB$1,0))))</f>
        <v/>
      </c>
      <c r="AN17" s="69" t="str">
        <f t="shared" si="28"/>
        <v>-</v>
      </c>
    </row>
    <row r="18" spans="2:40" ht="11.25" customHeight="1" thickBot="1" x14ac:dyDescent="0.2">
      <c r="B18" s="213"/>
      <c r="C18" s="17" t="s">
        <v>7</v>
      </c>
      <c r="D18" s="13" t="str">
        <f>'Rooms Walls and Glass'!A17</f>
        <v>Shaded</v>
      </c>
      <c r="E18" s="18"/>
      <c r="F18" s="18"/>
      <c r="G18" s="104">
        <f>'Glass CLF Calculation'!G5</f>
        <v>6.2012662222222215</v>
      </c>
      <c r="H18" s="18" t="s">
        <v>6</v>
      </c>
      <c r="I18" s="65">
        <f t="shared" si="13"/>
        <v>0</v>
      </c>
      <c r="J18" s="70">
        <f t="shared" si="14"/>
        <v>0</v>
      </c>
      <c r="K18" s="66" t="str">
        <f>IF(K$7="","",IF(INDEX('Rooms Walls and Glass'!$D$3:$AB$17, MATCH($D18,'Rooms Walls and Glass'!$A$3:$A$17,0), MATCH('Unit 2 b'!K$7,'Rooms Walls and Glass'!$D$1:$AB$1,0))=0,"",INDEX('Rooms Walls and Glass'!$D$3:$AB$17, MATCH($D18,'Rooms Walls and Glass'!$A$3:$A$17,0), MATCH('Unit 2 b'!K$7,'Rooms Walls and Glass'!$D$1:$AB$1,0))))</f>
        <v/>
      </c>
      <c r="L18" s="70" t="str">
        <f t="shared" si="15"/>
        <v>-</v>
      </c>
      <c r="M18" s="66" t="str">
        <f>IF(M$7="","",IF(INDEX('Rooms Walls and Glass'!$D$3:$AB$17, MATCH($D18,'Rooms Walls and Glass'!$A$3:$A$17,0), MATCH('Unit 2 b'!M$7,'Rooms Walls and Glass'!$D$1:$AB$1,0))=0,"",INDEX('Rooms Walls and Glass'!$D$3:$AB$17, MATCH($D18,'Rooms Walls and Glass'!$A$3:$A$17,0), MATCH('Unit 2 b'!M$7,'Rooms Walls and Glass'!$D$1:$AB$1,0))))</f>
        <v/>
      </c>
      <c r="N18" s="70" t="str">
        <f t="shared" si="16"/>
        <v>-</v>
      </c>
      <c r="O18" s="66" t="str">
        <f>IF(O$7="","",IF(INDEX('Rooms Walls and Glass'!$D$3:$AB$17, MATCH($D18,'Rooms Walls and Glass'!$A$3:$A$17,0), MATCH('Unit 2 b'!O$7,'Rooms Walls and Glass'!$D$1:$AB$1,0))=0,"",INDEX('Rooms Walls and Glass'!$D$3:$AB$17, MATCH($D18,'Rooms Walls and Glass'!$A$3:$A$17,0), MATCH('Unit 2 b'!O$7,'Rooms Walls and Glass'!$D$1:$AB$1,0))))</f>
        <v/>
      </c>
      <c r="P18" s="70" t="str">
        <f t="shared" si="17"/>
        <v>-</v>
      </c>
      <c r="Q18" s="66" t="str">
        <f>IF(Q$7="","",IF(INDEX('Rooms Walls and Glass'!$D$3:$AB$17, MATCH($D18,'Rooms Walls and Glass'!$A$3:$A$17,0), MATCH('Unit 2 b'!Q$7,'Rooms Walls and Glass'!$D$1:$AB$1,0))=0,"",INDEX('Rooms Walls and Glass'!$D$3:$AB$17, MATCH($D18,'Rooms Walls and Glass'!$A$3:$A$17,0), MATCH('Unit 2 b'!Q$7,'Rooms Walls and Glass'!$D$1:$AB$1,0))))</f>
        <v/>
      </c>
      <c r="R18" s="70" t="str">
        <f t="shared" si="18"/>
        <v>-</v>
      </c>
      <c r="S18" s="66" t="str">
        <f>IF(S$7="","",IF(INDEX('Rooms Walls and Glass'!$D$3:$AB$17, MATCH($D18,'Rooms Walls and Glass'!$A$3:$A$17,0), MATCH('Unit 2 b'!S$7,'Rooms Walls and Glass'!$D$1:$AB$1,0))=0,"",INDEX('Rooms Walls and Glass'!$D$3:$AB$17, MATCH($D18,'Rooms Walls and Glass'!$A$3:$A$17,0), MATCH('Unit 2 b'!S$7,'Rooms Walls and Glass'!$D$1:$AB$1,0))))</f>
        <v/>
      </c>
      <c r="T18" s="70" t="str">
        <f t="shared" si="19"/>
        <v>-</v>
      </c>
      <c r="U18" s="66" t="str">
        <f>IF(U$7="","",IF(INDEX('Rooms Walls and Glass'!$D$3:$AB$17, MATCH($D18,'Rooms Walls and Glass'!$A$3:$A$17,0), MATCH('Unit 2 b'!U$7,'Rooms Walls and Glass'!$D$1:$AB$1,0))=0,"",INDEX('Rooms Walls and Glass'!$D$3:$AB$17, MATCH($D18,'Rooms Walls and Glass'!$A$3:$A$17,0), MATCH('Unit 2 b'!U$7,'Rooms Walls and Glass'!$D$1:$AB$1,0))))</f>
        <v/>
      </c>
      <c r="V18" s="70" t="str">
        <f t="shared" si="20"/>
        <v>-</v>
      </c>
      <c r="W18" s="66" t="str">
        <f>IF(W$7="","",IF(INDEX('Rooms Walls and Glass'!$D$3:$AB$17, MATCH($D18,'Rooms Walls and Glass'!$A$3:$A$17,0), MATCH('Unit 2 b'!W$7,'Rooms Walls and Glass'!$D$1:$AB$1,0))=0,"",INDEX('Rooms Walls and Glass'!$D$3:$AB$17, MATCH($D18,'Rooms Walls and Glass'!$A$3:$A$17,0), MATCH('Unit 2 b'!W$7,'Rooms Walls and Glass'!$D$1:$AB$1,0))))</f>
        <v/>
      </c>
      <c r="X18" s="70" t="str">
        <f t="shared" si="21"/>
        <v>-</v>
      </c>
      <c r="Y18" s="66" t="str">
        <f>IF(Y$7="","",IF(INDEX('Rooms Walls and Glass'!$D$3:$AB$17, MATCH($D18,'Rooms Walls and Glass'!$A$3:$A$17,0), MATCH('Unit 2 b'!Y$7,'Rooms Walls and Glass'!$D$1:$AB$1,0))=0,"",INDEX('Rooms Walls and Glass'!$D$3:$AB$17, MATCH($D18,'Rooms Walls and Glass'!$A$3:$A$17,0), MATCH('Unit 2 b'!Y$7,'Rooms Walls and Glass'!$D$1:$AB$1,0))))</f>
        <v/>
      </c>
      <c r="Z18" s="70" t="str">
        <f t="shared" si="22"/>
        <v>-</v>
      </c>
      <c r="AA18" s="66" t="str">
        <f>IF(AA$7="","",IF(INDEX('Rooms Walls and Glass'!$D$3:$AB$17, MATCH($D18,'Rooms Walls and Glass'!$A$3:$A$17,0), MATCH('Unit 2 b'!AA$7,'Rooms Walls and Glass'!$D$1:$AB$1,0))=0,"",INDEX('Rooms Walls and Glass'!$D$3:$AB$17, MATCH($D18,'Rooms Walls and Glass'!$A$3:$A$17,0), MATCH('Unit 2 b'!AA$7,'Rooms Walls and Glass'!$D$1:$AB$1,0))))</f>
        <v/>
      </c>
      <c r="AB18" s="70" t="str">
        <f t="shared" si="23"/>
        <v>-</v>
      </c>
      <c r="AC18" s="66" t="str">
        <f>IF(AC$7="","",IF(INDEX('Rooms Walls and Glass'!$D$3:$AB$17, MATCH($D18,'Rooms Walls and Glass'!$A$3:$A$17,0), MATCH('Unit 2 b'!AC$7,'Rooms Walls and Glass'!$D$1:$AB$1,0))=0,"",INDEX('Rooms Walls and Glass'!$D$3:$AB$17, MATCH($D18,'Rooms Walls and Glass'!$A$3:$A$17,0), MATCH('Unit 2 b'!AC$7,'Rooms Walls and Glass'!$D$1:$AB$1,0))))</f>
        <v/>
      </c>
      <c r="AD18" s="70" t="str">
        <f t="shared" si="24"/>
        <v>-</v>
      </c>
      <c r="AE18" s="66" t="str">
        <f>IF(AE$7="","",IF(INDEX('Rooms Walls and Glass'!$D$3:$AB$17, MATCH($D18,'Rooms Walls and Glass'!$A$3:$A$17,0), MATCH('Unit 2 b'!AE$7,'Rooms Walls and Glass'!$D$1:$AB$1,0))=0,"",INDEX('Rooms Walls and Glass'!$D$3:$AB$17, MATCH($D18,'Rooms Walls and Glass'!$A$3:$A$17,0), MATCH('Unit 2 b'!AE$7,'Rooms Walls and Glass'!$D$1:$AB$1,0))))</f>
        <v/>
      </c>
      <c r="AF18" s="70" t="str">
        <f t="shared" si="24"/>
        <v>-</v>
      </c>
      <c r="AG18" s="66" t="str">
        <f>IF(AG$7="","",IF(INDEX('Rooms Walls and Glass'!$D$3:$AB$17, MATCH($D18,'Rooms Walls and Glass'!$A$3:$A$17,0), MATCH('Unit 2 b'!AG$7,'Rooms Walls and Glass'!$D$1:$AB$1,0))=0,"",INDEX('Rooms Walls and Glass'!$D$3:$AB$17, MATCH($D18,'Rooms Walls and Glass'!$A$3:$A$17,0), MATCH('Unit 2 b'!AG$7,'Rooms Walls and Glass'!$D$1:$AB$1,0))))</f>
        <v/>
      </c>
      <c r="AH18" s="70" t="str">
        <f t="shared" si="25"/>
        <v>-</v>
      </c>
      <c r="AI18" s="66" t="str">
        <f>IF(AI$7="","",IF(INDEX('Rooms Walls and Glass'!$D$3:$AB$17, MATCH($D18,'Rooms Walls and Glass'!$A$3:$A$17,0), MATCH('Unit 2 b'!AI$7,'Rooms Walls and Glass'!$D$1:$AB$1,0))=0,"",INDEX('Rooms Walls and Glass'!$D$3:$AB$17, MATCH($D18,'Rooms Walls and Glass'!$A$3:$A$17,0), MATCH('Unit 2 b'!AI$7,'Rooms Walls and Glass'!$D$1:$AB$1,0))))</f>
        <v/>
      </c>
      <c r="AJ18" s="71" t="str">
        <f t="shared" si="26"/>
        <v>-</v>
      </c>
      <c r="AK18" s="66" t="str">
        <f>IF(AK$7="","",IF(INDEX('Rooms Walls and Glass'!$D$3:$AB$17, MATCH($D18,'Rooms Walls and Glass'!$A$3:$A$17,0), MATCH('Unit 2 b'!AK$7,'Rooms Walls and Glass'!$D$1:$AB$1,0))=0,"",INDEX('Rooms Walls and Glass'!$D$3:$AB$17, MATCH($D18,'Rooms Walls and Glass'!$A$3:$A$17,0), MATCH('Unit 2 b'!AK$7,'Rooms Walls and Glass'!$D$1:$AB$1,0))))</f>
        <v/>
      </c>
      <c r="AL18" s="70" t="str">
        <f t="shared" si="27"/>
        <v>-</v>
      </c>
      <c r="AM18" s="66" t="str">
        <f>IF(AM$7="","",IF(INDEX('Rooms Walls and Glass'!$D$3:$AB$17, MATCH($D18,'Rooms Walls and Glass'!$A$3:$A$17,0), MATCH('Unit 2 b'!AM$7,'Rooms Walls and Glass'!$D$1:$AB$1,0))=0,"",INDEX('Rooms Walls and Glass'!$D$3:$AB$17, MATCH($D18,'Rooms Walls and Glass'!$A$3:$A$17,0), MATCH('Unit 2 b'!AM$7,'Rooms Walls and Glass'!$D$1:$AB$1,0))))</f>
        <v/>
      </c>
      <c r="AN18" s="71" t="str">
        <f t="shared" si="28"/>
        <v>-</v>
      </c>
    </row>
    <row r="19" spans="2:40" ht="11.25" customHeight="1" thickBot="1" x14ac:dyDescent="0.2">
      <c r="B19" s="212" t="s">
        <v>37</v>
      </c>
      <c r="C19" s="12" t="s">
        <v>33</v>
      </c>
      <c r="D19" s="13" t="s">
        <v>237</v>
      </c>
      <c r="E19" s="13">
        <f>INDEX('Glass CLF Calculation'!$A$17:$G$18,MATCH('Unit 2 b'!C19,'Glass CLF Calculation'!$A$17:$A$18,0),7)</f>
        <v>21</v>
      </c>
      <c r="F19" s="14">
        <f>INDEX(Summary!$F$19:$F$30,MATCH('Unit 2 b'!C19,Summary!$D$19:$D$30,0))</f>
        <v>0.5</v>
      </c>
      <c r="G19" s="14">
        <f>F19*E19</f>
        <v>10.5</v>
      </c>
      <c r="H19" s="13" t="s">
        <v>6</v>
      </c>
      <c r="I19" s="65">
        <f t="shared" si="13"/>
        <v>0</v>
      </c>
      <c r="J19" s="65">
        <f t="shared" si="14"/>
        <v>0</v>
      </c>
      <c r="K19" s="66" t="str">
        <f>IF(K$7="","",IF(INDEX('Rooms Walls and Glass'!$D$8:$AB$19, MATCH($D19,'Rooms Walls and Glass'!$A$8:$A$19,0), MATCH('Unit 2 b'!K$7,'Rooms Walls and Glass'!$D$1:$AB$1,0))=0,"",INDEX('Rooms Walls and Glass'!$D$8:$AB$19, MATCH($D19,'Rooms Walls and Glass'!$A$8:$A$19,0), MATCH('Unit 2 b'!K$7,'Rooms Walls and Glass'!$D$1:$AB$1,0))))</f>
        <v/>
      </c>
      <c r="L19" s="65" t="str">
        <f t="shared" si="15"/>
        <v>-</v>
      </c>
      <c r="M19" s="66" t="str">
        <f>IF(M$7="","",IF(INDEX('Rooms Walls and Glass'!$D$8:$AB$19, MATCH($D19,'Rooms Walls and Glass'!$A$8:$A$19,0), MATCH('Unit 2 b'!M$7,'Rooms Walls and Glass'!$D$1:$AB$1,0))=0,"",INDEX('Rooms Walls and Glass'!$D$8:$AB$19, MATCH($D19,'Rooms Walls and Glass'!$A$8:$A$19,0), MATCH('Unit 2 b'!M$7,'Rooms Walls and Glass'!$D$1:$AB$1,0))))</f>
        <v/>
      </c>
      <c r="N19" s="65" t="str">
        <f t="shared" si="16"/>
        <v>-</v>
      </c>
      <c r="O19" s="66" t="str">
        <f>IF(O$7="","",IF(INDEX('Rooms Walls and Glass'!$D$8:$AB$19, MATCH($D19,'Rooms Walls and Glass'!$A$8:$A$19,0), MATCH('Unit 2 b'!O$7,'Rooms Walls and Glass'!$D$1:$AB$1,0))=0,"",INDEX('Rooms Walls and Glass'!$D$8:$AB$19, MATCH($D19,'Rooms Walls and Glass'!$A$8:$A$19,0), MATCH('Unit 2 b'!O$7,'Rooms Walls and Glass'!$D$1:$AB$1,0))))</f>
        <v/>
      </c>
      <c r="P19" s="65" t="str">
        <f t="shared" si="17"/>
        <v>-</v>
      </c>
      <c r="Q19" s="66" t="str">
        <f>IF(Q$7="","",IF(INDEX('Rooms Walls and Glass'!$D$8:$AB$19, MATCH($D19,'Rooms Walls and Glass'!$A$8:$A$19,0), MATCH('Unit 2 b'!Q$7,'Rooms Walls and Glass'!$D$1:$AB$1,0))=0,"",INDEX('Rooms Walls and Glass'!$D$8:$AB$19, MATCH($D19,'Rooms Walls and Glass'!$A$8:$A$19,0), MATCH('Unit 2 b'!Q$7,'Rooms Walls and Glass'!$D$1:$AB$1,0))))</f>
        <v/>
      </c>
      <c r="R19" s="65" t="str">
        <f t="shared" si="18"/>
        <v>-</v>
      </c>
      <c r="S19" s="66" t="str">
        <f>IF(S$7="","",IF(INDEX('Rooms Walls and Glass'!$D$8:$AB$19, MATCH($D19,'Rooms Walls and Glass'!$A$8:$A$19,0), MATCH('Unit 2 b'!S$7,'Rooms Walls and Glass'!$D$1:$AB$1,0))=0,"",INDEX('Rooms Walls and Glass'!$D$8:$AB$19, MATCH($D19,'Rooms Walls and Glass'!$A$8:$A$19,0), MATCH('Unit 2 b'!S$7,'Rooms Walls and Glass'!$D$1:$AB$1,0))))</f>
        <v/>
      </c>
      <c r="T19" s="65" t="str">
        <f t="shared" si="19"/>
        <v>-</v>
      </c>
      <c r="U19" s="66" t="str">
        <f>IF(U$7="","",IF(INDEX('Rooms Walls and Glass'!$D$8:$AB$19, MATCH($D19,'Rooms Walls and Glass'!$A$8:$A$19,0), MATCH('Unit 2 b'!U$7,'Rooms Walls and Glass'!$D$1:$AB$1,0))=0,"",INDEX('Rooms Walls and Glass'!$D$8:$AB$19, MATCH($D19,'Rooms Walls and Glass'!$A$8:$A$19,0), MATCH('Unit 2 b'!U$7,'Rooms Walls and Glass'!$D$1:$AB$1,0))))</f>
        <v/>
      </c>
      <c r="V19" s="65" t="str">
        <f t="shared" si="20"/>
        <v>-</v>
      </c>
      <c r="W19" s="66" t="str">
        <f>IF(W$7="","",IF(INDEX('Rooms Walls and Glass'!$D$8:$AB$19, MATCH($D19,'Rooms Walls and Glass'!$A$8:$A$19,0), MATCH('Unit 2 b'!W$7,'Rooms Walls and Glass'!$D$1:$AB$1,0))=0,"",INDEX('Rooms Walls and Glass'!$D$8:$AB$19, MATCH($D19,'Rooms Walls and Glass'!$A$8:$A$19,0), MATCH('Unit 2 b'!W$7,'Rooms Walls and Glass'!$D$1:$AB$1,0))))</f>
        <v/>
      </c>
      <c r="X19" s="65" t="str">
        <f t="shared" si="21"/>
        <v>-</v>
      </c>
      <c r="Y19" s="66" t="str">
        <f>IF(Y$7="","",IF(INDEX('Rooms Walls and Glass'!$D$8:$AB$19, MATCH($D19,'Rooms Walls and Glass'!$A$8:$A$19,0), MATCH('Unit 2 b'!Y$7,'Rooms Walls and Glass'!$D$1:$AB$1,0))=0,"",INDEX('Rooms Walls and Glass'!$D$8:$AB$19, MATCH($D19,'Rooms Walls and Glass'!$A$8:$A$19,0), MATCH('Unit 2 b'!Y$7,'Rooms Walls and Glass'!$D$1:$AB$1,0))))</f>
        <v/>
      </c>
      <c r="Z19" s="65" t="str">
        <f t="shared" si="22"/>
        <v>-</v>
      </c>
      <c r="AA19" s="66" t="str">
        <f>IF(AA$7="","",IF(INDEX('Rooms Walls and Glass'!$D$8:$AB$19, MATCH($D19,'Rooms Walls and Glass'!$A$8:$A$19,0), MATCH('Unit 2 b'!AA$7,'Rooms Walls and Glass'!$D$1:$AB$1,0))=0,"",INDEX('Rooms Walls and Glass'!$D$8:$AB$19, MATCH($D19,'Rooms Walls and Glass'!$A$8:$A$19,0), MATCH('Unit 2 b'!AA$7,'Rooms Walls and Glass'!$D$1:$AB$1,0))))</f>
        <v/>
      </c>
      <c r="AB19" s="65" t="str">
        <f t="shared" si="23"/>
        <v>-</v>
      </c>
      <c r="AC19" s="66" t="str">
        <f>IF(AC$7="","",IF(INDEX('Rooms Walls and Glass'!$D$8:$AB$19, MATCH($D19,'Rooms Walls and Glass'!$A$8:$A$19,0), MATCH('Unit 2 b'!AC$7,'Rooms Walls and Glass'!$D$1:$AB$1,0))=0,"",INDEX('Rooms Walls and Glass'!$D$8:$AB$19, MATCH($D19,'Rooms Walls and Glass'!$A$8:$A$19,0), MATCH('Unit 2 b'!AC$7,'Rooms Walls and Glass'!$D$1:$AB$1,0))))</f>
        <v/>
      </c>
      <c r="AD19" s="65" t="str">
        <f t="shared" si="24"/>
        <v>-</v>
      </c>
      <c r="AE19" s="66" t="str">
        <f>IF(AE$7="","",IF(INDEX('Rooms Walls and Glass'!$D$8:$AB$19, MATCH($D19,'Rooms Walls and Glass'!$A$8:$A$19,0), MATCH('Unit 2 b'!AE$7,'Rooms Walls and Glass'!$D$1:$AB$1,0))=0,"",INDEX('Rooms Walls and Glass'!$D$8:$AB$19, MATCH($D19,'Rooms Walls and Glass'!$A$8:$A$19,0), MATCH('Unit 2 b'!AE$7,'Rooms Walls and Glass'!$D$1:$AB$1,0))))</f>
        <v/>
      </c>
      <c r="AF19" s="65" t="str">
        <f t="shared" si="24"/>
        <v>-</v>
      </c>
      <c r="AG19" s="66" t="str">
        <f>IF(AG$7="","",IF(INDEX('Rooms Walls and Glass'!$D$8:$AB$19, MATCH($D19,'Rooms Walls and Glass'!$A$8:$A$19,0), MATCH('Unit 2 b'!AG$7,'Rooms Walls and Glass'!$D$1:$AB$1,0))=0,"",INDEX('Rooms Walls and Glass'!$D$8:$AB$19, MATCH($D19,'Rooms Walls and Glass'!$A$8:$A$19,0), MATCH('Unit 2 b'!AG$7,'Rooms Walls and Glass'!$D$1:$AB$1,0))))</f>
        <v/>
      </c>
      <c r="AH19" s="65" t="str">
        <f t="shared" si="25"/>
        <v>-</v>
      </c>
      <c r="AI19" s="66" t="str">
        <f>IF(AI$7="","",IF(INDEX('Rooms Walls and Glass'!$D$8:$AB$19, MATCH($D19,'Rooms Walls and Glass'!$A$8:$A$19,0), MATCH('Unit 2 b'!AI$7,'Rooms Walls and Glass'!$D$1:$AB$1,0))=0,"",INDEX('Rooms Walls and Glass'!$D$8:$AB$19, MATCH($D19,'Rooms Walls and Glass'!$A$8:$A$19,0), MATCH('Unit 2 b'!AI$7,'Rooms Walls and Glass'!$D$1:$AB$1,0))))</f>
        <v/>
      </c>
      <c r="AJ19" s="67" t="str">
        <f t="shared" si="26"/>
        <v>-</v>
      </c>
      <c r="AK19" s="66" t="str">
        <f>IF(AK$7="","",IF(INDEX('Rooms Walls and Glass'!$D$8:$AB$19, MATCH($D19,'Rooms Walls and Glass'!$A$8:$A$19,0), MATCH('Unit 2 b'!AK$7,'Rooms Walls and Glass'!$D$1:$AB$1,0))=0,"",INDEX('Rooms Walls and Glass'!$D$8:$AB$19, MATCH($D19,'Rooms Walls and Glass'!$A$8:$A$19,0), MATCH('Unit 2 b'!AK$7,'Rooms Walls and Glass'!$D$1:$AB$1,0))))</f>
        <v/>
      </c>
      <c r="AL19" s="65" t="str">
        <f t="shared" si="27"/>
        <v>-</v>
      </c>
      <c r="AM19" s="66" t="str">
        <f>IF(AM$7="","",IF(INDEX('Rooms Walls and Glass'!$D$8:$AB$19, MATCH($D19,'Rooms Walls and Glass'!$A$8:$A$19,0), MATCH('Unit 2 b'!AM$7,'Rooms Walls and Glass'!$D$1:$AB$1,0))=0,"",INDEX('Rooms Walls and Glass'!$D$8:$AB$19, MATCH($D19,'Rooms Walls and Glass'!$A$8:$A$19,0), MATCH('Unit 2 b'!AM$7,'Rooms Walls and Glass'!$D$1:$AB$1,0))))</f>
        <v/>
      </c>
      <c r="AN19" s="67" t="str">
        <f t="shared" si="28"/>
        <v>-</v>
      </c>
    </row>
    <row r="20" spans="2:40" ht="11.25" customHeight="1" thickBot="1" x14ac:dyDescent="0.2">
      <c r="B20" s="213"/>
      <c r="C20" s="17" t="s">
        <v>34</v>
      </c>
      <c r="D20" s="18" t="s">
        <v>238</v>
      </c>
      <c r="E20" s="13">
        <f>INDEX('Glass CLF Calculation'!$A$17:$G$18,MATCH('Unit 2 b'!C20,'Glass CLF Calculation'!$A$17:$A$18,0),7)</f>
        <v>30</v>
      </c>
      <c r="F20" s="14">
        <f>INDEX(Summary!$F$19:$F$30,MATCH('Unit 2 b'!C20,Summary!$D$19:$D$30,0))</f>
        <v>0.5</v>
      </c>
      <c r="G20" s="14">
        <f t="shared" ref="G20:G46" si="29">F20*E20</f>
        <v>15</v>
      </c>
      <c r="H20" s="18" t="s">
        <v>6</v>
      </c>
      <c r="I20" s="65">
        <f t="shared" si="13"/>
        <v>0</v>
      </c>
      <c r="J20" s="70">
        <f t="shared" si="14"/>
        <v>0</v>
      </c>
      <c r="K20" s="66" t="str">
        <f>IF(K$7="","",IF(INDEX('Rooms Walls and Glass'!$D$8:$AB$19, MATCH($D20,'Rooms Walls and Glass'!$A$8:$A$19,0), MATCH('Unit 2 b'!K$7,'Rooms Walls and Glass'!$D$1:$AB$1,0))=0,"",INDEX('Rooms Walls and Glass'!$D$8:$AB$19, MATCH($D20,'Rooms Walls and Glass'!$A$8:$A$19,0), MATCH('Unit 2 b'!K$7,'Rooms Walls and Glass'!$D$1:$AB$1,0))))</f>
        <v/>
      </c>
      <c r="L20" s="70" t="str">
        <f t="shared" si="15"/>
        <v>-</v>
      </c>
      <c r="M20" s="66" t="str">
        <f>IF(M$7="","",IF(INDEX('Rooms Walls and Glass'!$D$8:$AB$19, MATCH($D20,'Rooms Walls and Glass'!$A$8:$A$19,0), MATCH('Unit 2 b'!M$7,'Rooms Walls and Glass'!$D$1:$AB$1,0))=0,"",INDEX('Rooms Walls and Glass'!$D$8:$AB$19, MATCH($D20,'Rooms Walls and Glass'!$A$8:$A$19,0), MATCH('Unit 2 b'!M$7,'Rooms Walls and Glass'!$D$1:$AB$1,0))))</f>
        <v/>
      </c>
      <c r="N20" s="70" t="str">
        <f t="shared" si="16"/>
        <v>-</v>
      </c>
      <c r="O20" s="66" t="str">
        <f>IF(O$7="","",IF(INDEX('Rooms Walls and Glass'!$D$8:$AB$19, MATCH($D20,'Rooms Walls and Glass'!$A$8:$A$19,0), MATCH('Unit 2 b'!O$7,'Rooms Walls and Glass'!$D$1:$AB$1,0))=0,"",INDEX('Rooms Walls and Glass'!$D$8:$AB$19, MATCH($D20,'Rooms Walls and Glass'!$A$8:$A$19,0), MATCH('Unit 2 b'!O$7,'Rooms Walls and Glass'!$D$1:$AB$1,0))))</f>
        <v/>
      </c>
      <c r="P20" s="70" t="str">
        <f t="shared" si="17"/>
        <v>-</v>
      </c>
      <c r="Q20" s="66" t="str">
        <f>IF(Q$7="","",IF(INDEX('Rooms Walls and Glass'!$D$8:$AB$19, MATCH($D20,'Rooms Walls and Glass'!$A$8:$A$19,0), MATCH('Unit 2 b'!Q$7,'Rooms Walls and Glass'!$D$1:$AB$1,0))=0,"",INDEX('Rooms Walls and Glass'!$D$8:$AB$19, MATCH($D20,'Rooms Walls and Glass'!$A$8:$A$19,0), MATCH('Unit 2 b'!Q$7,'Rooms Walls and Glass'!$D$1:$AB$1,0))))</f>
        <v/>
      </c>
      <c r="R20" s="70" t="str">
        <f t="shared" si="18"/>
        <v>-</v>
      </c>
      <c r="S20" s="66" t="str">
        <f>IF(S$7="","",IF(INDEX('Rooms Walls and Glass'!$D$8:$AB$19, MATCH($D20,'Rooms Walls and Glass'!$A$8:$A$19,0), MATCH('Unit 2 b'!S$7,'Rooms Walls and Glass'!$D$1:$AB$1,0))=0,"",INDEX('Rooms Walls and Glass'!$D$8:$AB$19, MATCH($D20,'Rooms Walls and Glass'!$A$8:$A$19,0), MATCH('Unit 2 b'!S$7,'Rooms Walls and Glass'!$D$1:$AB$1,0))))</f>
        <v/>
      </c>
      <c r="T20" s="70" t="str">
        <f t="shared" si="19"/>
        <v>-</v>
      </c>
      <c r="U20" s="66" t="str">
        <f>IF(U$7="","",IF(INDEX('Rooms Walls and Glass'!$D$8:$AB$19, MATCH($D20,'Rooms Walls and Glass'!$A$8:$A$19,0), MATCH('Unit 2 b'!U$7,'Rooms Walls and Glass'!$D$1:$AB$1,0))=0,"",INDEX('Rooms Walls and Glass'!$D$8:$AB$19, MATCH($D20,'Rooms Walls and Glass'!$A$8:$A$19,0), MATCH('Unit 2 b'!U$7,'Rooms Walls and Glass'!$D$1:$AB$1,0))))</f>
        <v/>
      </c>
      <c r="V20" s="70" t="str">
        <f t="shared" si="20"/>
        <v>-</v>
      </c>
      <c r="W20" s="66" t="str">
        <f>IF(W$7="","",IF(INDEX('Rooms Walls and Glass'!$D$8:$AB$19, MATCH($D20,'Rooms Walls and Glass'!$A$8:$A$19,0), MATCH('Unit 2 b'!W$7,'Rooms Walls and Glass'!$D$1:$AB$1,0))=0,"",INDEX('Rooms Walls and Glass'!$D$8:$AB$19, MATCH($D20,'Rooms Walls and Glass'!$A$8:$A$19,0), MATCH('Unit 2 b'!W$7,'Rooms Walls and Glass'!$D$1:$AB$1,0))))</f>
        <v/>
      </c>
      <c r="X20" s="70" t="str">
        <f t="shared" si="21"/>
        <v>-</v>
      </c>
      <c r="Y20" s="66" t="str">
        <f>IF(Y$7="","",IF(INDEX('Rooms Walls and Glass'!$D$8:$AB$19, MATCH($D20,'Rooms Walls and Glass'!$A$8:$A$19,0), MATCH('Unit 2 b'!Y$7,'Rooms Walls and Glass'!$D$1:$AB$1,0))=0,"",INDEX('Rooms Walls and Glass'!$D$8:$AB$19, MATCH($D20,'Rooms Walls and Glass'!$A$8:$A$19,0), MATCH('Unit 2 b'!Y$7,'Rooms Walls and Glass'!$D$1:$AB$1,0))))</f>
        <v/>
      </c>
      <c r="Z20" s="70" t="str">
        <f t="shared" si="22"/>
        <v>-</v>
      </c>
      <c r="AA20" s="66" t="str">
        <f>IF(AA$7="","",IF(INDEX('Rooms Walls and Glass'!$D$8:$AB$19, MATCH($D20,'Rooms Walls and Glass'!$A$8:$A$19,0), MATCH('Unit 2 b'!AA$7,'Rooms Walls and Glass'!$D$1:$AB$1,0))=0,"",INDEX('Rooms Walls and Glass'!$D$8:$AB$19, MATCH($D20,'Rooms Walls and Glass'!$A$8:$A$19,0), MATCH('Unit 2 b'!AA$7,'Rooms Walls and Glass'!$D$1:$AB$1,0))))</f>
        <v/>
      </c>
      <c r="AB20" s="70" t="str">
        <f t="shared" si="23"/>
        <v>-</v>
      </c>
      <c r="AC20" s="66" t="str">
        <f>IF(AC$7="","",IF(INDEX('Rooms Walls and Glass'!$D$8:$AB$19, MATCH($D20,'Rooms Walls and Glass'!$A$8:$A$19,0), MATCH('Unit 2 b'!AC$7,'Rooms Walls and Glass'!$D$1:$AB$1,0))=0,"",INDEX('Rooms Walls and Glass'!$D$8:$AB$19, MATCH($D20,'Rooms Walls and Glass'!$A$8:$A$19,0), MATCH('Unit 2 b'!AC$7,'Rooms Walls and Glass'!$D$1:$AB$1,0))))</f>
        <v/>
      </c>
      <c r="AD20" s="70" t="str">
        <f t="shared" si="24"/>
        <v>-</v>
      </c>
      <c r="AE20" s="66" t="str">
        <f>IF(AE$7="","",IF(INDEX('Rooms Walls and Glass'!$D$8:$AB$19, MATCH($D20,'Rooms Walls and Glass'!$A$8:$A$19,0), MATCH('Unit 2 b'!AE$7,'Rooms Walls and Glass'!$D$1:$AB$1,0))=0,"",INDEX('Rooms Walls and Glass'!$D$8:$AB$19, MATCH($D20,'Rooms Walls and Glass'!$A$8:$A$19,0), MATCH('Unit 2 b'!AE$7,'Rooms Walls and Glass'!$D$1:$AB$1,0))))</f>
        <v/>
      </c>
      <c r="AF20" s="70" t="str">
        <f t="shared" si="24"/>
        <v>-</v>
      </c>
      <c r="AG20" s="66" t="str">
        <f>IF(AG$7="","",IF(INDEX('Rooms Walls and Glass'!$D$8:$AB$19, MATCH($D20,'Rooms Walls and Glass'!$A$8:$A$19,0), MATCH('Unit 2 b'!AG$7,'Rooms Walls and Glass'!$D$1:$AB$1,0))=0,"",INDEX('Rooms Walls and Glass'!$D$8:$AB$19, MATCH($D20,'Rooms Walls and Glass'!$A$8:$A$19,0), MATCH('Unit 2 b'!AG$7,'Rooms Walls and Glass'!$D$1:$AB$1,0))))</f>
        <v/>
      </c>
      <c r="AH20" s="70" t="str">
        <f t="shared" si="25"/>
        <v>-</v>
      </c>
      <c r="AI20" s="66" t="str">
        <f>IF(AI$7="","",IF(INDEX('Rooms Walls and Glass'!$D$8:$AB$19, MATCH($D20,'Rooms Walls and Glass'!$A$8:$A$19,0), MATCH('Unit 2 b'!AI$7,'Rooms Walls and Glass'!$D$1:$AB$1,0))=0,"",INDEX('Rooms Walls and Glass'!$D$8:$AB$19, MATCH($D20,'Rooms Walls and Glass'!$A$8:$A$19,0), MATCH('Unit 2 b'!AI$7,'Rooms Walls and Glass'!$D$1:$AB$1,0))))</f>
        <v/>
      </c>
      <c r="AJ20" s="71" t="str">
        <f t="shared" si="26"/>
        <v>-</v>
      </c>
      <c r="AK20" s="66" t="str">
        <f>IF(AK$7="","",IF(INDEX('Rooms Walls and Glass'!$D$8:$AB$19, MATCH($D20,'Rooms Walls and Glass'!$A$8:$A$19,0), MATCH('Unit 2 b'!AK$7,'Rooms Walls and Glass'!$D$1:$AB$1,0))=0,"",INDEX('Rooms Walls and Glass'!$D$8:$AB$19, MATCH($D20,'Rooms Walls and Glass'!$A$8:$A$19,0), MATCH('Unit 2 b'!AK$7,'Rooms Walls and Glass'!$D$1:$AB$1,0))))</f>
        <v/>
      </c>
      <c r="AL20" s="70" t="str">
        <f t="shared" si="27"/>
        <v>-</v>
      </c>
      <c r="AM20" s="66" t="str">
        <f>IF(AM$7="","",IF(INDEX('Rooms Walls and Glass'!$D$8:$AB$19, MATCH($D20,'Rooms Walls and Glass'!$A$8:$A$19,0), MATCH('Unit 2 b'!AM$7,'Rooms Walls and Glass'!$D$1:$AB$1,0))=0,"",INDEX('Rooms Walls and Glass'!$D$8:$AB$19, MATCH($D20,'Rooms Walls and Glass'!$A$8:$A$19,0), MATCH('Unit 2 b'!AM$7,'Rooms Walls and Glass'!$D$1:$AB$1,0))))</f>
        <v/>
      </c>
      <c r="AN20" s="71" t="str">
        <f t="shared" si="28"/>
        <v>-</v>
      </c>
    </row>
    <row r="21" spans="2:40" ht="11.25" customHeight="1" thickBot="1" x14ac:dyDescent="0.2">
      <c r="B21" s="212" t="s">
        <v>79</v>
      </c>
      <c r="C21" s="12" t="s">
        <v>38</v>
      </c>
      <c r="D21" s="13" t="str">
        <f>'Rooms Walls and Glass'!A23</f>
        <v>NorthWest</v>
      </c>
      <c r="E21" s="13">
        <f>INDEX('Glass CLF Calculation'!$A$20:$G$27,MATCH('Unit 2 b'!D21,'Glass CLF Calculation'!$A$20:$A$27,0),7)</f>
        <v>19</v>
      </c>
      <c r="F21" s="14">
        <f>INDEX(Summary!$F$19:$F$30,MATCH('Unit 2 b'!C21,Summary!$D$19:$D$30,0))</f>
        <v>7.6999999999999999E-2</v>
      </c>
      <c r="G21" s="14">
        <f t="shared" si="29"/>
        <v>1.4630000000000001</v>
      </c>
      <c r="H21" s="13" t="s">
        <v>6</v>
      </c>
      <c r="I21" s="65">
        <f t="shared" si="13"/>
        <v>0</v>
      </c>
      <c r="J21" s="65">
        <f t="shared" si="14"/>
        <v>0</v>
      </c>
      <c r="K21" s="66" t="str">
        <f>IF(K$7="","",IF(INDEX('Rooms Walls and Glass'!$D$23:$AB$30, MATCH($D21,'Rooms Walls and Glass'!$A$23:$A$30,0), MATCH('Unit 2 b'!K$7,'Rooms Walls and Glass'!$D$1:$AB$1,0))=0,"",INDEX('Rooms Walls and Glass'!$D$23:$AB$30, MATCH($D21,'Rooms Walls and Glass'!$A$23:$A$30,0), MATCH('Unit 2 b'!K$7,'Rooms Walls and Glass'!$D$1:$AB$1,0))))</f>
        <v/>
      </c>
      <c r="L21" s="65" t="str">
        <f t="shared" si="15"/>
        <v>-</v>
      </c>
      <c r="M21" s="66" t="str">
        <f>IF(M$7="","",IF(INDEX('Rooms Walls and Glass'!$D$23:$AB$30, MATCH($D21,'Rooms Walls and Glass'!$A$23:$A$30,0), MATCH('Unit 2 b'!M$7,'Rooms Walls and Glass'!$D$1:$AB$1,0))=0,"",INDEX('Rooms Walls and Glass'!$D$23:$AB$30, MATCH($D21,'Rooms Walls and Glass'!$A$23:$A$30,0), MATCH('Unit 2 b'!M$7,'Rooms Walls and Glass'!$D$1:$AB$1,0))))</f>
        <v/>
      </c>
      <c r="N21" s="65" t="str">
        <f t="shared" si="16"/>
        <v>-</v>
      </c>
      <c r="O21" s="66" t="str">
        <f>IF(O$7="","",IF(INDEX('Rooms Walls and Glass'!$D$23:$AB$30, MATCH($D21,'Rooms Walls and Glass'!$A$23:$A$30,0), MATCH('Unit 2 b'!O$7,'Rooms Walls and Glass'!$D$1:$AB$1,0))=0,"",INDEX('Rooms Walls and Glass'!$D$23:$AB$30, MATCH($D21,'Rooms Walls and Glass'!$A$23:$A$30,0), MATCH('Unit 2 b'!O$7,'Rooms Walls and Glass'!$D$1:$AB$1,0))))</f>
        <v/>
      </c>
      <c r="P21" s="65" t="str">
        <f t="shared" si="17"/>
        <v>-</v>
      </c>
      <c r="Q21" s="66" t="str">
        <f>IF(Q$7="","",IF(INDEX('Rooms Walls and Glass'!$D$23:$AB$30, MATCH($D21,'Rooms Walls and Glass'!$A$23:$A$30,0), MATCH('Unit 2 b'!Q$7,'Rooms Walls and Glass'!$D$1:$AB$1,0))=0,"",INDEX('Rooms Walls and Glass'!$D$23:$AB$30, MATCH($D21,'Rooms Walls and Glass'!$A$23:$A$30,0), MATCH('Unit 2 b'!Q$7,'Rooms Walls and Glass'!$D$1:$AB$1,0))))</f>
        <v/>
      </c>
      <c r="R21" s="65" t="str">
        <f t="shared" si="18"/>
        <v>-</v>
      </c>
      <c r="S21" s="66" t="str">
        <f>IF(S$7="","",IF(INDEX('Rooms Walls and Glass'!$D$23:$AB$30, MATCH($D21,'Rooms Walls and Glass'!$A$23:$A$30,0), MATCH('Unit 2 b'!S$7,'Rooms Walls and Glass'!$D$1:$AB$1,0))=0,"",INDEX('Rooms Walls and Glass'!$D$23:$AB$30, MATCH($D21,'Rooms Walls and Glass'!$A$23:$A$30,0), MATCH('Unit 2 b'!S$7,'Rooms Walls and Glass'!$D$1:$AB$1,0))))</f>
        <v/>
      </c>
      <c r="T21" s="65" t="str">
        <f t="shared" si="19"/>
        <v>-</v>
      </c>
      <c r="U21" s="66" t="str">
        <f>IF(U$7="","",IF(INDEX('Rooms Walls and Glass'!$D$23:$AB$30, MATCH($D21,'Rooms Walls and Glass'!$A$23:$A$30,0), MATCH('Unit 2 b'!U$7,'Rooms Walls and Glass'!$D$1:$AB$1,0))=0,"",INDEX('Rooms Walls and Glass'!$D$23:$AB$30, MATCH($D21,'Rooms Walls and Glass'!$A$23:$A$30,0), MATCH('Unit 2 b'!U$7,'Rooms Walls and Glass'!$D$1:$AB$1,0))))</f>
        <v/>
      </c>
      <c r="V21" s="65" t="str">
        <f t="shared" si="20"/>
        <v>-</v>
      </c>
      <c r="W21" s="66" t="str">
        <f>IF(W$7="","",IF(INDEX('Rooms Walls and Glass'!$D$23:$AB$30, MATCH($D21,'Rooms Walls and Glass'!$A$23:$A$30,0), MATCH('Unit 2 b'!W$7,'Rooms Walls and Glass'!$D$1:$AB$1,0))=0,"",INDEX('Rooms Walls and Glass'!$D$23:$AB$30, MATCH($D21,'Rooms Walls and Glass'!$A$23:$A$30,0), MATCH('Unit 2 b'!W$7,'Rooms Walls and Glass'!$D$1:$AB$1,0))))</f>
        <v/>
      </c>
      <c r="X21" s="65" t="str">
        <f t="shared" si="21"/>
        <v>-</v>
      </c>
      <c r="Y21" s="66" t="str">
        <f>IF(Y$7="","",IF(INDEX('Rooms Walls and Glass'!$D$23:$AB$30, MATCH($D21,'Rooms Walls and Glass'!$A$23:$A$30,0), MATCH('Unit 2 b'!Y$7,'Rooms Walls and Glass'!$D$1:$AB$1,0))=0,"",INDEX('Rooms Walls and Glass'!$D$23:$AB$30, MATCH($D21,'Rooms Walls and Glass'!$A$23:$A$30,0), MATCH('Unit 2 b'!Y$7,'Rooms Walls and Glass'!$D$1:$AB$1,0))))</f>
        <v/>
      </c>
      <c r="Z21" s="65" t="str">
        <f t="shared" si="22"/>
        <v>-</v>
      </c>
      <c r="AA21" s="66" t="str">
        <f>IF(AA$7="","",IF(INDEX('Rooms Walls and Glass'!$D$23:$AB$30, MATCH($D21,'Rooms Walls and Glass'!$A$23:$A$30,0), MATCH('Unit 2 b'!AA$7,'Rooms Walls and Glass'!$D$1:$AB$1,0))=0,"",INDEX('Rooms Walls and Glass'!$D$23:$AB$30, MATCH($D21,'Rooms Walls and Glass'!$A$23:$A$30,0), MATCH('Unit 2 b'!AA$7,'Rooms Walls and Glass'!$D$1:$AB$1,0))))</f>
        <v/>
      </c>
      <c r="AB21" s="65" t="str">
        <f t="shared" si="23"/>
        <v>-</v>
      </c>
      <c r="AC21" s="66" t="str">
        <f>IF(AC$7="","",IF(INDEX('Rooms Walls and Glass'!$D$23:$AB$30, MATCH($D21,'Rooms Walls and Glass'!$A$23:$A$30,0), MATCH('Unit 2 b'!AC$7,'Rooms Walls and Glass'!$D$1:$AB$1,0))=0,"",INDEX('Rooms Walls and Glass'!$D$23:$AB$30, MATCH($D21,'Rooms Walls and Glass'!$A$23:$A$30,0), MATCH('Unit 2 b'!AC$7,'Rooms Walls and Glass'!$D$1:$AB$1,0))))</f>
        <v/>
      </c>
      <c r="AD21" s="65" t="str">
        <f t="shared" si="24"/>
        <v>-</v>
      </c>
      <c r="AE21" s="66" t="str">
        <f>IF(AE$7="","",IF(INDEX('Rooms Walls and Glass'!$D$23:$AB$30, MATCH($D21,'Rooms Walls and Glass'!$A$23:$A$30,0), MATCH('Unit 2 b'!AE$7,'Rooms Walls and Glass'!$D$1:$AB$1,0))=0,"",INDEX('Rooms Walls and Glass'!$D$23:$AB$30, MATCH($D21,'Rooms Walls and Glass'!$A$23:$A$30,0), MATCH('Unit 2 b'!AE$7,'Rooms Walls and Glass'!$D$1:$AB$1,0))))</f>
        <v/>
      </c>
      <c r="AF21" s="65" t="str">
        <f t="shared" si="24"/>
        <v>-</v>
      </c>
      <c r="AG21" s="66" t="str">
        <f>IF(AG$7="","",IF(INDEX('Rooms Walls and Glass'!$D$23:$AB$30, MATCH($D21,'Rooms Walls and Glass'!$A$23:$A$30,0), MATCH('Unit 2 b'!AG$7,'Rooms Walls and Glass'!$D$1:$AB$1,0))=0,"",INDEX('Rooms Walls and Glass'!$D$23:$AB$30, MATCH($D21,'Rooms Walls and Glass'!$A$23:$A$30,0), MATCH('Unit 2 b'!AG$7,'Rooms Walls and Glass'!$D$1:$AB$1,0))))</f>
        <v/>
      </c>
      <c r="AH21" s="65" t="str">
        <f t="shared" si="25"/>
        <v>-</v>
      </c>
      <c r="AI21" s="66" t="str">
        <f>IF(AI$7="","",IF(INDEX('Rooms Walls and Glass'!$D$23:$AB$30, MATCH($D21,'Rooms Walls and Glass'!$A$23:$A$30,0), MATCH('Unit 2 b'!AI$7,'Rooms Walls and Glass'!$D$1:$AB$1,0))=0,"",INDEX('Rooms Walls and Glass'!$D$23:$AB$30, MATCH($D21,'Rooms Walls and Glass'!$A$23:$A$30,0), MATCH('Unit 2 b'!AI$7,'Rooms Walls and Glass'!$D$1:$AB$1,0))))</f>
        <v/>
      </c>
      <c r="AJ21" s="67" t="str">
        <f t="shared" si="26"/>
        <v>-</v>
      </c>
      <c r="AK21" s="66" t="str">
        <f>IF(AK$7="","",IF(INDEX('Rooms Walls and Glass'!$D$23:$AB$30, MATCH($D21,'Rooms Walls and Glass'!$A$23:$A$30,0), MATCH('Unit 2 b'!AK$7,'Rooms Walls and Glass'!$D$1:$AB$1,0))=0,"",INDEX('Rooms Walls and Glass'!$D$23:$AB$30, MATCH($D21,'Rooms Walls and Glass'!$A$23:$A$30,0), MATCH('Unit 2 b'!AK$7,'Rooms Walls and Glass'!$D$1:$AB$1,0))))</f>
        <v/>
      </c>
      <c r="AL21" s="65" t="str">
        <f t="shared" si="27"/>
        <v>-</v>
      </c>
      <c r="AM21" s="66" t="str">
        <f>IF(AM$7="","",IF(INDEX('Rooms Walls and Glass'!$D$23:$AB$30, MATCH($D21,'Rooms Walls and Glass'!$A$23:$A$30,0), MATCH('Unit 2 b'!AM$7,'Rooms Walls and Glass'!$D$1:$AB$1,0))=0,"",INDEX('Rooms Walls and Glass'!$D$23:$AB$30, MATCH($D21,'Rooms Walls and Glass'!$A$23:$A$30,0), MATCH('Unit 2 b'!AM$7,'Rooms Walls and Glass'!$D$1:$AB$1,0))))</f>
        <v/>
      </c>
      <c r="AN21" s="67" t="str">
        <f t="shared" si="28"/>
        <v>-</v>
      </c>
    </row>
    <row r="22" spans="2:40" ht="11.25" customHeight="1" thickBot="1" x14ac:dyDescent="0.2">
      <c r="B22" s="214"/>
      <c r="C22" s="15" t="s">
        <v>38</v>
      </c>
      <c r="D22" s="13" t="str">
        <f>'Rooms Walls and Glass'!A24</f>
        <v>North</v>
      </c>
      <c r="E22" s="13">
        <f>INDEX('Glass CLF Calculation'!$A$20:$G$27,MATCH('Unit 2 b'!D22,'Glass CLF Calculation'!$A$20:$A$27,0),7)</f>
        <v>13</v>
      </c>
      <c r="F22" s="14">
        <f>INDEX(Summary!$F$19:$F$30,MATCH('Unit 2 b'!C22,Summary!$D$19:$D$30,0))</f>
        <v>7.6999999999999999E-2</v>
      </c>
      <c r="G22" s="14">
        <f t="shared" si="29"/>
        <v>1.0009999999999999</v>
      </c>
      <c r="H22" s="16" t="s">
        <v>6</v>
      </c>
      <c r="I22" s="65">
        <f t="shared" si="13"/>
        <v>0</v>
      </c>
      <c r="J22" s="68">
        <f t="shared" si="14"/>
        <v>0</v>
      </c>
      <c r="K22" s="66" t="str">
        <f>IF(K$7="","",IF(INDEX('Rooms Walls and Glass'!$D$23:$AB$30, MATCH($D22,'Rooms Walls and Glass'!$A$23:$A$30,0), MATCH('Unit 2 b'!K$7,'Rooms Walls and Glass'!$D$1:$AB$1,0))=0,"",INDEX('Rooms Walls and Glass'!$D$23:$AB$30, MATCH($D22,'Rooms Walls and Glass'!$A$23:$A$30,0), MATCH('Unit 2 b'!K$7,'Rooms Walls and Glass'!$D$1:$AB$1,0))))</f>
        <v/>
      </c>
      <c r="L22" s="68" t="str">
        <f t="shared" si="15"/>
        <v>-</v>
      </c>
      <c r="M22" s="66" t="str">
        <f>IF(M$7="","",IF(INDEX('Rooms Walls and Glass'!$D$23:$AB$30, MATCH($D22,'Rooms Walls and Glass'!$A$23:$A$30,0), MATCH('Unit 2 b'!M$7,'Rooms Walls and Glass'!$D$1:$AB$1,0))=0,"",INDEX('Rooms Walls and Glass'!$D$23:$AB$30, MATCH($D22,'Rooms Walls and Glass'!$A$23:$A$30,0), MATCH('Unit 2 b'!M$7,'Rooms Walls and Glass'!$D$1:$AB$1,0))))</f>
        <v/>
      </c>
      <c r="N22" s="68" t="str">
        <f t="shared" si="16"/>
        <v>-</v>
      </c>
      <c r="O22" s="66" t="str">
        <f>IF(O$7="","",IF(INDEX('Rooms Walls and Glass'!$D$23:$AB$30, MATCH($D22,'Rooms Walls and Glass'!$A$23:$A$30,0), MATCH('Unit 2 b'!O$7,'Rooms Walls and Glass'!$D$1:$AB$1,0))=0,"",INDEX('Rooms Walls and Glass'!$D$23:$AB$30, MATCH($D22,'Rooms Walls and Glass'!$A$23:$A$30,0), MATCH('Unit 2 b'!O$7,'Rooms Walls and Glass'!$D$1:$AB$1,0))))</f>
        <v/>
      </c>
      <c r="P22" s="68" t="str">
        <f t="shared" si="17"/>
        <v>-</v>
      </c>
      <c r="Q22" s="66" t="str">
        <f>IF(Q$7="","",IF(INDEX('Rooms Walls and Glass'!$D$23:$AB$30, MATCH($D22,'Rooms Walls and Glass'!$A$23:$A$30,0), MATCH('Unit 2 b'!Q$7,'Rooms Walls and Glass'!$D$1:$AB$1,0))=0,"",INDEX('Rooms Walls and Glass'!$D$23:$AB$30, MATCH($D22,'Rooms Walls and Glass'!$A$23:$A$30,0), MATCH('Unit 2 b'!Q$7,'Rooms Walls and Glass'!$D$1:$AB$1,0))))</f>
        <v/>
      </c>
      <c r="R22" s="68" t="str">
        <f t="shared" si="18"/>
        <v>-</v>
      </c>
      <c r="S22" s="66" t="str">
        <f>IF(S$7="","",IF(INDEX('Rooms Walls and Glass'!$D$23:$AB$30, MATCH($D22,'Rooms Walls and Glass'!$A$23:$A$30,0), MATCH('Unit 2 b'!S$7,'Rooms Walls and Glass'!$D$1:$AB$1,0))=0,"",INDEX('Rooms Walls and Glass'!$D$23:$AB$30, MATCH($D22,'Rooms Walls and Glass'!$A$23:$A$30,0), MATCH('Unit 2 b'!S$7,'Rooms Walls and Glass'!$D$1:$AB$1,0))))</f>
        <v/>
      </c>
      <c r="T22" s="68" t="str">
        <f t="shared" si="19"/>
        <v>-</v>
      </c>
      <c r="U22" s="66" t="str">
        <f>IF(U$7="","",IF(INDEX('Rooms Walls and Glass'!$D$23:$AB$30, MATCH($D22,'Rooms Walls and Glass'!$A$23:$A$30,0), MATCH('Unit 2 b'!U$7,'Rooms Walls and Glass'!$D$1:$AB$1,0))=0,"",INDEX('Rooms Walls and Glass'!$D$23:$AB$30, MATCH($D22,'Rooms Walls and Glass'!$A$23:$A$30,0), MATCH('Unit 2 b'!U$7,'Rooms Walls and Glass'!$D$1:$AB$1,0))))</f>
        <v/>
      </c>
      <c r="V22" s="68" t="str">
        <f t="shared" si="20"/>
        <v>-</v>
      </c>
      <c r="W22" s="66" t="str">
        <f>IF(W$7="","",IF(INDEX('Rooms Walls and Glass'!$D$23:$AB$30, MATCH($D22,'Rooms Walls and Glass'!$A$23:$A$30,0), MATCH('Unit 2 b'!W$7,'Rooms Walls and Glass'!$D$1:$AB$1,0))=0,"",INDEX('Rooms Walls and Glass'!$D$23:$AB$30, MATCH($D22,'Rooms Walls and Glass'!$A$23:$A$30,0), MATCH('Unit 2 b'!W$7,'Rooms Walls and Glass'!$D$1:$AB$1,0))))</f>
        <v/>
      </c>
      <c r="X22" s="68" t="str">
        <f t="shared" si="21"/>
        <v>-</v>
      </c>
      <c r="Y22" s="66" t="str">
        <f>IF(Y$7="","",IF(INDEX('Rooms Walls and Glass'!$D$23:$AB$30, MATCH($D22,'Rooms Walls and Glass'!$A$23:$A$30,0), MATCH('Unit 2 b'!Y$7,'Rooms Walls and Glass'!$D$1:$AB$1,0))=0,"",INDEX('Rooms Walls and Glass'!$D$23:$AB$30, MATCH($D22,'Rooms Walls and Glass'!$A$23:$A$30,0), MATCH('Unit 2 b'!Y$7,'Rooms Walls and Glass'!$D$1:$AB$1,0))))</f>
        <v/>
      </c>
      <c r="Z22" s="68" t="str">
        <f t="shared" si="22"/>
        <v>-</v>
      </c>
      <c r="AA22" s="66" t="str">
        <f>IF(AA$7="","",IF(INDEX('Rooms Walls and Glass'!$D$23:$AB$30, MATCH($D22,'Rooms Walls and Glass'!$A$23:$A$30,0), MATCH('Unit 2 b'!AA$7,'Rooms Walls and Glass'!$D$1:$AB$1,0))=0,"",INDEX('Rooms Walls and Glass'!$D$23:$AB$30, MATCH($D22,'Rooms Walls and Glass'!$A$23:$A$30,0), MATCH('Unit 2 b'!AA$7,'Rooms Walls and Glass'!$D$1:$AB$1,0))))</f>
        <v/>
      </c>
      <c r="AB22" s="68" t="str">
        <f t="shared" si="23"/>
        <v>-</v>
      </c>
      <c r="AC22" s="66" t="str">
        <f>IF(AC$7="","",IF(INDEX('Rooms Walls and Glass'!$D$23:$AB$30, MATCH($D22,'Rooms Walls and Glass'!$A$23:$A$30,0), MATCH('Unit 2 b'!AC$7,'Rooms Walls and Glass'!$D$1:$AB$1,0))=0,"",INDEX('Rooms Walls and Glass'!$D$23:$AB$30, MATCH($D22,'Rooms Walls and Glass'!$A$23:$A$30,0), MATCH('Unit 2 b'!AC$7,'Rooms Walls and Glass'!$D$1:$AB$1,0))))</f>
        <v/>
      </c>
      <c r="AD22" s="68" t="str">
        <f t="shared" si="24"/>
        <v>-</v>
      </c>
      <c r="AE22" s="66" t="str">
        <f>IF(AE$7="","",IF(INDEX('Rooms Walls and Glass'!$D$23:$AB$30, MATCH($D22,'Rooms Walls and Glass'!$A$23:$A$30,0), MATCH('Unit 2 b'!AE$7,'Rooms Walls and Glass'!$D$1:$AB$1,0))=0,"",INDEX('Rooms Walls and Glass'!$D$23:$AB$30, MATCH($D22,'Rooms Walls and Glass'!$A$23:$A$30,0), MATCH('Unit 2 b'!AE$7,'Rooms Walls and Glass'!$D$1:$AB$1,0))))</f>
        <v/>
      </c>
      <c r="AF22" s="68" t="str">
        <f t="shared" si="24"/>
        <v>-</v>
      </c>
      <c r="AG22" s="66" t="str">
        <f>IF(AG$7="","",IF(INDEX('Rooms Walls and Glass'!$D$23:$AB$30, MATCH($D22,'Rooms Walls and Glass'!$A$23:$A$30,0), MATCH('Unit 2 b'!AG$7,'Rooms Walls and Glass'!$D$1:$AB$1,0))=0,"",INDEX('Rooms Walls and Glass'!$D$23:$AB$30, MATCH($D22,'Rooms Walls and Glass'!$A$23:$A$30,0), MATCH('Unit 2 b'!AG$7,'Rooms Walls and Glass'!$D$1:$AB$1,0))))</f>
        <v/>
      </c>
      <c r="AH22" s="68" t="str">
        <f t="shared" si="25"/>
        <v>-</v>
      </c>
      <c r="AI22" s="66" t="str">
        <f>IF(AI$7="","",IF(INDEX('Rooms Walls and Glass'!$D$23:$AB$30, MATCH($D22,'Rooms Walls and Glass'!$A$23:$A$30,0), MATCH('Unit 2 b'!AI$7,'Rooms Walls and Glass'!$D$1:$AB$1,0))=0,"",INDEX('Rooms Walls and Glass'!$D$23:$AB$30, MATCH($D22,'Rooms Walls and Glass'!$A$23:$A$30,0), MATCH('Unit 2 b'!AI$7,'Rooms Walls and Glass'!$D$1:$AB$1,0))))</f>
        <v/>
      </c>
      <c r="AJ22" s="69" t="str">
        <f t="shared" si="26"/>
        <v>-</v>
      </c>
      <c r="AK22" s="66" t="str">
        <f>IF(AK$7="","",IF(INDEX('Rooms Walls and Glass'!$D$23:$AB$30, MATCH($D22,'Rooms Walls and Glass'!$A$23:$A$30,0), MATCH('Unit 2 b'!AK$7,'Rooms Walls and Glass'!$D$1:$AB$1,0))=0,"",INDEX('Rooms Walls and Glass'!$D$23:$AB$30, MATCH($D22,'Rooms Walls and Glass'!$A$23:$A$30,0), MATCH('Unit 2 b'!AK$7,'Rooms Walls and Glass'!$D$1:$AB$1,0))))</f>
        <v/>
      </c>
      <c r="AL22" s="68" t="str">
        <f t="shared" si="27"/>
        <v>-</v>
      </c>
      <c r="AM22" s="66" t="str">
        <f>IF(AM$7="","",IF(INDEX('Rooms Walls and Glass'!$D$23:$AB$30, MATCH($D22,'Rooms Walls and Glass'!$A$23:$A$30,0), MATCH('Unit 2 b'!AM$7,'Rooms Walls and Glass'!$D$1:$AB$1,0))=0,"",INDEX('Rooms Walls and Glass'!$D$23:$AB$30, MATCH($D22,'Rooms Walls and Glass'!$A$23:$A$30,0), MATCH('Unit 2 b'!AM$7,'Rooms Walls and Glass'!$D$1:$AB$1,0))))</f>
        <v/>
      </c>
      <c r="AN22" s="69" t="str">
        <f t="shared" si="28"/>
        <v>-</v>
      </c>
    </row>
    <row r="23" spans="2:40" ht="11.25" customHeight="1" thickBot="1" x14ac:dyDescent="0.2">
      <c r="B23" s="214"/>
      <c r="C23" s="15" t="s">
        <v>38</v>
      </c>
      <c r="D23" s="13" t="str">
        <f>'Rooms Walls and Glass'!A25</f>
        <v>NorthEast</v>
      </c>
      <c r="E23" s="13">
        <f>INDEX('Glass CLF Calculation'!$A$20:$G$27,MATCH('Unit 2 b'!D23,'Glass CLF Calculation'!$A$20:$A$27,0),7)</f>
        <v>19</v>
      </c>
      <c r="F23" s="14">
        <f>INDEX(Summary!$F$19:$F$30,MATCH('Unit 2 b'!C23,Summary!$D$19:$D$30,0))</f>
        <v>7.6999999999999999E-2</v>
      </c>
      <c r="G23" s="14">
        <f t="shared" si="29"/>
        <v>1.4630000000000001</v>
      </c>
      <c r="H23" s="16" t="s">
        <v>6</v>
      </c>
      <c r="I23" s="65">
        <f t="shared" si="13"/>
        <v>0</v>
      </c>
      <c r="J23" s="68">
        <f t="shared" si="14"/>
        <v>0</v>
      </c>
      <c r="K23" s="66" t="str">
        <f>IF(K$7="","",IF(INDEX('Rooms Walls and Glass'!$D$23:$AB$30, MATCH($D23,'Rooms Walls and Glass'!$A$23:$A$30,0), MATCH('Unit 2 b'!K$7,'Rooms Walls and Glass'!$D$1:$AB$1,0))=0,"",INDEX('Rooms Walls and Glass'!$D$23:$AB$30, MATCH($D23,'Rooms Walls and Glass'!$A$23:$A$30,0), MATCH('Unit 2 b'!K$7,'Rooms Walls and Glass'!$D$1:$AB$1,0))))</f>
        <v/>
      </c>
      <c r="L23" s="68" t="str">
        <f t="shared" si="15"/>
        <v>-</v>
      </c>
      <c r="M23" s="66" t="str">
        <f>IF(M$7="","",IF(INDEX('Rooms Walls and Glass'!$D$23:$AB$30, MATCH($D23,'Rooms Walls and Glass'!$A$23:$A$30,0), MATCH('Unit 2 b'!M$7,'Rooms Walls and Glass'!$D$1:$AB$1,0))=0,"",INDEX('Rooms Walls and Glass'!$D$23:$AB$30, MATCH($D23,'Rooms Walls and Glass'!$A$23:$A$30,0), MATCH('Unit 2 b'!M$7,'Rooms Walls and Glass'!$D$1:$AB$1,0))))</f>
        <v/>
      </c>
      <c r="N23" s="68" t="str">
        <f t="shared" si="16"/>
        <v>-</v>
      </c>
      <c r="O23" s="66" t="str">
        <f>IF(O$7="","",IF(INDEX('Rooms Walls and Glass'!$D$23:$AB$30, MATCH($D23,'Rooms Walls and Glass'!$A$23:$A$30,0), MATCH('Unit 2 b'!O$7,'Rooms Walls and Glass'!$D$1:$AB$1,0))=0,"",INDEX('Rooms Walls and Glass'!$D$23:$AB$30, MATCH($D23,'Rooms Walls and Glass'!$A$23:$A$30,0), MATCH('Unit 2 b'!O$7,'Rooms Walls and Glass'!$D$1:$AB$1,0))))</f>
        <v/>
      </c>
      <c r="P23" s="68" t="str">
        <f t="shared" si="17"/>
        <v>-</v>
      </c>
      <c r="Q23" s="66" t="str">
        <f>IF(Q$7="","",IF(INDEX('Rooms Walls and Glass'!$D$23:$AB$30, MATCH($D23,'Rooms Walls and Glass'!$A$23:$A$30,0), MATCH('Unit 2 b'!Q$7,'Rooms Walls and Glass'!$D$1:$AB$1,0))=0,"",INDEX('Rooms Walls and Glass'!$D$23:$AB$30, MATCH($D23,'Rooms Walls and Glass'!$A$23:$A$30,0), MATCH('Unit 2 b'!Q$7,'Rooms Walls and Glass'!$D$1:$AB$1,0))))</f>
        <v/>
      </c>
      <c r="R23" s="68" t="str">
        <f t="shared" si="18"/>
        <v>-</v>
      </c>
      <c r="S23" s="66" t="str">
        <f>IF(S$7="","",IF(INDEX('Rooms Walls and Glass'!$D$23:$AB$30, MATCH($D23,'Rooms Walls and Glass'!$A$23:$A$30,0), MATCH('Unit 2 b'!S$7,'Rooms Walls and Glass'!$D$1:$AB$1,0))=0,"",INDEX('Rooms Walls and Glass'!$D$23:$AB$30, MATCH($D23,'Rooms Walls and Glass'!$A$23:$A$30,0), MATCH('Unit 2 b'!S$7,'Rooms Walls and Glass'!$D$1:$AB$1,0))))</f>
        <v/>
      </c>
      <c r="T23" s="68" t="str">
        <f t="shared" si="19"/>
        <v>-</v>
      </c>
      <c r="U23" s="66" t="str">
        <f>IF(U$7="","",IF(INDEX('Rooms Walls and Glass'!$D$23:$AB$30, MATCH($D23,'Rooms Walls and Glass'!$A$23:$A$30,0), MATCH('Unit 2 b'!U$7,'Rooms Walls and Glass'!$D$1:$AB$1,0))=0,"",INDEX('Rooms Walls and Glass'!$D$23:$AB$30, MATCH($D23,'Rooms Walls and Glass'!$A$23:$A$30,0), MATCH('Unit 2 b'!U$7,'Rooms Walls and Glass'!$D$1:$AB$1,0))))</f>
        <v/>
      </c>
      <c r="V23" s="68" t="str">
        <f t="shared" si="20"/>
        <v>-</v>
      </c>
      <c r="W23" s="66" t="str">
        <f>IF(W$7="","",IF(INDEX('Rooms Walls and Glass'!$D$23:$AB$30, MATCH($D23,'Rooms Walls and Glass'!$A$23:$A$30,0), MATCH('Unit 2 b'!W$7,'Rooms Walls and Glass'!$D$1:$AB$1,0))=0,"",INDEX('Rooms Walls and Glass'!$D$23:$AB$30, MATCH($D23,'Rooms Walls and Glass'!$A$23:$A$30,0), MATCH('Unit 2 b'!W$7,'Rooms Walls and Glass'!$D$1:$AB$1,0))))</f>
        <v/>
      </c>
      <c r="X23" s="68" t="str">
        <f t="shared" si="21"/>
        <v>-</v>
      </c>
      <c r="Y23" s="66" t="str">
        <f>IF(Y$7="","",IF(INDEX('Rooms Walls and Glass'!$D$23:$AB$30, MATCH($D23,'Rooms Walls and Glass'!$A$23:$A$30,0), MATCH('Unit 2 b'!Y$7,'Rooms Walls and Glass'!$D$1:$AB$1,0))=0,"",INDEX('Rooms Walls and Glass'!$D$23:$AB$30, MATCH($D23,'Rooms Walls and Glass'!$A$23:$A$30,0), MATCH('Unit 2 b'!Y$7,'Rooms Walls and Glass'!$D$1:$AB$1,0))))</f>
        <v/>
      </c>
      <c r="Z23" s="68" t="str">
        <f t="shared" si="22"/>
        <v>-</v>
      </c>
      <c r="AA23" s="66" t="str">
        <f>IF(AA$7="","",IF(INDEX('Rooms Walls and Glass'!$D$23:$AB$30, MATCH($D23,'Rooms Walls and Glass'!$A$23:$A$30,0), MATCH('Unit 2 b'!AA$7,'Rooms Walls and Glass'!$D$1:$AB$1,0))=0,"",INDEX('Rooms Walls and Glass'!$D$23:$AB$30, MATCH($D23,'Rooms Walls and Glass'!$A$23:$A$30,0), MATCH('Unit 2 b'!AA$7,'Rooms Walls and Glass'!$D$1:$AB$1,0))))</f>
        <v/>
      </c>
      <c r="AB23" s="68" t="str">
        <f t="shared" si="23"/>
        <v>-</v>
      </c>
      <c r="AC23" s="66" t="str">
        <f>IF(AC$7="","",IF(INDEX('Rooms Walls and Glass'!$D$23:$AB$30, MATCH($D23,'Rooms Walls and Glass'!$A$23:$A$30,0), MATCH('Unit 2 b'!AC$7,'Rooms Walls and Glass'!$D$1:$AB$1,0))=0,"",INDEX('Rooms Walls and Glass'!$D$23:$AB$30, MATCH($D23,'Rooms Walls and Glass'!$A$23:$A$30,0), MATCH('Unit 2 b'!AC$7,'Rooms Walls and Glass'!$D$1:$AB$1,0))))</f>
        <v/>
      </c>
      <c r="AD23" s="68" t="str">
        <f t="shared" si="24"/>
        <v>-</v>
      </c>
      <c r="AE23" s="66" t="str">
        <f>IF(AE$7="","",IF(INDEX('Rooms Walls and Glass'!$D$23:$AB$30, MATCH($D23,'Rooms Walls and Glass'!$A$23:$A$30,0), MATCH('Unit 2 b'!AE$7,'Rooms Walls and Glass'!$D$1:$AB$1,0))=0,"",INDEX('Rooms Walls and Glass'!$D$23:$AB$30, MATCH($D23,'Rooms Walls and Glass'!$A$23:$A$30,0), MATCH('Unit 2 b'!AE$7,'Rooms Walls and Glass'!$D$1:$AB$1,0))))</f>
        <v/>
      </c>
      <c r="AF23" s="68" t="str">
        <f t="shared" si="24"/>
        <v>-</v>
      </c>
      <c r="AG23" s="66" t="str">
        <f>IF(AG$7="","",IF(INDEX('Rooms Walls and Glass'!$D$23:$AB$30, MATCH($D23,'Rooms Walls and Glass'!$A$23:$A$30,0), MATCH('Unit 2 b'!AG$7,'Rooms Walls and Glass'!$D$1:$AB$1,0))=0,"",INDEX('Rooms Walls and Glass'!$D$23:$AB$30, MATCH($D23,'Rooms Walls and Glass'!$A$23:$A$30,0), MATCH('Unit 2 b'!AG$7,'Rooms Walls and Glass'!$D$1:$AB$1,0))))</f>
        <v/>
      </c>
      <c r="AH23" s="68" t="str">
        <f t="shared" si="25"/>
        <v>-</v>
      </c>
      <c r="AI23" s="66" t="str">
        <f>IF(AI$7="","",IF(INDEX('Rooms Walls and Glass'!$D$23:$AB$30, MATCH($D23,'Rooms Walls and Glass'!$A$23:$A$30,0), MATCH('Unit 2 b'!AI$7,'Rooms Walls and Glass'!$D$1:$AB$1,0))=0,"",INDEX('Rooms Walls and Glass'!$D$23:$AB$30, MATCH($D23,'Rooms Walls and Glass'!$A$23:$A$30,0), MATCH('Unit 2 b'!AI$7,'Rooms Walls and Glass'!$D$1:$AB$1,0))))</f>
        <v/>
      </c>
      <c r="AJ23" s="69" t="str">
        <f t="shared" si="26"/>
        <v>-</v>
      </c>
      <c r="AK23" s="66" t="str">
        <f>IF(AK$7="","",IF(INDEX('Rooms Walls and Glass'!$D$23:$AB$30, MATCH($D23,'Rooms Walls and Glass'!$A$23:$A$30,0), MATCH('Unit 2 b'!AK$7,'Rooms Walls and Glass'!$D$1:$AB$1,0))=0,"",INDEX('Rooms Walls and Glass'!$D$23:$AB$30, MATCH($D23,'Rooms Walls and Glass'!$A$23:$A$30,0), MATCH('Unit 2 b'!AK$7,'Rooms Walls and Glass'!$D$1:$AB$1,0))))</f>
        <v/>
      </c>
      <c r="AL23" s="68" t="str">
        <f t="shared" si="27"/>
        <v>-</v>
      </c>
      <c r="AM23" s="66" t="str">
        <f>IF(AM$7="","",IF(INDEX('Rooms Walls and Glass'!$D$23:$AB$30, MATCH($D23,'Rooms Walls and Glass'!$A$23:$A$30,0), MATCH('Unit 2 b'!AM$7,'Rooms Walls and Glass'!$D$1:$AB$1,0))=0,"",INDEX('Rooms Walls and Glass'!$D$23:$AB$30, MATCH($D23,'Rooms Walls and Glass'!$A$23:$A$30,0), MATCH('Unit 2 b'!AM$7,'Rooms Walls and Glass'!$D$1:$AB$1,0))))</f>
        <v/>
      </c>
      <c r="AN23" s="69" t="str">
        <f t="shared" si="28"/>
        <v>-</v>
      </c>
    </row>
    <row r="24" spans="2:40" ht="11.25" customHeight="1" thickBot="1" x14ac:dyDescent="0.2">
      <c r="B24" s="214"/>
      <c r="C24" s="15" t="s">
        <v>38</v>
      </c>
      <c r="D24" s="13" t="str">
        <f>'Rooms Walls and Glass'!A26</f>
        <v>East</v>
      </c>
      <c r="E24" s="13">
        <f>INDEX('Glass CLF Calculation'!$A$20:$G$27,MATCH('Unit 2 b'!D24,'Glass CLF Calculation'!$A$20:$A$27,0),7)</f>
        <v>23</v>
      </c>
      <c r="F24" s="14">
        <f>INDEX(Summary!$F$19:$F$30,MATCH('Unit 2 b'!C24,Summary!$D$19:$D$30,0))</f>
        <v>7.6999999999999999E-2</v>
      </c>
      <c r="G24" s="14">
        <f t="shared" si="29"/>
        <v>1.7709999999999999</v>
      </c>
      <c r="H24" s="16" t="s">
        <v>6</v>
      </c>
      <c r="I24" s="65">
        <f t="shared" si="13"/>
        <v>0</v>
      </c>
      <c r="J24" s="68">
        <f t="shared" si="14"/>
        <v>0</v>
      </c>
      <c r="K24" s="66" t="str">
        <f>IF(K$7="","",IF(INDEX('Rooms Walls and Glass'!$D$23:$AB$30, MATCH($D24,'Rooms Walls and Glass'!$A$23:$A$30,0), MATCH('Unit 2 b'!K$7,'Rooms Walls and Glass'!$D$1:$AB$1,0))=0,"",INDEX('Rooms Walls and Glass'!$D$23:$AB$30, MATCH($D24,'Rooms Walls and Glass'!$A$23:$A$30,0), MATCH('Unit 2 b'!K$7,'Rooms Walls and Glass'!$D$1:$AB$1,0))))</f>
        <v/>
      </c>
      <c r="L24" s="68" t="str">
        <f t="shared" si="15"/>
        <v>-</v>
      </c>
      <c r="M24" s="66" t="str">
        <f>IF(M$7="","",IF(INDEX('Rooms Walls and Glass'!$D$23:$AB$30, MATCH($D24,'Rooms Walls and Glass'!$A$23:$A$30,0), MATCH('Unit 2 b'!M$7,'Rooms Walls and Glass'!$D$1:$AB$1,0))=0,"",INDEX('Rooms Walls and Glass'!$D$23:$AB$30, MATCH($D24,'Rooms Walls and Glass'!$A$23:$A$30,0), MATCH('Unit 2 b'!M$7,'Rooms Walls and Glass'!$D$1:$AB$1,0))))</f>
        <v/>
      </c>
      <c r="N24" s="68" t="str">
        <f t="shared" si="16"/>
        <v>-</v>
      </c>
      <c r="O24" s="66" t="str">
        <f>IF(O$7="","",IF(INDEX('Rooms Walls and Glass'!$D$23:$AB$30, MATCH($D24,'Rooms Walls and Glass'!$A$23:$A$30,0), MATCH('Unit 2 b'!O$7,'Rooms Walls and Glass'!$D$1:$AB$1,0))=0,"",INDEX('Rooms Walls and Glass'!$D$23:$AB$30, MATCH($D24,'Rooms Walls and Glass'!$A$23:$A$30,0), MATCH('Unit 2 b'!O$7,'Rooms Walls and Glass'!$D$1:$AB$1,0))))</f>
        <v/>
      </c>
      <c r="P24" s="68" t="str">
        <f t="shared" si="17"/>
        <v>-</v>
      </c>
      <c r="Q24" s="66" t="str">
        <f>IF(Q$7="","",IF(INDEX('Rooms Walls and Glass'!$D$23:$AB$30, MATCH($D24,'Rooms Walls and Glass'!$A$23:$A$30,0), MATCH('Unit 2 b'!Q$7,'Rooms Walls and Glass'!$D$1:$AB$1,0))=0,"",INDEX('Rooms Walls and Glass'!$D$23:$AB$30, MATCH($D24,'Rooms Walls and Glass'!$A$23:$A$30,0), MATCH('Unit 2 b'!Q$7,'Rooms Walls and Glass'!$D$1:$AB$1,0))))</f>
        <v/>
      </c>
      <c r="R24" s="68" t="str">
        <f t="shared" si="18"/>
        <v>-</v>
      </c>
      <c r="S24" s="66" t="str">
        <f>IF(S$7="","",IF(INDEX('Rooms Walls and Glass'!$D$23:$AB$30, MATCH($D24,'Rooms Walls and Glass'!$A$23:$A$30,0), MATCH('Unit 2 b'!S$7,'Rooms Walls and Glass'!$D$1:$AB$1,0))=0,"",INDEX('Rooms Walls and Glass'!$D$23:$AB$30, MATCH($D24,'Rooms Walls and Glass'!$A$23:$A$30,0), MATCH('Unit 2 b'!S$7,'Rooms Walls and Glass'!$D$1:$AB$1,0))))</f>
        <v/>
      </c>
      <c r="T24" s="68" t="str">
        <f t="shared" si="19"/>
        <v>-</v>
      </c>
      <c r="U24" s="66" t="str">
        <f>IF(U$7="","",IF(INDEX('Rooms Walls and Glass'!$D$23:$AB$30, MATCH($D24,'Rooms Walls and Glass'!$A$23:$A$30,0), MATCH('Unit 2 b'!U$7,'Rooms Walls and Glass'!$D$1:$AB$1,0))=0,"",INDEX('Rooms Walls and Glass'!$D$23:$AB$30, MATCH($D24,'Rooms Walls and Glass'!$A$23:$A$30,0), MATCH('Unit 2 b'!U$7,'Rooms Walls and Glass'!$D$1:$AB$1,0))))</f>
        <v/>
      </c>
      <c r="V24" s="68" t="str">
        <f t="shared" si="20"/>
        <v>-</v>
      </c>
      <c r="W24" s="66" t="str">
        <f>IF(W$7="","",IF(INDEX('Rooms Walls and Glass'!$D$23:$AB$30, MATCH($D24,'Rooms Walls and Glass'!$A$23:$A$30,0), MATCH('Unit 2 b'!W$7,'Rooms Walls and Glass'!$D$1:$AB$1,0))=0,"",INDEX('Rooms Walls and Glass'!$D$23:$AB$30, MATCH($D24,'Rooms Walls and Glass'!$A$23:$A$30,0), MATCH('Unit 2 b'!W$7,'Rooms Walls and Glass'!$D$1:$AB$1,0))))</f>
        <v/>
      </c>
      <c r="X24" s="68" t="str">
        <f t="shared" si="21"/>
        <v>-</v>
      </c>
      <c r="Y24" s="66" t="str">
        <f>IF(Y$7="","",IF(INDEX('Rooms Walls and Glass'!$D$23:$AB$30, MATCH($D24,'Rooms Walls and Glass'!$A$23:$A$30,0), MATCH('Unit 2 b'!Y$7,'Rooms Walls and Glass'!$D$1:$AB$1,0))=0,"",INDEX('Rooms Walls and Glass'!$D$23:$AB$30, MATCH($D24,'Rooms Walls and Glass'!$A$23:$A$30,0), MATCH('Unit 2 b'!Y$7,'Rooms Walls and Glass'!$D$1:$AB$1,0))))</f>
        <v/>
      </c>
      <c r="Z24" s="68" t="str">
        <f t="shared" si="22"/>
        <v>-</v>
      </c>
      <c r="AA24" s="66" t="str">
        <f>IF(AA$7="","",IF(INDEX('Rooms Walls and Glass'!$D$23:$AB$30, MATCH($D24,'Rooms Walls and Glass'!$A$23:$A$30,0), MATCH('Unit 2 b'!AA$7,'Rooms Walls and Glass'!$D$1:$AB$1,0))=0,"",INDEX('Rooms Walls and Glass'!$D$23:$AB$30, MATCH($D24,'Rooms Walls and Glass'!$A$23:$A$30,0), MATCH('Unit 2 b'!AA$7,'Rooms Walls and Glass'!$D$1:$AB$1,0))))</f>
        <v/>
      </c>
      <c r="AB24" s="68" t="str">
        <f t="shared" si="23"/>
        <v>-</v>
      </c>
      <c r="AC24" s="66" t="str">
        <f>IF(AC$7="","",IF(INDEX('Rooms Walls and Glass'!$D$23:$AB$30, MATCH($D24,'Rooms Walls and Glass'!$A$23:$A$30,0), MATCH('Unit 2 b'!AC$7,'Rooms Walls and Glass'!$D$1:$AB$1,0))=0,"",INDEX('Rooms Walls and Glass'!$D$23:$AB$30, MATCH($D24,'Rooms Walls and Glass'!$A$23:$A$30,0), MATCH('Unit 2 b'!AC$7,'Rooms Walls and Glass'!$D$1:$AB$1,0))))</f>
        <v/>
      </c>
      <c r="AD24" s="68" t="str">
        <f t="shared" si="24"/>
        <v>-</v>
      </c>
      <c r="AE24" s="66" t="str">
        <f>IF(AE$7="","",IF(INDEX('Rooms Walls and Glass'!$D$23:$AB$30, MATCH($D24,'Rooms Walls and Glass'!$A$23:$A$30,0), MATCH('Unit 2 b'!AE$7,'Rooms Walls and Glass'!$D$1:$AB$1,0))=0,"",INDEX('Rooms Walls and Glass'!$D$23:$AB$30, MATCH($D24,'Rooms Walls and Glass'!$A$23:$A$30,0), MATCH('Unit 2 b'!AE$7,'Rooms Walls and Glass'!$D$1:$AB$1,0))))</f>
        <v/>
      </c>
      <c r="AF24" s="68" t="str">
        <f t="shared" si="24"/>
        <v>-</v>
      </c>
      <c r="AG24" s="66" t="str">
        <f>IF(AG$7="","",IF(INDEX('Rooms Walls and Glass'!$D$23:$AB$30, MATCH($D24,'Rooms Walls and Glass'!$A$23:$A$30,0), MATCH('Unit 2 b'!AG$7,'Rooms Walls and Glass'!$D$1:$AB$1,0))=0,"",INDEX('Rooms Walls and Glass'!$D$23:$AB$30, MATCH($D24,'Rooms Walls and Glass'!$A$23:$A$30,0), MATCH('Unit 2 b'!AG$7,'Rooms Walls and Glass'!$D$1:$AB$1,0))))</f>
        <v/>
      </c>
      <c r="AH24" s="68" t="str">
        <f t="shared" si="25"/>
        <v>-</v>
      </c>
      <c r="AI24" s="66" t="str">
        <f>IF(AI$7="","",IF(INDEX('Rooms Walls and Glass'!$D$23:$AB$30, MATCH($D24,'Rooms Walls and Glass'!$A$23:$A$30,0), MATCH('Unit 2 b'!AI$7,'Rooms Walls and Glass'!$D$1:$AB$1,0))=0,"",INDEX('Rooms Walls and Glass'!$D$23:$AB$30, MATCH($D24,'Rooms Walls and Glass'!$A$23:$A$30,0), MATCH('Unit 2 b'!AI$7,'Rooms Walls and Glass'!$D$1:$AB$1,0))))</f>
        <v/>
      </c>
      <c r="AJ24" s="69" t="str">
        <f t="shared" si="26"/>
        <v>-</v>
      </c>
      <c r="AK24" s="66" t="str">
        <f>IF(AK$7="","",IF(INDEX('Rooms Walls and Glass'!$D$23:$AB$30, MATCH($D24,'Rooms Walls and Glass'!$A$23:$A$30,0), MATCH('Unit 2 b'!AK$7,'Rooms Walls and Glass'!$D$1:$AB$1,0))=0,"",INDEX('Rooms Walls and Glass'!$D$23:$AB$30, MATCH($D24,'Rooms Walls and Glass'!$A$23:$A$30,0), MATCH('Unit 2 b'!AK$7,'Rooms Walls and Glass'!$D$1:$AB$1,0))))</f>
        <v/>
      </c>
      <c r="AL24" s="68" t="str">
        <f t="shared" si="27"/>
        <v>-</v>
      </c>
      <c r="AM24" s="66" t="str">
        <f>IF(AM$7="","",IF(INDEX('Rooms Walls and Glass'!$D$23:$AB$30, MATCH($D24,'Rooms Walls and Glass'!$A$23:$A$30,0), MATCH('Unit 2 b'!AM$7,'Rooms Walls and Glass'!$D$1:$AB$1,0))=0,"",INDEX('Rooms Walls and Glass'!$D$23:$AB$30, MATCH($D24,'Rooms Walls and Glass'!$A$23:$A$30,0), MATCH('Unit 2 b'!AM$7,'Rooms Walls and Glass'!$D$1:$AB$1,0))))</f>
        <v/>
      </c>
      <c r="AN24" s="69" t="str">
        <f t="shared" si="28"/>
        <v>-</v>
      </c>
    </row>
    <row r="25" spans="2:40" ht="11.25" customHeight="1" thickBot="1" x14ac:dyDescent="0.2">
      <c r="B25" s="214"/>
      <c r="C25" s="15" t="s">
        <v>38</v>
      </c>
      <c r="D25" s="13" t="str">
        <f>'Rooms Walls and Glass'!A27</f>
        <v>SouthEast</v>
      </c>
      <c r="E25" s="13">
        <f>INDEX('Glass CLF Calculation'!$A$20:$G$27,MATCH('Unit 2 b'!D25,'Glass CLF Calculation'!$A$20:$A$27,0),7)</f>
        <v>21</v>
      </c>
      <c r="F25" s="14">
        <f>INDEX(Summary!$F$19:$F$30,MATCH('Unit 2 b'!C25,Summary!$D$19:$D$30,0))</f>
        <v>7.6999999999999999E-2</v>
      </c>
      <c r="G25" s="14">
        <f t="shared" si="29"/>
        <v>1.617</v>
      </c>
      <c r="H25" s="16" t="s">
        <v>6</v>
      </c>
      <c r="I25" s="65">
        <f t="shared" si="13"/>
        <v>0</v>
      </c>
      <c r="J25" s="68">
        <f t="shared" si="14"/>
        <v>0</v>
      </c>
      <c r="K25" s="66" t="str">
        <f>IF(K$7="","",IF(INDEX('Rooms Walls and Glass'!$D$23:$AB$30, MATCH($D25,'Rooms Walls and Glass'!$A$23:$A$30,0), MATCH('Unit 2 b'!K$7,'Rooms Walls and Glass'!$D$1:$AB$1,0))=0,"",INDEX('Rooms Walls and Glass'!$D$23:$AB$30, MATCH($D25,'Rooms Walls and Glass'!$A$23:$A$30,0), MATCH('Unit 2 b'!K$7,'Rooms Walls and Glass'!$D$1:$AB$1,0))))</f>
        <v/>
      </c>
      <c r="L25" s="68" t="str">
        <f t="shared" si="15"/>
        <v>-</v>
      </c>
      <c r="M25" s="66" t="str">
        <f>IF(M$7="","",IF(INDEX('Rooms Walls and Glass'!$D$23:$AB$30, MATCH($D25,'Rooms Walls and Glass'!$A$23:$A$30,0), MATCH('Unit 2 b'!M$7,'Rooms Walls and Glass'!$D$1:$AB$1,0))=0,"",INDEX('Rooms Walls and Glass'!$D$23:$AB$30, MATCH($D25,'Rooms Walls and Glass'!$A$23:$A$30,0), MATCH('Unit 2 b'!M$7,'Rooms Walls and Glass'!$D$1:$AB$1,0))))</f>
        <v/>
      </c>
      <c r="N25" s="68" t="str">
        <f t="shared" si="16"/>
        <v>-</v>
      </c>
      <c r="O25" s="66" t="str">
        <f>IF(O$7="","",IF(INDEX('Rooms Walls and Glass'!$D$23:$AB$30, MATCH($D25,'Rooms Walls and Glass'!$A$23:$A$30,0), MATCH('Unit 2 b'!O$7,'Rooms Walls and Glass'!$D$1:$AB$1,0))=0,"",INDEX('Rooms Walls and Glass'!$D$23:$AB$30, MATCH($D25,'Rooms Walls and Glass'!$A$23:$A$30,0), MATCH('Unit 2 b'!O$7,'Rooms Walls and Glass'!$D$1:$AB$1,0))))</f>
        <v/>
      </c>
      <c r="P25" s="68" t="str">
        <f t="shared" si="17"/>
        <v>-</v>
      </c>
      <c r="Q25" s="66" t="str">
        <f>IF(Q$7="","",IF(INDEX('Rooms Walls and Glass'!$D$23:$AB$30, MATCH($D25,'Rooms Walls and Glass'!$A$23:$A$30,0), MATCH('Unit 2 b'!Q$7,'Rooms Walls and Glass'!$D$1:$AB$1,0))=0,"",INDEX('Rooms Walls and Glass'!$D$23:$AB$30, MATCH($D25,'Rooms Walls and Glass'!$A$23:$A$30,0), MATCH('Unit 2 b'!Q$7,'Rooms Walls and Glass'!$D$1:$AB$1,0))))</f>
        <v/>
      </c>
      <c r="R25" s="68" t="str">
        <f t="shared" si="18"/>
        <v>-</v>
      </c>
      <c r="S25" s="66" t="str">
        <f>IF(S$7="","",IF(INDEX('Rooms Walls and Glass'!$D$23:$AB$30, MATCH($D25,'Rooms Walls and Glass'!$A$23:$A$30,0), MATCH('Unit 2 b'!S$7,'Rooms Walls and Glass'!$D$1:$AB$1,0))=0,"",INDEX('Rooms Walls and Glass'!$D$23:$AB$30, MATCH($D25,'Rooms Walls and Glass'!$A$23:$A$30,0), MATCH('Unit 2 b'!S$7,'Rooms Walls and Glass'!$D$1:$AB$1,0))))</f>
        <v/>
      </c>
      <c r="T25" s="68" t="str">
        <f t="shared" si="19"/>
        <v>-</v>
      </c>
      <c r="U25" s="66" t="str">
        <f>IF(U$7="","",IF(INDEX('Rooms Walls and Glass'!$D$23:$AB$30, MATCH($D25,'Rooms Walls and Glass'!$A$23:$A$30,0), MATCH('Unit 2 b'!U$7,'Rooms Walls and Glass'!$D$1:$AB$1,0))=0,"",INDEX('Rooms Walls and Glass'!$D$23:$AB$30, MATCH($D25,'Rooms Walls and Glass'!$A$23:$A$30,0), MATCH('Unit 2 b'!U$7,'Rooms Walls and Glass'!$D$1:$AB$1,0))))</f>
        <v/>
      </c>
      <c r="V25" s="68" t="str">
        <f t="shared" si="20"/>
        <v>-</v>
      </c>
      <c r="W25" s="66" t="str">
        <f>IF(W$7="","",IF(INDEX('Rooms Walls and Glass'!$D$23:$AB$30, MATCH($D25,'Rooms Walls and Glass'!$A$23:$A$30,0), MATCH('Unit 2 b'!W$7,'Rooms Walls and Glass'!$D$1:$AB$1,0))=0,"",INDEX('Rooms Walls and Glass'!$D$23:$AB$30, MATCH($D25,'Rooms Walls and Glass'!$A$23:$A$30,0), MATCH('Unit 2 b'!W$7,'Rooms Walls and Glass'!$D$1:$AB$1,0))))</f>
        <v/>
      </c>
      <c r="X25" s="68" t="str">
        <f t="shared" si="21"/>
        <v>-</v>
      </c>
      <c r="Y25" s="66" t="str">
        <f>IF(Y$7="","",IF(INDEX('Rooms Walls and Glass'!$D$23:$AB$30, MATCH($D25,'Rooms Walls and Glass'!$A$23:$A$30,0), MATCH('Unit 2 b'!Y$7,'Rooms Walls and Glass'!$D$1:$AB$1,0))=0,"",INDEX('Rooms Walls and Glass'!$D$23:$AB$30, MATCH($D25,'Rooms Walls and Glass'!$A$23:$A$30,0), MATCH('Unit 2 b'!Y$7,'Rooms Walls and Glass'!$D$1:$AB$1,0))))</f>
        <v/>
      </c>
      <c r="Z25" s="68" t="str">
        <f t="shared" si="22"/>
        <v>-</v>
      </c>
      <c r="AA25" s="66" t="str">
        <f>IF(AA$7="","",IF(INDEX('Rooms Walls and Glass'!$D$23:$AB$30, MATCH($D25,'Rooms Walls and Glass'!$A$23:$A$30,0), MATCH('Unit 2 b'!AA$7,'Rooms Walls and Glass'!$D$1:$AB$1,0))=0,"",INDEX('Rooms Walls and Glass'!$D$23:$AB$30, MATCH($D25,'Rooms Walls and Glass'!$A$23:$A$30,0), MATCH('Unit 2 b'!AA$7,'Rooms Walls and Glass'!$D$1:$AB$1,0))))</f>
        <v/>
      </c>
      <c r="AB25" s="68" t="str">
        <f t="shared" si="23"/>
        <v>-</v>
      </c>
      <c r="AC25" s="66" t="str">
        <f>IF(AC$7="","",IF(INDEX('Rooms Walls and Glass'!$D$23:$AB$30, MATCH($D25,'Rooms Walls and Glass'!$A$23:$A$30,0), MATCH('Unit 2 b'!AC$7,'Rooms Walls and Glass'!$D$1:$AB$1,0))=0,"",INDEX('Rooms Walls and Glass'!$D$23:$AB$30, MATCH($D25,'Rooms Walls and Glass'!$A$23:$A$30,0), MATCH('Unit 2 b'!AC$7,'Rooms Walls and Glass'!$D$1:$AB$1,0))))</f>
        <v/>
      </c>
      <c r="AD25" s="68" t="str">
        <f t="shared" si="24"/>
        <v>-</v>
      </c>
      <c r="AE25" s="66" t="str">
        <f>IF(AE$7="","",IF(INDEX('Rooms Walls and Glass'!$D$23:$AB$30, MATCH($D25,'Rooms Walls and Glass'!$A$23:$A$30,0), MATCH('Unit 2 b'!AE$7,'Rooms Walls and Glass'!$D$1:$AB$1,0))=0,"",INDEX('Rooms Walls and Glass'!$D$23:$AB$30, MATCH($D25,'Rooms Walls and Glass'!$A$23:$A$30,0), MATCH('Unit 2 b'!AE$7,'Rooms Walls and Glass'!$D$1:$AB$1,0))))</f>
        <v/>
      </c>
      <c r="AF25" s="68" t="str">
        <f t="shared" si="24"/>
        <v>-</v>
      </c>
      <c r="AG25" s="66" t="str">
        <f>IF(AG$7="","",IF(INDEX('Rooms Walls and Glass'!$D$23:$AB$30, MATCH($D25,'Rooms Walls and Glass'!$A$23:$A$30,0), MATCH('Unit 2 b'!AG$7,'Rooms Walls and Glass'!$D$1:$AB$1,0))=0,"",INDEX('Rooms Walls and Glass'!$D$23:$AB$30, MATCH($D25,'Rooms Walls and Glass'!$A$23:$A$30,0), MATCH('Unit 2 b'!AG$7,'Rooms Walls and Glass'!$D$1:$AB$1,0))))</f>
        <v/>
      </c>
      <c r="AH25" s="68" t="str">
        <f t="shared" si="25"/>
        <v>-</v>
      </c>
      <c r="AI25" s="66" t="str">
        <f>IF(AI$7="","",IF(INDEX('Rooms Walls and Glass'!$D$23:$AB$30, MATCH($D25,'Rooms Walls and Glass'!$A$23:$A$30,0), MATCH('Unit 2 b'!AI$7,'Rooms Walls and Glass'!$D$1:$AB$1,0))=0,"",INDEX('Rooms Walls and Glass'!$D$23:$AB$30, MATCH($D25,'Rooms Walls and Glass'!$A$23:$A$30,0), MATCH('Unit 2 b'!AI$7,'Rooms Walls and Glass'!$D$1:$AB$1,0))))</f>
        <v/>
      </c>
      <c r="AJ25" s="69" t="str">
        <f t="shared" si="26"/>
        <v>-</v>
      </c>
      <c r="AK25" s="66" t="str">
        <f>IF(AK$7="","",IF(INDEX('Rooms Walls and Glass'!$D$23:$AB$30, MATCH($D25,'Rooms Walls and Glass'!$A$23:$A$30,0), MATCH('Unit 2 b'!AK$7,'Rooms Walls and Glass'!$D$1:$AB$1,0))=0,"",INDEX('Rooms Walls and Glass'!$D$23:$AB$30, MATCH($D25,'Rooms Walls and Glass'!$A$23:$A$30,0), MATCH('Unit 2 b'!AK$7,'Rooms Walls and Glass'!$D$1:$AB$1,0))))</f>
        <v/>
      </c>
      <c r="AL25" s="68" t="str">
        <f t="shared" si="27"/>
        <v>-</v>
      </c>
      <c r="AM25" s="66" t="str">
        <f>IF(AM$7="","",IF(INDEX('Rooms Walls and Glass'!$D$23:$AB$30, MATCH($D25,'Rooms Walls and Glass'!$A$23:$A$30,0), MATCH('Unit 2 b'!AM$7,'Rooms Walls and Glass'!$D$1:$AB$1,0))=0,"",INDEX('Rooms Walls and Glass'!$D$23:$AB$30, MATCH($D25,'Rooms Walls and Glass'!$A$23:$A$30,0), MATCH('Unit 2 b'!AM$7,'Rooms Walls and Glass'!$D$1:$AB$1,0))))</f>
        <v/>
      </c>
      <c r="AN25" s="69" t="str">
        <f t="shared" si="28"/>
        <v>-</v>
      </c>
    </row>
    <row r="26" spans="2:40" ht="11.25" customHeight="1" thickBot="1" x14ac:dyDescent="0.2">
      <c r="B26" s="214"/>
      <c r="C26" s="15" t="s">
        <v>38</v>
      </c>
      <c r="D26" s="13" t="str">
        <f>'Rooms Walls and Glass'!A28</f>
        <v>South</v>
      </c>
      <c r="E26" s="13">
        <f>INDEX('Glass CLF Calculation'!$A$20:$G$27,MATCH('Unit 2 b'!D26,'Glass CLF Calculation'!$A$20:$A$27,0),7)</f>
        <v>16</v>
      </c>
      <c r="F26" s="14">
        <f>INDEX(Summary!$F$19:$F$30,MATCH('Unit 2 b'!C26,Summary!$D$19:$D$30,0))</f>
        <v>7.6999999999999999E-2</v>
      </c>
      <c r="G26" s="14">
        <f t="shared" si="29"/>
        <v>1.232</v>
      </c>
      <c r="H26" s="16" t="s">
        <v>6</v>
      </c>
      <c r="I26" s="65">
        <f t="shared" si="13"/>
        <v>0</v>
      </c>
      <c r="J26" s="68">
        <f t="shared" si="14"/>
        <v>0</v>
      </c>
      <c r="K26" s="66" t="str">
        <f>IF(K$7="","",IF(INDEX('Rooms Walls and Glass'!$D$23:$AB$30, MATCH($D26,'Rooms Walls and Glass'!$A$23:$A$30,0), MATCH('Unit 2 b'!K$7,'Rooms Walls and Glass'!$D$1:$AB$1,0))=0,"",INDEX('Rooms Walls and Glass'!$D$23:$AB$30, MATCH($D26,'Rooms Walls and Glass'!$A$23:$A$30,0), MATCH('Unit 2 b'!K$7,'Rooms Walls and Glass'!$D$1:$AB$1,0))))</f>
        <v/>
      </c>
      <c r="L26" s="68" t="str">
        <f t="shared" si="15"/>
        <v>-</v>
      </c>
      <c r="M26" s="66" t="str">
        <f>IF(M$7="","",IF(INDEX('Rooms Walls and Glass'!$D$23:$AB$30, MATCH($D26,'Rooms Walls and Glass'!$A$23:$A$30,0), MATCH('Unit 2 b'!M$7,'Rooms Walls and Glass'!$D$1:$AB$1,0))=0,"",INDEX('Rooms Walls and Glass'!$D$23:$AB$30, MATCH($D26,'Rooms Walls and Glass'!$A$23:$A$30,0), MATCH('Unit 2 b'!M$7,'Rooms Walls and Glass'!$D$1:$AB$1,0))))</f>
        <v/>
      </c>
      <c r="N26" s="68" t="str">
        <f t="shared" si="16"/>
        <v>-</v>
      </c>
      <c r="O26" s="66" t="str">
        <f>IF(O$7="","",IF(INDEX('Rooms Walls and Glass'!$D$23:$AB$30, MATCH($D26,'Rooms Walls and Glass'!$A$23:$A$30,0), MATCH('Unit 2 b'!O$7,'Rooms Walls and Glass'!$D$1:$AB$1,0))=0,"",INDEX('Rooms Walls and Glass'!$D$23:$AB$30, MATCH($D26,'Rooms Walls and Glass'!$A$23:$A$30,0), MATCH('Unit 2 b'!O$7,'Rooms Walls and Glass'!$D$1:$AB$1,0))))</f>
        <v/>
      </c>
      <c r="P26" s="68" t="str">
        <f t="shared" si="17"/>
        <v>-</v>
      </c>
      <c r="Q26" s="66" t="str">
        <f>IF(Q$7="","",IF(INDEX('Rooms Walls and Glass'!$D$23:$AB$30, MATCH($D26,'Rooms Walls and Glass'!$A$23:$A$30,0), MATCH('Unit 2 b'!Q$7,'Rooms Walls and Glass'!$D$1:$AB$1,0))=0,"",INDEX('Rooms Walls and Glass'!$D$23:$AB$30, MATCH($D26,'Rooms Walls and Glass'!$A$23:$A$30,0), MATCH('Unit 2 b'!Q$7,'Rooms Walls and Glass'!$D$1:$AB$1,0))))</f>
        <v/>
      </c>
      <c r="R26" s="68" t="str">
        <f t="shared" si="18"/>
        <v>-</v>
      </c>
      <c r="S26" s="66" t="str">
        <f>IF(S$7="","",IF(INDEX('Rooms Walls and Glass'!$D$23:$AB$30, MATCH($D26,'Rooms Walls and Glass'!$A$23:$A$30,0), MATCH('Unit 2 b'!S$7,'Rooms Walls and Glass'!$D$1:$AB$1,0))=0,"",INDEX('Rooms Walls and Glass'!$D$23:$AB$30, MATCH($D26,'Rooms Walls and Glass'!$A$23:$A$30,0), MATCH('Unit 2 b'!S$7,'Rooms Walls and Glass'!$D$1:$AB$1,0))))</f>
        <v/>
      </c>
      <c r="T26" s="68" t="str">
        <f t="shared" si="19"/>
        <v>-</v>
      </c>
      <c r="U26" s="66" t="str">
        <f>IF(U$7="","",IF(INDEX('Rooms Walls and Glass'!$D$23:$AB$30, MATCH($D26,'Rooms Walls and Glass'!$A$23:$A$30,0), MATCH('Unit 2 b'!U$7,'Rooms Walls and Glass'!$D$1:$AB$1,0))=0,"",INDEX('Rooms Walls and Glass'!$D$23:$AB$30, MATCH($D26,'Rooms Walls and Glass'!$A$23:$A$30,0), MATCH('Unit 2 b'!U$7,'Rooms Walls and Glass'!$D$1:$AB$1,0))))</f>
        <v/>
      </c>
      <c r="V26" s="68" t="str">
        <f t="shared" si="20"/>
        <v>-</v>
      </c>
      <c r="W26" s="66" t="str">
        <f>IF(W$7="","",IF(INDEX('Rooms Walls and Glass'!$D$23:$AB$30, MATCH($D26,'Rooms Walls and Glass'!$A$23:$A$30,0), MATCH('Unit 2 b'!W$7,'Rooms Walls and Glass'!$D$1:$AB$1,0))=0,"",INDEX('Rooms Walls and Glass'!$D$23:$AB$30, MATCH($D26,'Rooms Walls and Glass'!$A$23:$A$30,0), MATCH('Unit 2 b'!W$7,'Rooms Walls and Glass'!$D$1:$AB$1,0))))</f>
        <v/>
      </c>
      <c r="X26" s="68" t="str">
        <f t="shared" si="21"/>
        <v>-</v>
      </c>
      <c r="Y26" s="66" t="str">
        <f>IF(Y$7="","",IF(INDEX('Rooms Walls and Glass'!$D$23:$AB$30, MATCH($D26,'Rooms Walls and Glass'!$A$23:$A$30,0), MATCH('Unit 2 b'!Y$7,'Rooms Walls and Glass'!$D$1:$AB$1,0))=0,"",INDEX('Rooms Walls and Glass'!$D$23:$AB$30, MATCH($D26,'Rooms Walls and Glass'!$A$23:$A$30,0), MATCH('Unit 2 b'!Y$7,'Rooms Walls and Glass'!$D$1:$AB$1,0))))</f>
        <v/>
      </c>
      <c r="Z26" s="68" t="str">
        <f t="shared" si="22"/>
        <v>-</v>
      </c>
      <c r="AA26" s="66" t="str">
        <f>IF(AA$7="","",IF(INDEX('Rooms Walls and Glass'!$D$23:$AB$30, MATCH($D26,'Rooms Walls and Glass'!$A$23:$A$30,0), MATCH('Unit 2 b'!AA$7,'Rooms Walls and Glass'!$D$1:$AB$1,0))=0,"",INDEX('Rooms Walls and Glass'!$D$23:$AB$30, MATCH($D26,'Rooms Walls and Glass'!$A$23:$A$30,0), MATCH('Unit 2 b'!AA$7,'Rooms Walls and Glass'!$D$1:$AB$1,0))))</f>
        <v/>
      </c>
      <c r="AB26" s="68" t="str">
        <f t="shared" si="23"/>
        <v>-</v>
      </c>
      <c r="AC26" s="66" t="str">
        <f>IF(AC$7="","",IF(INDEX('Rooms Walls and Glass'!$D$23:$AB$30, MATCH($D26,'Rooms Walls and Glass'!$A$23:$A$30,0), MATCH('Unit 2 b'!AC$7,'Rooms Walls and Glass'!$D$1:$AB$1,0))=0,"",INDEX('Rooms Walls and Glass'!$D$23:$AB$30, MATCH($D26,'Rooms Walls and Glass'!$A$23:$A$30,0), MATCH('Unit 2 b'!AC$7,'Rooms Walls and Glass'!$D$1:$AB$1,0))))</f>
        <v/>
      </c>
      <c r="AD26" s="68" t="str">
        <f t="shared" ref="AD26:AD47" si="30">IF(AC26="","-",AC26*$G26)</f>
        <v>-</v>
      </c>
      <c r="AE26" s="66" t="str">
        <f>IF(AE$7="","",IF(INDEX('Rooms Walls and Glass'!$D$23:$AB$30, MATCH($D26,'Rooms Walls and Glass'!$A$23:$A$30,0), MATCH('Unit 2 b'!AE$7,'Rooms Walls and Glass'!$D$1:$AB$1,0))=0,"",INDEX('Rooms Walls and Glass'!$D$23:$AB$30, MATCH($D26,'Rooms Walls and Glass'!$A$23:$A$30,0), MATCH('Unit 2 b'!AE$7,'Rooms Walls and Glass'!$D$1:$AB$1,0))))</f>
        <v/>
      </c>
      <c r="AF26" s="68" t="str">
        <f t="shared" ref="AF26:AF47" si="31">IF(AE26="","-",AE26*$G26)</f>
        <v>-</v>
      </c>
      <c r="AG26" s="66" t="str">
        <f>IF(AG$7="","",IF(INDEX('Rooms Walls and Glass'!$D$23:$AB$30, MATCH($D26,'Rooms Walls and Glass'!$A$23:$A$30,0), MATCH('Unit 2 b'!AG$7,'Rooms Walls and Glass'!$D$1:$AB$1,0))=0,"",INDEX('Rooms Walls and Glass'!$D$23:$AB$30, MATCH($D26,'Rooms Walls and Glass'!$A$23:$A$30,0), MATCH('Unit 2 b'!AG$7,'Rooms Walls and Glass'!$D$1:$AB$1,0))))</f>
        <v/>
      </c>
      <c r="AH26" s="68" t="str">
        <f t="shared" si="25"/>
        <v>-</v>
      </c>
      <c r="AI26" s="66" t="str">
        <f>IF(AI$7="","",IF(INDEX('Rooms Walls and Glass'!$D$23:$AB$30, MATCH($D26,'Rooms Walls and Glass'!$A$23:$A$30,0), MATCH('Unit 2 b'!AI$7,'Rooms Walls and Glass'!$D$1:$AB$1,0))=0,"",INDEX('Rooms Walls and Glass'!$D$23:$AB$30, MATCH($D26,'Rooms Walls and Glass'!$A$23:$A$30,0), MATCH('Unit 2 b'!AI$7,'Rooms Walls and Glass'!$D$1:$AB$1,0))))</f>
        <v/>
      </c>
      <c r="AJ26" s="69" t="str">
        <f t="shared" si="26"/>
        <v>-</v>
      </c>
      <c r="AK26" s="66" t="str">
        <f>IF(AK$7="","",IF(INDEX('Rooms Walls and Glass'!$D$23:$AB$30, MATCH($D26,'Rooms Walls and Glass'!$A$23:$A$30,0), MATCH('Unit 2 b'!AK$7,'Rooms Walls and Glass'!$D$1:$AB$1,0))=0,"",INDEX('Rooms Walls and Glass'!$D$23:$AB$30, MATCH($D26,'Rooms Walls and Glass'!$A$23:$A$30,0), MATCH('Unit 2 b'!AK$7,'Rooms Walls and Glass'!$D$1:$AB$1,0))))</f>
        <v/>
      </c>
      <c r="AL26" s="68" t="str">
        <f t="shared" si="27"/>
        <v>-</v>
      </c>
      <c r="AM26" s="66" t="str">
        <f>IF(AM$7="","",IF(INDEX('Rooms Walls and Glass'!$D$23:$AB$30, MATCH($D26,'Rooms Walls and Glass'!$A$23:$A$30,0), MATCH('Unit 2 b'!AM$7,'Rooms Walls and Glass'!$D$1:$AB$1,0))=0,"",INDEX('Rooms Walls and Glass'!$D$23:$AB$30, MATCH($D26,'Rooms Walls and Glass'!$A$23:$A$30,0), MATCH('Unit 2 b'!AM$7,'Rooms Walls and Glass'!$D$1:$AB$1,0))))</f>
        <v/>
      </c>
      <c r="AN26" s="69" t="str">
        <f t="shared" si="28"/>
        <v>-</v>
      </c>
    </row>
    <row r="27" spans="2:40" ht="11.25" customHeight="1" thickBot="1" x14ac:dyDescent="0.2">
      <c r="B27" s="214"/>
      <c r="C27" s="15" t="s">
        <v>38</v>
      </c>
      <c r="D27" s="13" t="str">
        <f>'Rooms Walls and Glass'!A29</f>
        <v>SouthWest</v>
      </c>
      <c r="E27" s="13">
        <f>INDEX('Glass CLF Calculation'!$A$20:$G$27,MATCH('Unit 2 b'!D27,'Glass CLF Calculation'!$A$20:$A$27,0),7)</f>
        <v>21</v>
      </c>
      <c r="F27" s="14">
        <f>INDEX(Summary!$F$19:$F$30,MATCH('Unit 2 b'!C27,Summary!$D$19:$D$30,0))</f>
        <v>7.6999999999999999E-2</v>
      </c>
      <c r="G27" s="14">
        <f t="shared" si="29"/>
        <v>1.617</v>
      </c>
      <c r="H27" s="16" t="s">
        <v>6</v>
      </c>
      <c r="I27" s="65">
        <f t="shared" si="13"/>
        <v>0</v>
      </c>
      <c r="J27" s="68">
        <f t="shared" si="14"/>
        <v>0</v>
      </c>
      <c r="K27" s="66" t="str">
        <f>IF(K$7="","",IF(INDEX('Rooms Walls and Glass'!$D$23:$AB$30, MATCH($D27,'Rooms Walls and Glass'!$A$23:$A$30,0), MATCH('Unit 2 b'!K$7,'Rooms Walls and Glass'!$D$1:$AB$1,0))=0,"",INDEX('Rooms Walls and Glass'!$D$23:$AB$30, MATCH($D27,'Rooms Walls and Glass'!$A$23:$A$30,0), MATCH('Unit 2 b'!K$7,'Rooms Walls and Glass'!$D$1:$AB$1,0))))</f>
        <v/>
      </c>
      <c r="L27" s="68" t="str">
        <f t="shared" si="15"/>
        <v>-</v>
      </c>
      <c r="M27" s="66" t="str">
        <f>IF(M$7="","",IF(INDEX('Rooms Walls and Glass'!$D$23:$AB$30, MATCH($D27,'Rooms Walls and Glass'!$A$23:$A$30,0), MATCH('Unit 2 b'!M$7,'Rooms Walls and Glass'!$D$1:$AB$1,0))=0,"",INDEX('Rooms Walls and Glass'!$D$23:$AB$30, MATCH($D27,'Rooms Walls and Glass'!$A$23:$A$30,0), MATCH('Unit 2 b'!M$7,'Rooms Walls and Glass'!$D$1:$AB$1,0))))</f>
        <v/>
      </c>
      <c r="N27" s="68" t="str">
        <f t="shared" si="16"/>
        <v>-</v>
      </c>
      <c r="O27" s="66" t="str">
        <f>IF(O$7="","",IF(INDEX('Rooms Walls and Glass'!$D$23:$AB$30, MATCH($D27,'Rooms Walls and Glass'!$A$23:$A$30,0), MATCH('Unit 2 b'!O$7,'Rooms Walls and Glass'!$D$1:$AB$1,0))=0,"",INDEX('Rooms Walls and Glass'!$D$23:$AB$30, MATCH($D27,'Rooms Walls and Glass'!$A$23:$A$30,0), MATCH('Unit 2 b'!O$7,'Rooms Walls and Glass'!$D$1:$AB$1,0))))</f>
        <v/>
      </c>
      <c r="P27" s="68" t="str">
        <f t="shared" si="17"/>
        <v>-</v>
      </c>
      <c r="Q27" s="66" t="str">
        <f>IF(Q$7="","",IF(INDEX('Rooms Walls and Glass'!$D$23:$AB$30, MATCH($D27,'Rooms Walls and Glass'!$A$23:$A$30,0), MATCH('Unit 2 b'!Q$7,'Rooms Walls and Glass'!$D$1:$AB$1,0))=0,"",INDEX('Rooms Walls and Glass'!$D$23:$AB$30, MATCH($D27,'Rooms Walls and Glass'!$A$23:$A$30,0), MATCH('Unit 2 b'!Q$7,'Rooms Walls and Glass'!$D$1:$AB$1,0))))</f>
        <v/>
      </c>
      <c r="R27" s="68" t="str">
        <f t="shared" si="18"/>
        <v>-</v>
      </c>
      <c r="S27" s="66" t="str">
        <f>IF(S$7="","",IF(INDEX('Rooms Walls and Glass'!$D$23:$AB$30, MATCH($D27,'Rooms Walls and Glass'!$A$23:$A$30,0), MATCH('Unit 2 b'!S$7,'Rooms Walls and Glass'!$D$1:$AB$1,0))=0,"",INDEX('Rooms Walls and Glass'!$D$23:$AB$30, MATCH($D27,'Rooms Walls and Glass'!$A$23:$A$30,0), MATCH('Unit 2 b'!S$7,'Rooms Walls and Glass'!$D$1:$AB$1,0))))</f>
        <v/>
      </c>
      <c r="T27" s="68" t="str">
        <f t="shared" si="19"/>
        <v>-</v>
      </c>
      <c r="U27" s="66" t="str">
        <f>IF(U$7="","",IF(INDEX('Rooms Walls and Glass'!$D$23:$AB$30, MATCH($D27,'Rooms Walls and Glass'!$A$23:$A$30,0), MATCH('Unit 2 b'!U$7,'Rooms Walls and Glass'!$D$1:$AB$1,0))=0,"",INDEX('Rooms Walls and Glass'!$D$23:$AB$30, MATCH($D27,'Rooms Walls and Glass'!$A$23:$A$30,0), MATCH('Unit 2 b'!U$7,'Rooms Walls and Glass'!$D$1:$AB$1,0))))</f>
        <v/>
      </c>
      <c r="V27" s="68" t="str">
        <f t="shared" si="20"/>
        <v>-</v>
      </c>
      <c r="W27" s="66" t="str">
        <f>IF(W$7="","",IF(INDEX('Rooms Walls and Glass'!$D$23:$AB$30, MATCH($D27,'Rooms Walls and Glass'!$A$23:$A$30,0), MATCH('Unit 2 b'!W$7,'Rooms Walls and Glass'!$D$1:$AB$1,0))=0,"",INDEX('Rooms Walls and Glass'!$D$23:$AB$30, MATCH($D27,'Rooms Walls and Glass'!$A$23:$A$30,0), MATCH('Unit 2 b'!W$7,'Rooms Walls and Glass'!$D$1:$AB$1,0))))</f>
        <v/>
      </c>
      <c r="X27" s="68" t="str">
        <f t="shared" si="21"/>
        <v>-</v>
      </c>
      <c r="Y27" s="66" t="str">
        <f>IF(Y$7="","",IF(INDEX('Rooms Walls and Glass'!$D$23:$AB$30, MATCH($D27,'Rooms Walls and Glass'!$A$23:$A$30,0), MATCH('Unit 2 b'!Y$7,'Rooms Walls and Glass'!$D$1:$AB$1,0))=0,"",INDEX('Rooms Walls and Glass'!$D$23:$AB$30, MATCH($D27,'Rooms Walls and Glass'!$A$23:$A$30,0), MATCH('Unit 2 b'!Y$7,'Rooms Walls and Glass'!$D$1:$AB$1,0))))</f>
        <v/>
      </c>
      <c r="Z27" s="68" t="str">
        <f t="shared" si="22"/>
        <v>-</v>
      </c>
      <c r="AA27" s="66" t="str">
        <f>IF(AA$7="","",IF(INDEX('Rooms Walls and Glass'!$D$23:$AB$30, MATCH($D27,'Rooms Walls and Glass'!$A$23:$A$30,0), MATCH('Unit 2 b'!AA$7,'Rooms Walls and Glass'!$D$1:$AB$1,0))=0,"",INDEX('Rooms Walls and Glass'!$D$23:$AB$30, MATCH($D27,'Rooms Walls and Glass'!$A$23:$A$30,0), MATCH('Unit 2 b'!AA$7,'Rooms Walls and Glass'!$D$1:$AB$1,0))))</f>
        <v/>
      </c>
      <c r="AB27" s="68" t="str">
        <f t="shared" si="23"/>
        <v>-</v>
      </c>
      <c r="AC27" s="66" t="str">
        <f>IF(AC$7="","",IF(INDEX('Rooms Walls and Glass'!$D$23:$AB$30, MATCH($D27,'Rooms Walls and Glass'!$A$23:$A$30,0), MATCH('Unit 2 b'!AC$7,'Rooms Walls and Glass'!$D$1:$AB$1,0))=0,"",INDEX('Rooms Walls and Glass'!$D$23:$AB$30, MATCH($D27,'Rooms Walls and Glass'!$A$23:$A$30,0), MATCH('Unit 2 b'!AC$7,'Rooms Walls and Glass'!$D$1:$AB$1,0))))</f>
        <v/>
      </c>
      <c r="AD27" s="68" t="str">
        <f t="shared" si="30"/>
        <v>-</v>
      </c>
      <c r="AE27" s="66" t="str">
        <f>IF(AE$7="","",IF(INDEX('Rooms Walls and Glass'!$D$23:$AB$30, MATCH($D27,'Rooms Walls and Glass'!$A$23:$A$30,0), MATCH('Unit 2 b'!AE$7,'Rooms Walls and Glass'!$D$1:$AB$1,0))=0,"",INDEX('Rooms Walls and Glass'!$D$23:$AB$30, MATCH($D27,'Rooms Walls and Glass'!$A$23:$A$30,0), MATCH('Unit 2 b'!AE$7,'Rooms Walls and Glass'!$D$1:$AB$1,0))))</f>
        <v/>
      </c>
      <c r="AF27" s="68" t="str">
        <f t="shared" si="31"/>
        <v>-</v>
      </c>
      <c r="AG27" s="66" t="str">
        <f>IF(AG$7="","",IF(INDEX('Rooms Walls and Glass'!$D$23:$AB$30, MATCH($D27,'Rooms Walls and Glass'!$A$23:$A$30,0), MATCH('Unit 2 b'!AG$7,'Rooms Walls and Glass'!$D$1:$AB$1,0))=0,"",INDEX('Rooms Walls and Glass'!$D$23:$AB$30, MATCH($D27,'Rooms Walls and Glass'!$A$23:$A$30,0), MATCH('Unit 2 b'!AG$7,'Rooms Walls and Glass'!$D$1:$AB$1,0))))</f>
        <v/>
      </c>
      <c r="AH27" s="68" t="str">
        <f t="shared" si="25"/>
        <v>-</v>
      </c>
      <c r="AI27" s="66" t="str">
        <f>IF(AI$7="","",IF(INDEX('Rooms Walls and Glass'!$D$23:$AB$30, MATCH($D27,'Rooms Walls and Glass'!$A$23:$A$30,0), MATCH('Unit 2 b'!AI$7,'Rooms Walls and Glass'!$D$1:$AB$1,0))=0,"",INDEX('Rooms Walls and Glass'!$D$23:$AB$30, MATCH($D27,'Rooms Walls and Glass'!$A$23:$A$30,0), MATCH('Unit 2 b'!AI$7,'Rooms Walls and Glass'!$D$1:$AB$1,0))))</f>
        <v/>
      </c>
      <c r="AJ27" s="69" t="str">
        <f t="shared" si="26"/>
        <v>-</v>
      </c>
      <c r="AK27" s="66" t="str">
        <f>IF(AK$7="","",IF(INDEX('Rooms Walls and Glass'!$D$23:$AB$30, MATCH($D27,'Rooms Walls and Glass'!$A$23:$A$30,0), MATCH('Unit 2 b'!AK$7,'Rooms Walls and Glass'!$D$1:$AB$1,0))=0,"",INDEX('Rooms Walls and Glass'!$D$23:$AB$30, MATCH($D27,'Rooms Walls and Glass'!$A$23:$A$30,0), MATCH('Unit 2 b'!AK$7,'Rooms Walls and Glass'!$D$1:$AB$1,0))))</f>
        <v/>
      </c>
      <c r="AL27" s="68" t="str">
        <f t="shared" si="27"/>
        <v>-</v>
      </c>
      <c r="AM27" s="66" t="str">
        <f>IF(AM$7="","",IF(INDEX('Rooms Walls and Glass'!$D$23:$AB$30, MATCH($D27,'Rooms Walls and Glass'!$A$23:$A$30,0), MATCH('Unit 2 b'!AM$7,'Rooms Walls and Glass'!$D$1:$AB$1,0))=0,"",INDEX('Rooms Walls and Glass'!$D$23:$AB$30, MATCH($D27,'Rooms Walls and Glass'!$A$23:$A$30,0), MATCH('Unit 2 b'!AM$7,'Rooms Walls and Glass'!$D$1:$AB$1,0))))</f>
        <v/>
      </c>
      <c r="AN27" s="69" t="str">
        <f t="shared" si="28"/>
        <v>-</v>
      </c>
    </row>
    <row r="28" spans="2:40" ht="11.25" customHeight="1" thickBot="1" x14ac:dyDescent="0.2">
      <c r="B28" s="213"/>
      <c r="C28" s="17" t="s">
        <v>38</v>
      </c>
      <c r="D28" s="13" t="str">
        <f>'Rooms Walls and Glass'!A30</f>
        <v>West</v>
      </c>
      <c r="E28" s="13">
        <f>INDEX('Glass CLF Calculation'!$A$20:$G$27,MATCH('Unit 2 b'!D28,'Glass CLF Calculation'!$A$20:$A$27,0),7)</f>
        <v>23</v>
      </c>
      <c r="F28" s="14">
        <f>INDEX(Summary!$F$19:$F$30,MATCH('Unit 2 b'!C28,Summary!$D$19:$D$30,0))</f>
        <v>7.6999999999999999E-2</v>
      </c>
      <c r="G28" s="14">
        <f t="shared" si="29"/>
        <v>1.7709999999999999</v>
      </c>
      <c r="H28" s="18" t="s">
        <v>6</v>
      </c>
      <c r="I28" s="65">
        <f t="shared" si="13"/>
        <v>0</v>
      </c>
      <c r="J28" s="70">
        <f t="shared" si="14"/>
        <v>0</v>
      </c>
      <c r="K28" s="66" t="str">
        <f>IF(K$7="","",IF(INDEX('Rooms Walls and Glass'!$D$23:$AB$30, MATCH($D28,'Rooms Walls and Glass'!$A$23:$A$30,0), MATCH('Unit 2 b'!K$7,'Rooms Walls and Glass'!$D$1:$AB$1,0))=0,"",INDEX('Rooms Walls and Glass'!$D$23:$AB$30, MATCH($D28,'Rooms Walls and Glass'!$A$23:$A$30,0), MATCH('Unit 2 b'!K$7,'Rooms Walls and Glass'!$D$1:$AB$1,0))))</f>
        <v/>
      </c>
      <c r="L28" s="70" t="str">
        <f t="shared" si="15"/>
        <v>-</v>
      </c>
      <c r="M28" s="66" t="str">
        <f>IF(M$7="","",IF(INDEX('Rooms Walls and Glass'!$D$23:$AB$30, MATCH($D28,'Rooms Walls and Glass'!$A$23:$A$30,0), MATCH('Unit 2 b'!M$7,'Rooms Walls and Glass'!$D$1:$AB$1,0))=0,"",INDEX('Rooms Walls and Glass'!$D$23:$AB$30, MATCH($D28,'Rooms Walls and Glass'!$A$23:$A$30,0), MATCH('Unit 2 b'!M$7,'Rooms Walls and Glass'!$D$1:$AB$1,0))))</f>
        <v/>
      </c>
      <c r="N28" s="70" t="str">
        <f t="shared" si="16"/>
        <v>-</v>
      </c>
      <c r="O28" s="66" t="str">
        <f>IF(O$7="","",IF(INDEX('Rooms Walls and Glass'!$D$23:$AB$30, MATCH($D28,'Rooms Walls and Glass'!$A$23:$A$30,0), MATCH('Unit 2 b'!O$7,'Rooms Walls and Glass'!$D$1:$AB$1,0))=0,"",INDEX('Rooms Walls and Glass'!$D$23:$AB$30, MATCH($D28,'Rooms Walls and Glass'!$A$23:$A$30,0), MATCH('Unit 2 b'!O$7,'Rooms Walls and Glass'!$D$1:$AB$1,0))))</f>
        <v/>
      </c>
      <c r="P28" s="70" t="str">
        <f t="shared" si="17"/>
        <v>-</v>
      </c>
      <c r="Q28" s="66" t="str">
        <f>IF(Q$7="","",IF(INDEX('Rooms Walls and Glass'!$D$23:$AB$30, MATCH($D28,'Rooms Walls and Glass'!$A$23:$A$30,0), MATCH('Unit 2 b'!Q$7,'Rooms Walls and Glass'!$D$1:$AB$1,0))=0,"",INDEX('Rooms Walls and Glass'!$D$23:$AB$30, MATCH($D28,'Rooms Walls and Glass'!$A$23:$A$30,0), MATCH('Unit 2 b'!Q$7,'Rooms Walls and Glass'!$D$1:$AB$1,0))))</f>
        <v/>
      </c>
      <c r="R28" s="70" t="str">
        <f t="shared" si="18"/>
        <v>-</v>
      </c>
      <c r="S28" s="66" t="str">
        <f>IF(S$7="","",IF(INDEX('Rooms Walls and Glass'!$D$23:$AB$30, MATCH($D28,'Rooms Walls and Glass'!$A$23:$A$30,0), MATCH('Unit 2 b'!S$7,'Rooms Walls and Glass'!$D$1:$AB$1,0))=0,"",INDEX('Rooms Walls and Glass'!$D$23:$AB$30, MATCH($D28,'Rooms Walls and Glass'!$A$23:$A$30,0), MATCH('Unit 2 b'!S$7,'Rooms Walls and Glass'!$D$1:$AB$1,0))))</f>
        <v/>
      </c>
      <c r="T28" s="70" t="str">
        <f t="shared" si="19"/>
        <v>-</v>
      </c>
      <c r="U28" s="66" t="str">
        <f>IF(U$7="","",IF(INDEX('Rooms Walls and Glass'!$D$23:$AB$30, MATCH($D28,'Rooms Walls and Glass'!$A$23:$A$30,0), MATCH('Unit 2 b'!U$7,'Rooms Walls and Glass'!$D$1:$AB$1,0))=0,"",INDEX('Rooms Walls and Glass'!$D$23:$AB$30, MATCH($D28,'Rooms Walls and Glass'!$A$23:$A$30,0), MATCH('Unit 2 b'!U$7,'Rooms Walls and Glass'!$D$1:$AB$1,0))))</f>
        <v/>
      </c>
      <c r="V28" s="70" t="str">
        <f t="shared" si="20"/>
        <v>-</v>
      </c>
      <c r="W28" s="66" t="str">
        <f>IF(W$7="","",IF(INDEX('Rooms Walls and Glass'!$D$23:$AB$30, MATCH($D28,'Rooms Walls and Glass'!$A$23:$A$30,0), MATCH('Unit 2 b'!W$7,'Rooms Walls and Glass'!$D$1:$AB$1,0))=0,"",INDEX('Rooms Walls and Glass'!$D$23:$AB$30, MATCH($D28,'Rooms Walls and Glass'!$A$23:$A$30,0), MATCH('Unit 2 b'!W$7,'Rooms Walls and Glass'!$D$1:$AB$1,0))))</f>
        <v/>
      </c>
      <c r="X28" s="70" t="str">
        <f t="shared" si="21"/>
        <v>-</v>
      </c>
      <c r="Y28" s="66" t="str">
        <f>IF(Y$7="","",IF(INDEX('Rooms Walls and Glass'!$D$23:$AB$30, MATCH($D28,'Rooms Walls and Glass'!$A$23:$A$30,0), MATCH('Unit 2 b'!Y$7,'Rooms Walls and Glass'!$D$1:$AB$1,0))=0,"",INDEX('Rooms Walls and Glass'!$D$23:$AB$30, MATCH($D28,'Rooms Walls and Glass'!$A$23:$A$30,0), MATCH('Unit 2 b'!Y$7,'Rooms Walls and Glass'!$D$1:$AB$1,0))))</f>
        <v/>
      </c>
      <c r="Z28" s="70" t="str">
        <f t="shared" si="22"/>
        <v>-</v>
      </c>
      <c r="AA28" s="66" t="str">
        <f>IF(AA$7="","",IF(INDEX('Rooms Walls and Glass'!$D$23:$AB$30, MATCH($D28,'Rooms Walls and Glass'!$A$23:$A$30,0), MATCH('Unit 2 b'!AA$7,'Rooms Walls and Glass'!$D$1:$AB$1,0))=0,"",INDEX('Rooms Walls and Glass'!$D$23:$AB$30, MATCH($D28,'Rooms Walls and Glass'!$A$23:$A$30,0), MATCH('Unit 2 b'!AA$7,'Rooms Walls and Glass'!$D$1:$AB$1,0))))</f>
        <v/>
      </c>
      <c r="AB28" s="70" t="str">
        <f t="shared" si="23"/>
        <v>-</v>
      </c>
      <c r="AC28" s="66" t="str">
        <f>IF(AC$7="","",IF(INDEX('Rooms Walls and Glass'!$D$23:$AB$30, MATCH($D28,'Rooms Walls and Glass'!$A$23:$A$30,0), MATCH('Unit 2 b'!AC$7,'Rooms Walls and Glass'!$D$1:$AB$1,0))=0,"",INDEX('Rooms Walls and Glass'!$D$23:$AB$30, MATCH($D28,'Rooms Walls and Glass'!$A$23:$A$30,0), MATCH('Unit 2 b'!AC$7,'Rooms Walls and Glass'!$D$1:$AB$1,0))))</f>
        <v/>
      </c>
      <c r="AD28" s="70" t="str">
        <f t="shared" si="30"/>
        <v>-</v>
      </c>
      <c r="AE28" s="66" t="str">
        <f>IF(AE$7="","",IF(INDEX('Rooms Walls and Glass'!$D$23:$AB$30, MATCH($D28,'Rooms Walls and Glass'!$A$23:$A$30,0), MATCH('Unit 2 b'!AE$7,'Rooms Walls and Glass'!$D$1:$AB$1,0))=0,"",INDEX('Rooms Walls and Glass'!$D$23:$AB$30, MATCH($D28,'Rooms Walls and Glass'!$A$23:$A$30,0), MATCH('Unit 2 b'!AE$7,'Rooms Walls and Glass'!$D$1:$AB$1,0))))</f>
        <v/>
      </c>
      <c r="AF28" s="70" t="str">
        <f t="shared" si="31"/>
        <v>-</v>
      </c>
      <c r="AG28" s="66" t="str">
        <f>IF(AG$7="","",IF(INDEX('Rooms Walls and Glass'!$D$23:$AB$30, MATCH($D28,'Rooms Walls and Glass'!$A$23:$A$30,0), MATCH('Unit 2 b'!AG$7,'Rooms Walls and Glass'!$D$1:$AB$1,0))=0,"",INDEX('Rooms Walls and Glass'!$D$23:$AB$30, MATCH($D28,'Rooms Walls and Glass'!$A$23:$A$30,0), MATCH('Unit 2 b'!AG$7,'Rooms Walls and Glass'!$D$1:$AB$1,0))))</f>
        <v/>
      </c>
      <c r="AH28" s="70" t="str">
        <f t="shared" si="25"/>
        <v>-</v>
      </c>
      <c r="AI28" s="66" t="str">
        <f>IF(AI$7="","",IF(INDEX('Rooms Walls and Glass'!$D$23:$AB$30, MATCH($D28,'Rooms Walls and Glass'!$A$23:$A$30,0), MATCH('Unit 2 b'!AI$7,'Rooms Walls and Glass'!$D$1:$AB$1,0))=0,"",INDEX('Rooms Walls and Glass'!$D$23:$AB$30, MATCH($D28,'Rooms Walls and Glass'!$A$23:$A$30,0), MATCH('Unit 2 b'!AI$7,'Rooms Walls and Glass'!$D$1:$AB$1,0))))</f>
        <v/>
      </c>
      <c r="AJ28" s="71" t="str">
        <f t="shared" si="26"/>
        <v>-</v>
      </c>
      <c r="AK28" s="66" t="str">
        <f>IF(AK$7="","",IF(INDEX('Rooms Walls and Glass'!$D$23:$AB$30, MATCH($D28,'Rooms Walls and Glass'!$A$23:$A$30,0), MATCH('Unit 2 b'!AK$7,'Rooms Walls and Glass'!$D$1:$AB$1,0))=0,"",INDEX('Rooms Walls and Glass'!$D$23:$AB$30, MATCH($D28,'Rooms Walls and Glass'!$A$23:$A$30,0), MATCH('Unit 2 b'!AK$7,'Rooms Walls and Glass'!$D$1:$AB$1,0))))</f>
        <v/>
      </c>
      <c r="AL28" s="70" t="str">
        <f t="shared" si="27"/>
        <v>-</v>
      </c>
      <c r="AM28" s="66" t="str">
        <f>IF(AM$7="","",IF(INDEX('Rooms Walls and Glass'!$D$23:$AB$30, MATCH($D28,'Rooms Walls and Glass'!$A$23:$A$30,0), MATCH('Unit 2 b'!AM$7,'Rooms Walls and Glass'!$D$1:$AB$1,0))=0,"",INDEX('Rooms Walls and Glass'!$D$23:$AB$30, MATCH($D28,'Rooms Walls and Glass'!$A$23:$A$30,0), MATCH('Unit 2 b'!AM$7,'Rooms Walls and Glass'!$D$1:$AB$1,0))))</f>
        <v/>
      </c>
      <c r="AN28" s="71" t="str">
        <f t="shared" si="28"/>
        <v>-</v>
      </c>
    </row>
    <row r="29" spans="2:40" ht="11.25" customHeight="1" thickBot="1" x14ac:dyDescent="0.2">
      <c r="B29" s="212" t="s">
        <v>78</v>
      </c>
      <c r="C29" s="12" t="s">
        <v>38</v>
      </c>
      <c r="D29" s="13" t="str">
        <f>'Rooms Walls and Glass'!A35</f>
        <v>NorthWest</v>
      </c>
      <c r="E29" s="13">
        <f>INDEX('Glass CLF Calculation'!$A$20:$G$27,MATCH('Unit 2 b'!D29,'Glass CLF Calculation'!$A$20:$A$27,0),7)</f>
        <v>19</v>
      </c>
      <c r="F29" s="14">
        <f>INDEX(Summary!$F$19:$F$30,MATCH('Unit 2 b'!C29,Summary!$D$19:$D$30,0))</f>
        <v>7.6999999999999999E-2</v>
      </c>
      <c r="G29" s="14">
        <f t="shared" si="29"/>
        <v>1.4630000000000001</v>
      </c>
      <c r="H29" s="13" t="s">
        <v>6</v>
      </c>
      <c r="I29" s="65">
        <f t="shared" si="13"/>
        <v>0</v>
      </c>
      <c r="J29" s="65">
        <f t="shared" si="14"/>
        <v>0</v>
      </c>
      <c r="K29" s="66" t="str">
        <f>IF(K$7="","",IF(INDEX('Rooms Walls and Glass'!$D$35:$AB$42, MATCH($D29,'Rooms Walls and Glass'!$A$35:$A$42,0), MATCH('Unit 2 b'!K$7,'Rooms Walls and Glass'!$D$1:$AB$1,0))=0,"",INDEX('Rooms Walls and Glass'!$D$35:$AB$42, MATCH($D29,'Rooms Walls and Glass'!$A$35:$A$42,0), MATCH('Unit 2 b'!K$7,'Rooms Walls and Glass'!$D$1:$AB$1,0))))</f>
        <v/>
      </c>
      <c r="L29" s="65" t="str">
        <f t="shared" si="15"/>
        <v>-</v>
      </c>
      <c r="M29" s="66" t="str">
        <f>IF(M$7="","",IF(INDEX('Rooms Walls and Glass'!$D$35:$AB$42, MATCH($D29,'Rooms Walls and Glass'!$A$35:$A$42,0), MATCH('Unit 2 b'!M$7,'Rooms Walls and Glass'!$D$1:$AB$1,0))=0,"",INDEX('Rooms Walls and Glass'!$D$35:$AB$42, MATCH($D29,'Rooms Walls and Glass'!$A$35:$A$42,0), MATCH('Unit 2 b'!M$7,'Rooms Walls and Glass'!$D$1:$AB$1,0))))</f>
        <v/>
      </c>
      <c r="N29" s="65" t="str">
        <f t="shared" si="16"/>
        <v>-</v>
      </c>
      <c r="O29" s="66" t="str">
        <f>IF(O$7="","",IF(INDEX('Rooms Walls and Glass'!$D$35:$AB$42, MATCH($D29,'Rooms Walls and Glass'!$A$35:$A$42,0), MATCH('Unit 2 b'!O$7,'Rooms Walls and Glass'!$D$1:$AB$1,0))=0,"",INDEX('Rooms Walls and Glass'!$D$35:$AB$42, MATCH($D29,'Rooms Walls and Glass'!$A$35:$A$42,0), MATCH('Unit 2 b'!O$7,'Rooms Walls and Glass'!$D$1:$AB$1,0))))</f>
        <v/>
      </c>
      <c r="P29" s="65" t="str">
        <f t="shared" si="17"/>
        <v>-</v>
      </c>
      <c r="Q29" s="66" t="str">
        <f>IF(Q$7="","",IF(INDEX('Rooms Walls and Glass'!$D$35:$AB$42, MATCH($D29,'Rooms Walls and Glass'!$A$35:$A$42,0), MATCH('Unit 2 b'!Q$7,'Rooms Walls and Glass'!$D$1:$AB$1,0))=0,"",INDEX('Rooms Walls and Glass'!$D$35:$AB$42, MATCH($D29,'Rooms Walls and Glass'!$A$35:$A$42,0), MATCH('Unit 2 b'!Q$7,'Rooms Walls and Glass'!$D$1:$AB$1,0))))</f>
        <v/>
      </c>
      <c r="R29" s="65" t="str">
        <f t="shared" si="18"/>
        <v>-</v>
      </c>
      <c r="S29" s="66" t="str">
        <f>IF(S$7="","",IF(INDEX('Rooms Walls and Glass'!$D$35:$AB$42, MATCH($D29,'Rooms Walls and Glass'!$A$35:$A$42,0), MATCH('Unit 2 b'!S$7,'Rooms Walls and Glass'!$D$1:$AB$1,0))=0,"",INDEX('Rooms Walls and Glass'!$D$35:$AB$42, MATCH($D29,'Rooms Walls and Glass'!$A$35:$A$42,0), MATCH('Unit 2 b'!S$7,'Rooms Walls and Glass'!$D$1:$AB$1,0))))</f>
        <v/>
      </c>
      <c r="T29" s="65" t="str">
        <f t="shared" si="19"/>
        <v>-</v>
      </c>
      <c r="U29" s="66" t="str">
        <f>IF(U$7="","",IF(INDEX('Rooms Walls and Glass'!$D$35:$AB$42, MATCH($D29,'Rooms Walls and Glass'!$A$35:$A$42,0), MATCH('Unit 2 b'!U$7,'Rooms Walls and Glass'!$D$1:$AB$1,0))=0,"",INDEX('Rooms Walls and Glass'!$D$35:$AB$42, MATCH($D29,'Rooms Walls and Glass'!$A$35:$A$42,0), MATCH('Unit 2 b'!U$7,'Rooms Walls and Glass'!$D$1:$AB$1,0))))</f>
        <v/>
      </c>
      <c r="V29" s="65" t="str">
        <f t="shared" si="20"/>
        <v>-</v>
      </c>
      <c r="W29" s="66" t="str">
        <f>IF(W$7="","",IF(INDEX('Rooms Walls and Glass'!$D$35:$AB$42, MATCH($D29,'Rooms Walls and Glass'!$A$35:$A$42,0), MATCH('Unit 2 b'!W$7,'Rooms Walls and Glass'!$D$1:$AB$1,0))=0,"",INDEX('Rooms Walls and Glass'!$D$35:$AB$42, MATCH($D29,'Rooms Walls and Glass'!$A$35:$A$42,0), MATCH('Unit 2 b'!W$7,'Rooms Walls and Glass'!$D$1:$AB$1,0))))</f>
        <v/>
      </c>
      <c r="X29" s="65" t="str">
        <f t="shared" si="21"/>
        <v>-</v>
      </c>
      <c r="Y29" s="66" t="str">
        <f>IF(Y$7="","",IF(INDEX('Rooms Walls and Glass'!$D$35:$AB$42, MATCH($D29,'Rooms Walls and Glass'!$A$35:$A$42,0), MATCH('Unit 2 b'!Y$7,'Rooms Walls and Glass'!$D$1:$AB$1,0))=0,"",INDEX('Rooms Walls and Glass'!$D$35:$AB$42, MATCH($D29,'Rooms Walls and Glass'!$A$35:$A$42,0), MATCH('Unit 2 b'!Y$7,'Rooms Walls and Glass'!$D$1:$AB$1,0))))</f>
        <v/>
      </c>
      <c r="Z29" s="65" t="str">
        <f t="shared" si="22"/>
        <v>-</v>
      </c>
      <c r="AA29" s="66" t="str">
        <f>IF(AA$7="","",IF(INDEX('Rooms Walls and Glass'!$D$35:$AB$42, MATCH($D29,'Rooms Walls and Glass'!$A$35:$A$42,0), MATCH('Unit 2 b'!AA$7,'Rooms Walls and Glass'!$D$1:$AB$1,0))=0,"",INDEX('Rooms Walls and Glass'!$D$35:$AB$42, MATCH($D29,'Rooms Walls and Glass'!$A$35:$A$42,0), MATCH('Unit 2 b'!AA$7,'Rooms Walls and Glass'!$D$1:$AB$1,0))))</f>
        <v/>
      </c>
      <c r="AB29" s="65" t="str">
        <f t="shared" si="23"/>
        <v>-</v>
      </c>
      <c r="AC29" s="66" t="str">
        <f>IF(AC$7="","",IF(INDEX('Rooms Walls and Glass'!$D$35:$AB$42, MATCH($D29,'Rooms Walls and Glass'!$A$35:$A$42,0), MATCH('Unit 2 b'!AC$7,'Rooms Walls and Glass'!$D$1:$AB$1,0))=0,"",INDEX('Rooms Walls and Glass'!$D$35:$AB$42, MATCH($D29,'Rooms Walls and Glass'!$A$35:$A$42,0), MATCH('Unit 2 b'!AC$7,'Rooms Walls and Glass'!$D$1:$AB$1,0))))</f>
        <v/>
      </c>
      <c r="AD29" s="65" t="str">
        <f t="shared" si="30"/>
        <v>-</v>
      </c>
      <c r="AE29" s="66" t="str">
        <f>IF(AE$7="","",IF(INDEX('Rooms Walls and Glass'!$D$35:$AB$42, MATCH($D29,'Rooms Walls and Glass'!$A$35:$A$42,0), MATCH('Unit 2 b'!AE$7,'Rooms Walls and Glass'!$D$1:$AB$1,0))=0,"",INDEX('Rooms Walls and Glass'!$D$35:$AB$42, MATCH($D29,'Rooms Walls and Glass'!$A$35:$A$42,0), MATCH('Unit 2 b'!AE$7,'Rooms Walls and Glass'!$D$1:$AB$1,0))))</f>
        <v/>
      </c>
      <c r="AF29" s="65" t="str">
        <f t="shared" si="31"/>
        <v>-</v>
      </c>
      <c r="AG29" s="66" t="str">
        <f>IF(AG$7="","",IF(INDEX('Rooms Walls and Glass'!$D$35:$AB$42, MATCH($D29,'Rooms Walls and Glass'!$A$35:$A$42,0), MATCH('Unit 2 b'!AG$7,'Rooms Walls and Glass'!$D$1:$AB$1,0))=0,"",INDEX('Rooms Walls and Glass'!$D$35:$AB$42, MATCH($D29,'Rooms Walls and Glass'!$A$35:$A$42,0), MATCH('Unit 2 b'!AG$7,'Rooms Walls and Glass'!$D$1:$AB$1,0))))</f>
        <v/>
      </c>
      <c r="AH29" s="65" t="str">
        <f t="shared" si="25"/>
        <v>-</v>
      </c>
      <c r="AI29" s="66" t="str">
        <f>IF(AI$7="","",IF(INDEX('Rooms Walls and Glass'!$D$35:$AB$42, MATCH($D29,'Rooms Walls and Glass'!$A$35:$A$42,0), MATCH('Unit 2 b'!AI$7,'Rooms Walls and Glass'!$D$1:$AB$1,0))=0,"",INDEX('Rooms Walls and Glass'!$D$35:$AB$42, MATCH($D29,'Rooms Walls and Glass'!$A$35:$A$42,0), MATCH('Unit 2 b'!AI$7,'Rooms Walls and Glass'!$D$1:$AB$1,0))))</f>
        <v/>
      </c>
      <c r="AJ29" s="67" t="str">
        <f t="shared" si="26"/>
        <v>-</v>
      </c>
      <c r="AK29" s="66" t="str">
        <f>IF(AK$7="","",IF(INDEX('Rooms Walls and Glass'!$D$35:$AB$42, MATCH($D29,'Rooms Walls and Glass'!$A$35:$A$42,0), MATCH('Unit 2 b'!AK$7,'Rooms Walls and Glass'!$D$1:$AB$1,0))=0,"",INDEX('Rooms Walls and Glass'!$D$35:$AB$42, MATCH($D29,'Rooms Walls and Glass'!$A$35:$A$42,0), MATCH('Unit 2 b'!AK$7,'Rooms Walls and Glass'!$D$1:$AB$1,0))))</f>
        <v/>
      </c>
      <c r="AL29" s="65" t="str">
        <f t="shared" si="27"/>
        <v>-</v>
      </c>
      <c r="AM29" s="66" t="str">
        <f>IF(AM$7="","",IF(INDEX('Rooms Walls and Glass'!$D$35:$AB$42, MATCH($D29,'Rooms Walls and Glass'!$A$35:$A$42,0), MATCH('Unit 2 b'!AM$7,'Rooms Walls and Glass'!$D$1:$AB$1,0))=0,"",INDEX('Rooms Walls and Glass'!$D$35:$AB$42, MATCH($D29,'Rooms Walls and Glass'!$A$35:$A$42,0), MATCH('Unit 2 b'!AM$7,'Rooms Walls and Glass'!$D$1:$AB$1,0))))</f>
        <v/>
      </c>
      <c r="AN29" s="67" t="str">
        <f t="shared" si="28"/>
        <v>-</v>
      </c>
    </row>
    <row r="30" spans="2:40" ht="11.25" customHeight="1" thickBot="1" x14ac:dyDescent="0.2">
      <c r="B30" s="214"/>
      <c r="C30" s="15" t="s">
        <v>38</v>
      </c>
      <c r="D30" s="13" t="str">
        <f>'Rooms Walls and Glass'!A36</f>
        <v>North</v>
      </c>
      <c r="E30" s="13">
        <f>INDEX('Glass CLF Calculation'!$A$20:$G$27,MATCH('Unit 2 b'!D30,'Glass CLF Calculation'!$A$20:$A$27,0),7)</f>
        <v>13</v>
      </c>
      <c r="F30" s="14">
        <f>INDEX(Summary!$F$19:$F$30,MATCH('Unit 2 b'!C30,Summary!$D$19:$D$30,0))</f>
        <v>7.6999999999999999E-2</v>
      </c>
      <c r="G30" s="14">
        <f t="shared" si="29"/>
        <v>1.0009999999999999</v>
      </c>
      <c r="H30" s="16" t="s">
        <v>6</v>
      </c>
      <c r="I30" s="65">
        <f t="shared" si="13"/>
        <v>0</v>
      </c>
      <c r="J30" s="68">
        <f t="shared" si="14"/>
        <v>0</v>
      </c>
      <c r="K30" s="66" t="str">
        <f>IF(K$7="","",IF(INDEX('Rooms Walls and Glass'!$D$35:$AB$42, MATCH($D30,'Rooms Walls and Glass'!$A$35:$A$42,0), MATCH('Unit 2 b'!K$7,'Rooms Walls and Glass'!$D$1:$AB$1,0))=0,"",INDEX('Rooms Walls and Glass'!$D$35:$AB$42, MATCH($D30,'Rooms Walls and Glass'!$A$35:$A$42,0), MATCH('Unit 2 b'!K$7,'Rooms Walls and Glass'!$D$1:$AB$1,0))))</f>
        <v/>
      </c>
      <c r="L30" s="68" t="str">
        <f t="shared" si="15"/>
        <v>-</v>
      </c>
      <c r="M30" s="66" t="str">
        <f>IF(M$7="","",IF(INDEX('Rooms Walls and Glass'!$D$35:$AB$42, MATCH($D30,'Rooms Walls and Glass'!$A$35:$A$42,0), MATCH('Unit 2 b'!M$7,'Rooms Walls and Glass'!$D$1:$AB$1,0))=0,"",INDEX('Rooms Walls and Glass'!$D$35:$AB$42, MATCH($D30,'Rooms Walls and Glass'!$A$35:$A$42,0), MATCH('Unit 2 b'!M$7,'Rooms Walls and Glass'!$D$1:$AB$1,0))))</f>
        <v/>
      </c>
      <c r="N30" s="68" t="str">
        <f t="shared" si="16"/>
        <v>-</v>
      </c>
      <c r="O30" s="66" t="str">
        <f>IF(O$7="","",IF(INDEX('Rooms Walls and Glass'!$D$35:$AB$42, MATCH($D30,'Rooms Walls and Glass'!$A$35:$A$42,0), MATCH('Unit 2 b'!O$7,'Rooms Walls and Glass'!$D$1:$AB$1,0))=0,"",INDEX('Rooms Walls and Glass'!$D$35:$AB$42, MATCH($D30,'Rooms Walls and Glass'!$A$35:$A$42,0), MATCH('Unit 2 b'!O$7,'Rooms Walls and Glass'!$D$1:$AB$1,0))))</f>
        <v/>
      </c>
      <c r="P30" s="68" t="str">
        <f t="shared" si="17"/>
        <v>-</v>
      </c>
      <c r="Q30" s="66" t="str">
        <f>IF(Q$7="","",IF(INDEX('Rooms Walls and Glass'!$D$35:$AB$42, MATCH($D30,'Rooms Walls and Glass'!$A$35:$A$42,0), MATCH('Unit 2 b'!Q$7,'Rooms Walls and Glass'!$D$1:$AB$1,0))=0,"",INDEX('Rooms Walls and Glass'!$D$35:$AB$42, MATCH($D30,'Rooms Walls and Glass'!$A$35:$A$42,0), MATCH('Unit 2 b'!Q$7,'Rooms Walls and Glass'!$D$1:$AB$1,0))))</f>
        <v/>
      </c>
      <c r="R30" s="68" t="str">
        <f t="shared" si="18"/>
        <v>-</v>
      </c>
      <c r="S30" s="66" t="str">
        <f>IF(S$7="","",IF(INDEX('Rooms Walls and Glass'!$D$35:$AB$42, MATCH($D30,'Rooms Walls and Glass'!$A$35:$A$42,0), MATCH('Unit 2 b'!S$7,'Rooms Walls and Glass'!$D$1:$AB$1,0))=0,"",INDEX('Rooms Walls and Glass'!$D$35:$AB$42, MATCH($D30,'Rooms Walls and Glass'!$A$35:$A$42,0), MATCH('Unit 2 b'!S$7,'Rooms Walls and Glass'!$D$1:$AB$1,0))))</f>
        <v/>
      </c>
      <c r="T30" s="68" t="str">
        <f t="shared" si="19"/>
        <v>-</v>
      </c>
      <c r="U30" s="66" t="str">
        <f>IF(U$7="","",IF(INDEX('Rooms Walls and Glass'!$D$35:$AB$42, MATCH($D30,'Rooms Walls and Glass'!$A$35:$A$42,0), MATCH('Unit 2 b'!U$7,'Rooms Walls and Glass'!$D$1:$AB$1,0))=0,"",INDEX('Rooms Walls and Glass'!$D$35:$AB$42, MATCH($D30,'Rooms Walls and Glass'!$A$35:$A$42,0), MATCH('Unit 2 b'!U$7,'Rooms Walls and Glass'!$D$1:$AB$1,0))))</f>
        <v/>
      </c>
      <c r="V30" s="68" t="str">
        <f t="shared" si="20"/>
        <v>-</v>
      </c>
      <c r="W30" s="66" t="str">
        <f>IF(W$7="","",IF(INDEX('Rooms Walls and Glass'!$D$35:$AB$42, MATCH($D30,'Rooms Walls and Glass'!$A$35:$A$42,0), MATCH('Unit 2 b'!W$7,'Rooms Walls and Glass'!$D$1:$AB$1,0))=0,"",INDEX('Rooms Walls and Glass'!$D$35:$AB$42, MATCH($D30,'Rooms Walls and Glass'!$A$35:$A$42,0), MATCH('Unit 2 b'!W$7,'Rooms Walls and Glass'!$D$1:$AB$1,0))))</f>
        <v/>
      </c>
      <c r="X30" s="68" t="str">
        <f t="shared" si="21"/>
        <v>-</v>
      </c>
      <c r="Y30" s="66" t="str">
        <f>IF(Y$7="","",IF(INDEX('Rooms Walls and Glass'!$D$35:$AB$42, MATCH($D30,'Rooms Walls and Glass'!$A$35:$A$42,0), MATCH('Unit 2 b'!Y$7,'Rooms Walls and Glass'!$D$1:$AB$1,0))=0,"",INDEX('Rooms Walls and Glass'!$D$35:$AB$42, MATCH($D30,'Rooms Walls and Glass'!$A$35:$A$42,0), MATCH('Unit 2 b'!Y$7,'Rooms Walls and Glass'!$D$1:$AB$1,0))))</f>
        <v/>
      </c>
      <c r="Z30" s="68" t="str">
        <f t="shared" si="22"/>
        <v>-</v>
      </c>
      <c r="AA30" s="66" t="str">
        <f>IF(AA$7="","",IF(INDEX('Rooms Walls and Glass'!$D$35:$AB$42, MATCH($D30,'Rooms Walls and Glass'!$A$35:$A$42,0), MATCH('Unit 2 b'!AA$7,'Rooms Walls and Glass'!$D$1:$AB$1,0))=0,"",INDEX('Rooms Walls and Glass'!$D$35:$AB$42, MATCH($D30,'Rooms Walls and Glass'!$A$35:$A$42,0), MATCH('Unit 2 b'!AA$7,'Rooms Walls and Glass'!$D$1:$AB$1,0))))</f>
        <v/>
      </c>
      <c r="AB30" s="68" t="str">
        <f t="shared" si="23"/>
        <v>-</v>
      </c>
      <c r="AC30" s="66" t="str">
        <f>IF(AC$7="","",IF(INDEX('Rooms Walls and Glass'!$D$35:$AB$42, MATCH($D30,'Rooms Walls and Glass'!$A$35:$A$42,0), MATCH('Unit 2 b'!AC$7,'Rooms Walls and Glass'!$D$1:$AB$1,0))=0,"",INDEX('Rooms Walls and Glass'!$D$35:$AB$42, MATCH($D30,'Rooms Walls and Glass'!$A$35:$A$42,0), MATCH('Unit 2 b'!AC$7,'Rooms Walls and Glass'!$D$1:$AB$1,0))))</f>
        <v/>
      </c>
      <c r="AD30" s="68" t="str">
        <f t="shared" si="30"/>
        <v>-</v>
      </c>
      <c r="AE30" s="66" t="str">
        <f>IF(AE$7="","",IF(INDEX('Rooms Walls and Glass'!$D$35:$AB$42, MATCH($D30,'Rooms Walls and Glass'!$A$35:$A$42,0), MATCH('Unit 2 b'!AE$7,'Rooms Walls and Glass'!$D$1:$AB$1,0))=0,"",INDEX('Rooms Walls and Glass'!$D$35:$AB$42, MATCH($D30,'Rooms Walls and Glass'!$A$35:$A$42,0), MATCH('Unit 2 b'!AE$7,'Rooms Walls and Glass'!$D$1:$AB$1,0))))</f>
        <v/>
      </c>
      <c r="AF30" s="68" t="str">
        <f t="shared" si="31"/>
        <v>-</v>
      </c>
      <c r="AG30" s="66" t="str">
        <f>IF(AG$7="","",IF(INDEX('Rooms Walls and Glass'!$D$35:$AB$42, MATCH($D30,'Rooms Walls and Glass'!$A$35:$A$42,0), MATCH('Unit 2 b'!AG$7,'Rooms Walls and Glass'!$D$1:$AB$1,0))=0,"",INDEX('Rooms Walls and Glass'!$D$35:$AB$42, MATCH($D30,'Rooms Walls and Glass'!$A$35:$A$42,0), MATCH('Unit 2 b'!AG$7,'Rooms Walls and Glass'!$D$1:$AB$1,0))))</f>
        <v/>
      </c>
      <c r="AH30" s="68" t="str">
        <f t="shared" si="25"/>
        <v>-</v>
      </c>
      <c r="AI30" s="66" t="str">
        <f>IF(AI$7="","",IF(INDEX('Rooms Walls and Glass'!$D$35:$AB$42, MATCH($D30,'Rooms Walls and Glass'!$A$35:$A$42,0), MATCH('Unit 2 b'!AI$7,'Rooms Walls and Glass'!$D$1:$AB$1,0))=0,"",INDEX('Rooms Walls and Glass'!$D$35:$AB$42, MATCH($D30,'Rooms Walls and Glass'!$A$35:$A$42,0), MATCH('Unit 2 b'!AI$7,'Rooms Walls and Glass'!$D$1:$AB$1,0))))</f>
        <v/>
      </c>
      <c r="AJ30" s="69" t="str">
        <f t="shared" si="26"/>
        <v>-</v>
      </c>
      <c r="AK30" s="66" t="str">
        <f>IF(AK$7="","",IF(INDEX('Rooms Walls and Glass'!$D$35:$AB$42, MATCH($D30,'Rooms Walls and Glass'!$A$35:$A$42,0), MATCH('Unit 2 b'!AK$7,'Rooms Walls and Glass'!$D$1:$AB$1,0))=0,"",INDEX('Rooms Walls and Glass'!$D$35:$AB$42, MATCH($D30,'Rooms Walls and Glass'!$A$35:$A$42,0), MATCH('Unit 2 b'!AK$7,'Rooms Walls and Glass'!$D$1:$AB$1,0))))</f>
        <v/>
      </c>
      <c r="AL30" s="68" t="str">
        <f t="shared" si="27"/>
        <v>-</v>
      </c>
      <c r="AM30" s="66" t="str">
        <f>IF(AM$7="","",IF(INDEX('Rooms Walls and Glass'!$D$35:$AB$42, MATCH($D30,'Rooms Walls and Glass'!$A$35:$A$42,0), MATCH('Unit 2 b'!AM$7,'Rooms Walls and Glass'!$D$1:$AB$1,0))=0,"",INDEX('Rooms Walls and Glass'!$D$35:$AB$42, MATCH($D30,'Rooms Walls and Glass'!$A$35:$A$42,0), MATCH('Unit 2 b'!AM$7,'Rooms Walls and Glass'!$D$1:$AB$1,0))))</f>
        <v/>
      </c>
      <c r="AN30" s="69" t="str">
        <f t="shared" si="28"/>
        <v>-</v>
      </c>
    </row>
    <row r="31" spans="2:40" ht="11.25" customHeight="1" thickBot="1" x14ac:dyDescent="0.2">
      <c r="B31" s="214"/>
      <c r="C31" s="15" t="s">
        <v>38</v>
      </c>
      <c r="D31" s="13" t="str">
        <f>'Rooms Walls and Glass'!A37</f>
        <v>NorthEast</v>
      </c>
      <c r="E31" s="13">
        <f>INDEX('Glass CLF Calculation'!$A$20:$G$27,MATCH('Unit 2 b'!D31,'Glass CLF Calculation'!$A$20:$A$27,0),7)</f>
        <v>19</v>
      </c>
      <c r="F31" s="14">
        <f>INDEX(Summary!$F$19:$F$30,MATCH('Unit 2 b'!C31,Summary!$D$19:$D$30,0))</f>
        <v>7.6999999999999999E-2</v>
      </c>
      <c r="G31" s="14">
        <f t="shared" si="29"/>
        <v>1.4630000000000001</v>
      </c>
      <c r="H31" s="16" t="s">
        <v>6</v>
      </c>
      <c r="I31" s="65">
        <f t="shared" si="13"/>
        <v>0</v>
      </c>
      <c r="J31" s="68">
        <f t="shared" si="14"/>
        <v>0</v>
      </c>
      <c r="K31" s="66" t="str">
        <f>IF(K$7="","",IF(INDEX('Rooms Walls and Glass'!$D$35:$AB$42, MATCH($D31,'Rooms Walls and Glass'!$A$35:$A$42,0), MATCH('Unit 2 b'!K$7,'Rooms Walls and Glass'!$D$1:$AB$1,0))=0,"",INDEX('Rooms Walls and Glass'!$D$35:$AB$42, MATCH($D31,'Rooms Walls and Glass'!$A$35:$A$42,0), MATCH('Unit 2 b'!K$7,'Rooms Walls and Glass'!$D$1:$AB$1,0))))</f>
        <v/>
      </c>
      <c r="L31" s="68" t="str">
        <f t="shared" si="15"/>
        <v>-</v>
      </c>
      <c r="M31" s="66" t="str">
        <f>IF(M$7="","",IF(INDEX('Rooms Walls and Glass'!$D$35:$AB$42, MATCH($D31,'Rooms Walls and Glass'!$A$35:$A$42,0), MATCH('Unit 2 b'!M$7,'Rooms Walls and Glass'!$D$1:$AB$1,0))=0,"",INDEX('Rooms Walls and Glass'!$D$35:$AB$42, MATCH($D31,'Rooms Walls and Glass'!$A$35:$A$42,0), MATCH('Unit 2 b'!M$7,'Rooms Walls and Glass'!$D$1:$AB$1,0))))</f>
        <v/>
      </c>
      <c r="N31" s="68" t="str">
        <f t="shared" si="16"/>
        <v>-</v>
      </c>
      <c r="O31" s="66" t="str">
        <f>IF(O$7="","",IF(INDEX('Rooms Walls and Glass'!$D$35:$AB$42, MATCH($D31,'Rooms Walls and Glass'!$A$35:$A$42,0), MATCH('Unit 2 b'!O$7,'Rooms Walls and Glass'!$D$1:$AB$1,0))=0,"",INDEX('Rooms Walls and Glass'!$D$35:$AB$42, MATCH($D31,'Rooms Walls and Glass'!$A$35:$A$42,0), MATCH('Unit 2 b'!O$7,'Rooms Walls and Glass'!$D$1:$AB$1,0))))</f>
        <v/>
      </c>
      <c r="P31" s="68" t="str">
        <f t="shared" si="17"/>
        <v>-</v>
      </c>
      <c r="Q31" s="66" t="str">
        <f>IF(Q$7="","",IF(INDEX('Rooms Walls and Glass'!$D$35:$AB$42, MATCH($D31,'Rooms Walls and Glass'!$A$35:$A$42,0), MATCH('Unit 2 b'!Q$7,'Rooms Walls and Glass'!$D$1:$AB$1,0))=0,"",INDEX('Rooms Walls and Glass'!$D$35:$AB$42, MATCH($D31,'Rooms Walls and Glass'!$A$35:$A$42,0), MATCH('Unit 2 b'!Q$7,'Rooms Walls and Glass'!$D$1:$AB$1,0))))</f>
        <v/>
      </c>
      <c r="R31" s="68" t="str">
        <f t="shared" si="18"/>
        <v>-</v>
      </c>
      <c r="S31" s="66" t="str">
        <f>IF(S$7="","",IF(INDEX('Rooms Walls and Glass'!$D$35:$AB$42, MATCH($D31,'Rooms Walls and Glass'!$A$35:$A$42,0), MATCH('Unit 2 b'!S$7,'Rooms Walls and Glass'!$D$1:$AB$1,0))=0,"",INDEX('Rooms Walls and Glass'!$D$35:$AB$42, MATCH($D31,'Rooms Walls and Glass'!$A$35:$A$42,0), MATCH('Unit 2 b'!S$7,'Rooms Walls and Glass'!$D$1:$AB$1,0))))</f>
        <v/>
      </c>
      <c r="T31" s="68" t="str">
        <f t="shared" si="19"/>
        <v>-</v>
      </c>
      <c r="U31" s="66" t="str">
        <f>IF(U$7="","",IF(INDEX('Rooms Walls and Glass'!$D$35:$AB$42, MATCH($D31,'Rooms Walls and Glass'!$A$35:$A$42,0), MATCH('Unit 2 b'!U$7,'Rooms Walls and Glass'!$D$1:$AB$1,0))=0,"",INDEX('Rooms Walls and Glass'!$D$35:$AB$42, MATCH($D31,'Rooms Walls and Glass'!$A$35:$A$42,0), MATCH('Unit 2 b'!U$7,'Rooms Walls and Glass'!$D$1:$AB$1,0))))</f>
        <v/>
      </c>
      <c r="V31" s="68" t="str">
        <f t="shared" si="20"/>
        <v>-</v>
      </c>
      <c r="W31" s="66" t="str">
        <f>IF(W$7="","",IF(INDEX('Rooms Walls and Glass'!$D$35:$AB$42, MATCH($D31,'Rooms Walls and Glass'!$A$35:$A$42,0), MATCH('Unit 2 b'!W$7,'Rooms Walls and Glass'!$D$1:$AB$1,0))=0,"",INDEX('Rooms Walls and Glass'!$D$35:$AB$42, MATCH($D31,'Rooms Walls and Glass'!$A$35:$A$42,0), MATCH('Unit 2 b'!W$7,'Rooms Walls and Glass'!$D$1:$AB$1,0))))</f>
        <v/>
      </c>
      <c r="X31" s="68" t="str">
        <f t="shared" si="21"/>
        <v>-</v>
      </c>
      <c r="Y31" s="66" t="str">
        <f>IF(Y$7="","",IF(INDEX('Rooms Walls and Glass'!$D$35:$AB$42, MATCH($D31,'Rooms Walls and Glass'!$A$35:$A$42,0), MATCH('Unit 2 b'!Y$7,'Rooms Walls and Glass'!$D$1:$AB$1,0))=0,"",INDEX('Rooms Walls and Glass'!$D$35:$AB$42, MATCH($D31,'Rooms Walls and Glass'!$A$35:$A$42,0), MATCH('Unit 2 b'!Y$7,'Rooms Walls and Glass'!$D$1:$AB$1,0))))</f>
        <v/>
      </c>
      <c r="Z31" s="68" t="str">
        <f t="shared" si="22"/>
        <v>-</v>
      </c>
      <c r="AA31" s="66" t="str">
        <f>IF(AA$7="","",IF(INDEX('Rooms Walls and Glass'!$D$35:$AB$42, MATCH($D31,'Rooms Walls and Glass'!$A$35:$A$42,0), MATCH('Unit 2 b'!AA$7,'Rooms Walls and Glass'!$D$1:$AB$1,0))=0,"",INDEX('Rooms Walls and Glass'!$D$35:$AB$42, MATCH($D31,'Rooms Walls and Glass'!$A$35:$A$42,0), MATCH('Unit 2 b'!AA$7,'Rooms Walls and Glass'!$D$1:$AB$1,0))))</f>
        <v/>
      </c>
      <c r="AB31" s="68" t="str">
        <f t="shared" si="23"/>
        <v>-</v>
      </c>
      <c r="AC31" s="66" t="str">
        <f>IF(AC$7="","",IF(INDEX('Rooms Walls and Glass'!$D$35:$AB$42, MATCH($D31,'Rooms Walls and Glass'!$A$35:$A$42,0), MATCH('Unit 2 b'!AC$7,'Rooms Walls and Glass'!$D$1:$AB$1,0))=0,"",INDEX('Rooms Walls and Glass'!$D$35:$AB$42, MATCH($D31,'Rooms Walls and Glass'!$A$35:$A$42,0), MATCH('Unit 2 b'!AC$7,'Rooms Walls and Glass'!$D$1:$AB$1,0))))</f>
        <v/>
      </c>
      <c r="AD31" s="68" t="str">
        <f t="shared" si="30"/>
        <v>-</v>
      </c>
      <c r="AE31" s="66" t="str">
        <f>IF(AE$7="","",IF(INDEX('Rooms Walls and Glass'!$D$35:$AB$42, MATCH($D31,'Rooms Walls and Glass'!$A$35:$A$42,0), MATCH('Unit 2 b'!AE$7,'Rooms Walls and Glass'!$D$1:$AB$1,0))=0,"",INDEX('Rooms Walls and Glass'!$D$35:$AB$42, MATCH($D31,'Rooms Walls and Glass'!$A$35:$A$42,0), MATCH('Unit 2 b'!AE$7,'Rooms Walls and Glass'!$D$1:$AB$1,0))))</f>
        <v/>
      </c>
      <c r="AF31" s="68" t="str">
        <f t="shared" si="31"/>
        <v>-</v>
      </c>
      <c r="AG31" s="66" t="str">
        <f>IF(AG$7="","",IF(INDEX('Rooms Walls and Glass'!$D$35:$AB$42, MATCH($D31,'Rooms Walls and Glass'!$A$35:$A$42,0), MATCH('Unit 2 b'!AG$7,'Rooms Walls and Glass'!$D$1:$AB$1,0))=0,"",INDEX('Rooms Walls and Glass'!$D$35:$AB$42, MATCH($D31,'Rooms Walls and Glass'!$A$35:$A$42,0), MATCH('Unit 2 b'!AG$7,'Rooms Walls and Glass'!$D$1:$AB$1,0))))</f>
        <v/>
      </c>
      <c r="AH31" s="68" t="str">
        <f t="shared" si="25"/>
        <v>-</v>
      </c>
      <c r="AI31" s="66" t="str">
        <f>IF(AI$7="","",IF(INDEX('Rooms Walls and Glass'!$D$35:$AB$42, MATCH($D31,'Rooms Walls and Glass'!$A$35:$A$42,0), MATCH('Unit 2 b'!AI$7,'Rooms Walls and Glass'!$D$1:$AB$1,0))=0,"",INDEX('Rooms Walls and Glass'!$D$35:$AB$42, MATCH($D31,'Rooms Walls and Glass'!$A$35:$A$42,0), MATCH('Unit 2 b'!AI$7,'Rooms Walls and Glass'!$D$1:$AB$1,0))))</f>
        <v/>
      </c>
      <c r="AJ31" s="69" t="str">
        <f t="shared" si="26"/>
        <v>-</v>
      </c>
      <c r="AK31" s="66" t="str">
        <f>IF(AK$7="","",IF(INDEX('Rooms Walls and Glass'!$D$35:$AB$42, MATCH($D31,'Rooms Walls and Glass'!$A$35:$A$42,0), MATCH('Unit 2 b'!AK$7,'Rooms Walls and Glass'!$D$1:$AB$1,0))=0,"",INDEX('Rooms Walls and Glass'!$D$35:$AB$42, MATCH($D31,'Rooms Walls and Glass'!$A$35:$A$42,0), MATCH('Unit 2 b'!AK$7,'Rooms Walls and Glass'!$D$1:$AB$1,0))))</f>
        <v/>
      </c>
      <c r="AL31" s="68" t="str">
        <f t="shared" si="27"/>
        <v>-</v>
      </c>
      <c r="AM31" s="66" t="str">
        <f>IF(AM$7="","",IF(INDEX('Rooms Walls and Glass'!$D$35:$AB$42, MATCH($D31,'Rooms Walls and Glass'!$A$35:$A$42,0), MATCH('Unit 2 b'!AM$7,'Rooms Walls and Glass'!$D$1:$AB$1,0))=0,"",INDEX('Rooms Walls and Glass'!$D$35:$AB$42, MATCH($D31,'Rooms Walls and Glass'!$A$35:$A$42,0), MATCH('Unit 2 b'!AM$7,'Rooms Walls and Glass'!$D$1:$AB$1,0))))</f>
        <v/>
      </c>
      <c r="AN31" s="69" t="str">
        <f t="shared" si="28"/>
        <v>-</v>
      </c>
    </row>
    <row r="32" spans="2:40" ht="11.25" customHeight="1" thickBot="1" x14ac:dyDescent="0.2">
      <c r="B32" s="214"/>
      <c r="C32" s="15" t="s">
        <v>38</v>
      </c>
      <c r="D32" s="13" t="str">
        <f>'Rooms Walls and Glass'!A38</f>
        <v>East</v>
      </c>
      <c r="E32" s="13">
        <f>INDEX('Glass CLF Calculation'!$A$20:$G$27,MATCH('Unit 2 b'!D32,'Glass CLF Calculation'!$A$20:$A$27,0),7)</f>
        <v>23</v>
      </c>
      <c r="F32" s="14">
        <f>INDEX(Summary!$F$19:$F$30,MATCH('Unit 2 b'!C32,Summary!$D$19:$D$30,0))</f>
        <v>7.6999999999999999E-2</v>
      </c>
      <c r="G32" s="14">
        <f t="shared" si="29"/>
        <v>1.7709999999999999</v>
      </c>
      <c r="H32" s="16" t="s">
        <v>6</v>
      </c>
      <c r="I32" s="65">
        <f t="shared" si="13"/>
        <v>0</v>
      </c>
      <c r="J32" s="68">
        <f t="shared" si="14"/>
        <v>0</v>
      </c>
      <c r="K32" s="66" t="str">
        <f>IF(K$7="","",IF(INDEX('Rooms Walls and Glass'!$D$35:$AB$42, MATCH($D32,'Rooms Walls and Glass'!$A$35:$A$42,0), MATCH('Unit 2 b'!K$7,'Rooms Walls and Glass'!$D$1:$AB$1,0))=0,"",INDEX('Rooms Walls and Glass'!$D$35:$AB$42, MATCH($D32,'Rooms Walls and Glass'!$A$35:$A$42,0), MATCH('Unit 2 b'!K$7,'Rooms Walls and Glass'!$D$1:$AB$1,0))))</f>
        <v/>
      </c>
      <c r="L32" s="68" t="str">
        <f t="shared" si="15"/>
        <v>-</v>
      </c>
      <c r="M32" s="66" t="str">
        <f>IF(M$7="","",IF(INDEX('Rooms Walls and Glass'!$D$35:$AB$42, MATCH($D32,'Rooms Walls and Glass'!$A$35:$A$42,0), MATCH('Unit 2 b'!M$7,'Rooms Walls and Glass'!$D$1:$AB$1,0))=0,"",INDEX('Rooms Walls and Glass'!$D$35:$AB$42, MATCH($D32,'Rooms Walls and Glass'!$A$35:$A$42,0), MATCH('Unit 2 b'!M$7,'Rooms Walls and Glass'!$D$1:$AB$1,0))))</f>
        <v/>
      </c>
      <c r="N32" s="68" t="str">
        <f t="shared" si="16"/>
        <v>-</v>
      </c>
      <c r="O32" s="66" t="str">
        <f>IF(O$7="","",IF(INDEX('Rooms Walls and Glass'!$D$35:$AB$42, MATCH($D32,'Rooms Walls and Glass'!$A$35:$A$42,0), MATCH('Unit 2 b'!O$7,'Rooms Walls and Glass'!$D$1:$AB$1,0))=0,"",INDEX('Rooms Walls and Glass'!$D$35:$AB$42, MATCH($D32,'Rooms Walls and Glass'!$A$35:$A$42,0), MATCH('Unit 2 b'!O$7,'Rooms Walls and Glass'!$D$1:$AB$1,0))))</f>
        <v/>
      </c>
      <c r="P32" s="68" t="str">
        <f t="shared" si="17"/>
        <v>-</v>
      </c>
      <c r="Q32" s="66" t="str">
        <f>IF(Q$7="","",IF(INDEX('Rooms Walls and Glass'!$D$35:$AB$42, MATCH($D32,'Rooms Walls and Glass'!$A$35:$A$42,0), MATCH('Unit 2 b'!Q$7,'Rooms Walls and Glass'!$D$1:$AB$1,0))=0,"",INDEX('Rooms Walls and Glass'!$D$35:$AB$42, MATCH($D32,'Rooms Walls and Glass'!$A$35:$A$42,0), MATCH('Unit 2 b'!Q$7,'Rooms Walls and Glass'!$D$1:$AB$1,0))))</f>
        <v/>
      </c>
      <c r="R32" s="68" t="str">
        <f t="shared" si="18"/>
        <v>-</v>
      </c>
      <c r="S32" s="66" t="str">
        <f>IF(S$7="","",IF(INDEX('Rooms Walls and Glass'!$D$35:$AB$42, MATCH($D32,'Rooms Walls and Glass'!$A$35:$A$42,0), MATCH('Unit 2 b'!S$7,'Rooms Walls and Glass'!$D$1:$AB$1,0))=0,"",INDEX('Rooms Walls and Glass'!$D$35:$AB$42, MATCH($D32,'Rooms Walls and Glass'!$A$35:$A$42,0), MATCH('Unit 2 b'!S$7,'Rooms Walls and Glass'!$D$1:$AB$1,0))))</f>
        <v/>
      </c>
      <c r="T32" s="68" t="str">
        <f t="shared" si="19"/>
        <v>-</v>
      </c>
      <c r="U32" s="66" t="str">
        <f>IF(U$7="","",IF(INDEX('Rooms Walls and Glass'!$D$35:$AB$42, MATCH($D32,'Rooms Walls and Glass'!$A$35:$A$42,0), MATCH('Unit 2 b'!U$7,'Rooms Walls and Glass'!$D$1:$AB$1,0))=0,"",INDEX('Rooms Walls and Glass'!$D$35:$AB$42, MATCH($D32,'Rooms Walls and Glass'!$A$35:$A$42,0), MATCH('Unit 2 b'!U$7,'Rooms Walls and Glass'!$D$1:$AB$1,0))))</f>
        <v/>
      </c>
      <c r="V32" s="68" t="str">
        <f t="shared" si="20"/>
        <v>-</v>
      </c>
      <c r="W32" s="66" t="str">
        <f>IF(W$7="","",IF(INDEX('Rooms Walls and Glass'!$D$35:$AB$42, MATCH($D32,'Rooms Walls and Glass'!$A$35:$A$42,0), MATCH('Unit 2 b'!W$7,'Rooms Walls and Glass'!$D$1:$AB$1,0))=0,"",INDEX('Rooms Walls and Glass'!$D$35:$AB$42, MATCH($D32,'Rooms Walls and Glass'!$A$35:$A$42,0), MATCH('Unit 2 b'!W$7,'Rooms Walls and Glass'!$D$1:$AB$1,0))))</f>
        <v/>
      </c>
      <c r="X32" s="68" t="str">
        <f t="shared" si="21"/>
        <v>-</v>
      </c>
      <c r="Y32" s="66" t="str">
        <f>IF(Y$7="","",IF(INDEX('Rooms Walls and Glass'!$D$35:$AB$42, MATCH($D32,'Rooms Walls and Glass'!$A$35:$A$42,0), MATCH('Unit 2 b'!Y$7,'Rooms Walls and Glass'!$D$1:$AB$1,0))=0,"",INDEX('Rooms Walls and Glass'!$D$35:$AB$42, MATCH($D32,'Rooms Walls and Glass'!$A$35:$A$42,0), MATCH('Unit 2 b'!Y$7,'Rooms Walls and Glass'!$D$1:$AB$1,0))))</f>
        <v/>
      </c>
      <c r="Z32" s="68" t="str">
        <f t="shared" si="22"/>
        <v>-</v>
      </c>
      <c r="AA32" s="66" t="str">
        <f>IF(AA$7="","",IF(INDEX('Rooms Walls and Glass'!$D$35:$AB$42, MATCH($D32,'Rooms Walls and Glass'!$A$35:$A$42,0), MATCH('Unit 2 b'!AA$7,'Rooms Walls and Glass'!$D$1:$AB$1,0))=0,"",INDEX('Rooms Walls and Glass'!$D$35:$AB$42, MATCH($D32,'Rooms Walls and Glass'!$A$35:$A$42,0), MATCH('Unit 2 b'!AA$7,'Rooms Walls and Glass'!$D$1:$AB$1,0))))</f>
        <v/>
      </c>
      <c r="AB32" s="68" t="str">
        <f t="shared" si="23"/>
        <v>-</v>
      </c>
      <c r="AC32" s="66" t="str">
        <f>IF(AC$7="","",IF(INDEX('Rooms Walls and Glass'!$D$35:$AB$42, MATCH($D32,'Rooms Walls and Glass'!$A$35:$A$42,0), MATCH('Unit 2 b'!AC$7,'Rooms Walls and Glass'!$D$1:$AB$1,0))=0,"",INDEX('Rooms Walls and Glass'!$D$35:$AB$42, MATCH($D32,'Rooms Walls and Glass'!$A$35:$A$42,0), MATCH('Unit 2 b'!AC$7,'Rooms Walls and Glass'!$D$1:$AB$1,0))))</f>
        <v/>
      </c>
      <c r="AD32" s="68" t="str">
        <f t="shared" si="30"/>
        <v>-</v>
      </c>
      <c r="AE32" s="66" t="str">
        <f>IF(AE$7="","",IF(INDEX('Rooms Walls and Glass'!$D$35:$AB$42, MATCH($D32,'Rooms Walls and Glass'!$A$35:$A$42,0), MATCH('Unit 2 b'!AE$7,'Rooms Walls and Glass'!$D$1:$AB$1,0))=0,"",INDEX('Rooms Walls and Glass'!$D$35:$AB$42, MATCH($D32,'Rooms Walls and Glass'!$A$35:$A$42,0), MATCH('Unit 2 b'!AE$7,'Rooms Walls and Glass'!$D$1:$AB$1,0))))</f>
        <v/>
      </c>
      <c r="AF32" s="68" t="str">
        <f t="shared" si="31"/>
        <v>-</v>
      </c>
      <c r="AG32" s="66" t="str">
        <f>IF(AG$7="","",IF(INDEX('Rooms Walls and Glass'!$D$35:$AB$42, MATCH($D32,'Rooms Walls and Glass'!$A$35:$A$42,0), MATCH('Unit 2 b'!AG$7,'Rooms Walls and Glass'!$D$1:$AB$1,0))=0,"",INDEX('Rooms Walls and Glass'!$D$35:$AB$42, MATCH($D32,'Rooms Walls and Glass'!$A$35:$A$42,0), MATCH('Unit 2 b'!AG$7,'Rooms Walls and Glass'!$D$1:$AB$1,0))))</f>
        <v/>
      </c>
      <c r="AH32" s="68" t="str">
        <f t="shared" si="25"/>
        <v>-</v>
      </c>
      <c r="AI32" s="66" t="str">
        <f>IF(AI$7="","",IF(INDEX('Rooms Walls and Glass'!$D$35:$AB$42, MATCH($D32,'Rooms Walls and Glass'!$A$35:$A$42,0), MATCH('Unit 2 b'!AI$7,'Rooms Walls and Glass'!$D$1:$AB$1,0))=0,"",INDEX('Rooms Walls and Glass'!$D$35:$AB$42, MATCH($D32,'Rooms Walls and Glass'!$A$35:$A$42,0), MATCH('Unit 2 b'!AI$7,'Rooms Walls and Glass'!$D$1:$AB$1,0))))</f>
        <v/>
      </c>
      <c r="AJ32" s="69" t="str">
        <f t="shared" si="26"/>
        <v>-</v>
      </c>
      <c r="AK32" s="66" t="str">
        <f>IF(AK$7="","",IF(INDEX('Rooms Walls and Glass'!$D$35:$AB$42, MATCH($D32,'Rooms Walls and Glass'!$A$35:$A$42,0), MATCH('Unit 2 b'!AK$7,'Rooms Walls and Glass'!$D$1:$AB$1,0))=0,"",INDEX('Rooms Walls and Glass'!$D$35:$AB$42, MATCH($D32,'Rooms Walls and Glass'!$A$35:$A$42,0), MATCH('Unit 2 b'!AK$7,'Rooms Walls and Glass'!$D$1:$AB$1,0))))</f>
        <v/>
      </c>
      <c r="AL32" s="68" t="str">
        <f t="shared" si="27"/>
        <v>-</v>
      </c>
      <c r="AM32" s="66" t="str">
        <f>IF(AM$7="","",IF(INDEX('Rooms Walls and Glass'!$D$35:$AB$42, MATCH($D32,'Rooms Walls and Glass'!$A$35:$A$42,0), MATCH('Unit 2 b'!AM$7,'Rooms Walls and Glass'!$D$1:$AB$1,0))=0,"",INDEX('Rooms Walls and Glass'!$D$35:$AB$42, MATCH($D32,'Rooms Walls and Glass'!$A$35:$A$42,0), MATCH('Unit 2 b'!AM$7,'Rooms Walls and Glass'!$D$1:$AB$1,0))))</f>
        <v/>
      </c>
      <c r="AN32" s="69" t="str">
        <f t="shared" si="28"/>
        <v>-</v>
      </c>
    </row>
    <row r="33" spans="2:40" ht="11.25" customHeight="1" thickBot="1" x14ac:dyDescent="0.2">
      <c r="B33" s="214"/>
      <c r="C33" s="15" t="s">
        <v>38</v>
      </c>
      <c r="D33" s="13" t="str">
        <f>'Rooms Walls and Glass'!A39</f>
        <v>SouthEast</v>
      </c>
      <c r="E33" s="13">
        <f>INDEX('Glass CLF Calculation'!$A$20:$G$27,MATCH('Unit 2 b'!D33,'Glass CLF Calculation'!$A$20:$A$27,0),7)</f>
        <v>21</v>
      </c>
      <c r="F33" s="14">
        <f>INDEX(Summary!$F$19:$F$30,MATCH('Unit 2 b'!C33,Summary!$D$19:$D$30,0))</f>
        <v>7.6999999999999999E-2</v>
      </c>
      <c r="G33" s="14">
        <f t="shared" si="29"/>
        <v>1.617</v>
      </c>
      <c r="H33" s="16" t="s">
        <v>6</v>
      </c>
      <c r="I33" s="65">
        <f t="shared" si="13"/>
        <v>0</v>
      </c>
      <c r="J33" s="68">
        <f t="shared" si="14"/>
        <v>0</v>
      </c>
      <c r="K33" s="66" t="str">
        <f>IF(K$7="","",IF(INDEX('Rooms Walls and Glass'!$D$35:$AB$42, MATCH($D33,'Rooms Walls and Glass'!$A$35:$A$42,0), MATCH('Unit 2 b'!K$7,'Rooms Walls and Glass'!$D$1:$AB$1,0))=0,"",INDEX('Rooms Walls and Glass'!$D$35:$AB$42, MATCH($D33,'Rooms Walls and Glass'!$A$35:$A$42,0), MATCH('Unit 2 b'!K$7,'Rooms Walls and Glass'!$D$1:$AB$1,0))))</f>
        <v/>
      </c>
      <c r="L33" s="68" t="str">
        <f t="shared" si="15"/>
        <v>-</v>
      </c>
      <c r="M33" s="66" t="str">
        <f>IF(M$7="","",IF(INDEX('Rooms Walls and Glass'!$D$35:$AB$42, MATCH($D33,'Rooms Walls and Glass'!$A$35:$A$42,0), MATCH('Unit 2 b'!M$7,'Rooms Walls and Glass'!$D$1:$AB$1,0))=0,"",INDEX('Rooms Walls and Glass'!$D$35:$AB$42, MATCH($D33,'Rooms Walls and Glass'!$A$35:$A$42,0), MATCH('Unit 2 b'!M$7,'Rooms Walls and Glass'!$D$1:$AB$1,0))))</f>
        <v/>
      </c>
      <c r="N33" s="68" t="str">
        <f t="shared" si="16"/>
        <v>-</v>
      </c>
      <c r="O33" s="66" t="str">
        <f>IF(O$7="","",IF(INDEX('Rooms Walls and Glass'!$D$35:$AB$42, MATCH($D33,'Rooms Walls and Glass'!$A$35:$A$42,0), MATCH('Unit 2 b'!O$7,'Rooms Walls and Glass'!$D$1:$AB$1,0))=0,"",INDEX('Rooms Walls and Glass'!$D$35:$AB$42, MATCH($D33,'Rooms Walls and Glass'!$A$35:$A$42,0), MATCH('Unit 2 b'!O$7,'Rooms Walls and Glass'!$D$1:$AB$1,0))))</f>
        <v/>
      </c>
      <c r="P33" s="68" t="str">
        <f t="shared" si="17"/>
        <v>-</v>
      </c>
      <c r="Q33" s="66" t="str">
        <f>IF(Q$7="","",IF(INDEX('Rooms Walls and Glass'!$D$35:$AB$42, MATCH($D33,'Rooms Walls and Glass'!$A$35:$A$42,0), MATCH('Unit 2 b'!Q$7,'Rooms Walls and Glass'!$D$1:$AB$1,0))=0,"",INDEX('Rooms Walls and Glass'!$D$35:$AB$42, MATCH($D33,'Rooms Walls and Glass'!$A$35:$A$42,0), MATCH('Unit 2 b'!Q$7,'Rooms Walls and Glass'!$D$1:$AB$1,0))))</f>
        <v/>
      </c>
      <c r="R33" s="68" t="str">
        <f t="shared" si="18"/>
        <v>-</v>
      </c>
      <c r="S33" s="66" t="str">
        <f>IF(S$7="","",IF(INDEX('Rooms Walls and Glass'!$D$35:$AB$42, MATCH($D33,'Rooms Walls and Glass'!$A$35:$A$42,0), MATCH('Unit 2 b'!S$7,'Rooms Walls and Glass'!$D$1:$AB$1,0))=0,"",INDEX('Rooms Walls and Glass'!$D$35:$AB$42, MATCH($D33,'Rooms Walls and Glass'!$A$35:$A$42,0), MATCH('Unit 2 b'!S$7,'Rooms Walls and Glass'!$D$1:$AB$1,0))))</f>
        <v/>
      </c>
      <c r="T33" s="68" t="str">
        <f t="shared" si="19"/>
        <v>-</v>
      </c>
      <c r="U33" s="66" t="str">
        <f>IF(U$7="","",IF(INDEX('Rooms Walls and Glass'!$D$35:$AB$42, MATCH($D33,'Rooms Walls and Glass'!$A$35:$A$42,0), MATCH('Unit 2 b'!U$7,'Rooms Walls and Glass'!$D$1:$AB$1,0))=0,"",INDEX('Rooms Walls and Glass'!$D$35:$AB$42, MATCH($D33,'Rooms Walls and Glass'!$A$35:$A$42,0), MATCH('Unit 2 b'!U$7,'Rooms Walls and Glass'!$D$1:$AB$1,0))))</f>
        <v/>
      </c>
      <c r="V33" s="68" t="str">
        <f t="shared" si="20"/>
        <v>-</v>
      </c>
      <c r="W33" s="66" t="str">
        <f>IF(W$7="","",IF(INDEX('Rooms Walls and Glass'!$D$35:$AB$42, MATCH($D33,'Rooms Walls and Glass'!$A$35:$A$42,0), MATCH('Unit 2 b'!W$7,'Rooms Walls and Glass'!$D$1:$AB$1,0))=0,"",INDEX('Rooms Walls and Glass'!$D$35:$AB$42, MATCH($D33,'Rooms Walls and Glass'!$A$35:$A$42,0), MATCH('Unit 2 b'!W$7,'Rooms Walls and Glass'!$D$1:$AB$1,0))))</f>
        <v/>
      </c>
      <c r="X33" s="68" t="str">
        <f t="shared" si="21"/>
        <v>-</v>
      </c>
      <c r="Y33" s="66" t="str">
        <f>IF(Y$7="","",IF(INDEX('Rooms Walls and Glass'!$D$35:$AB$42, MATCH($D33,'Rooms Walls and Glass'!$A$35:$A$42,0), MATCH('Unit 2 b'!Y$7,'Rooms Walls and Glass'!$D$1:$AB$1,0))=0,"",INDEX('Rooms Walls and Glass'!$D$35:$AB$42, MATCH($D33,'Rooms Walls and Glass'!$A$35:$A$42,0), MATCH('Unit 2 b'!Y$7,'Rooms Walls and Glass'!$D$1:$AB$1,0))))</f>
        <v/>
      </c>
      <c r="Z33" s="68" t="str">
        <f t="shared" si="22"/>
        <v>-</v>
      </c>
      <c r="AA33" s="66" t="str">
        <f>IF(AA$7="","",IF(INDEX('Rooms Walls and Glass'!$D$35:$AB$42, MATCH($D33,'Rooms Walls and Glass'!$A$35:$A$42,0), MATCH('Unit 2 b'!AA$7,'Rooms Walls and Glass'!$D$1:$AB$1,0))=0,"",INDEX('Rooms Walls and Glass'!$D$35:$AB$42, MATCH($D33,'Rooms Walls and Glass'!$A$35:$A$42,0), MATCH('Unit 2 b'!AA$7,'Rooms Walls and Glass'!$D$1:$AB$1,0))))</f>
        <v/>
      </c>
      <c r="AB33" s="68" t="str">
        <f t="shared" si="23"/>
        <v>-</v>
      </c>
      <c r="AC33" s="66" t="str">
        <f>IF(AC$7="","",IF(INDEX('Rooms Walls and Glass'!$D$35:$AB$42, MATCH($D33,'Rooms Walls and Glass'!$A$35:$A$42,0), MATCH('Unit 2 b'!AC$7,'Rooms Walls and Glass'!$D$1:$AB$1,0))=0,"",INDEX('Rooms Walls and Glass'!$D$35:$AB$42, MATCH($D33,'Rooms Walls and Glass'!$A$35:$A$42,0), MATCH('Unit 2 b'!AC$7,'Rooms Walls and Glass'!$D$1:$AB$1,0))))</f>
        <v/>
      </c>
      <c r="AD33" s="68" t="str">
        <f t="shared" si="30"/>
        <v>-</v>
      </c>
      <c r="AE33" s="66" t="str">
        <f>IF(AE$7="","",IF(INDEX('Rooms Walls and Glass'!$D$35:$AB$42, MATCH($D33,'Rooms Walls and Glass'!$A$35:$A$42,0), MATCH('Unit 2 b'!AE$7,'Rooms Walls and Glass'!$D$1:$AB$1,0))=0,"",INDEX('Rooms Walls and Glass'!$D$35:$AB$42, MATCH($D33,'Rooms Walls and Glass'!$A$35:$A$42,0), MATCH('Unit 2 b'!AE$7,'Rooms Walls and Glass'!$D$1:$AB$1,0))))</f>
        <v/>
      </c>
      <c r="AF33" s="68" t="str">
        <f t="shared" si="31"/>
        <v>-</v>
      </c>
      <c r="AG33" s="66" t="str">
        <f>IF(AG$7="","",IF(INDEX('Rooms Walls and Glass'!$D$35:$AB$42, MATCH($D33,'Rooms Walls and Glass'!$A$35:$A$42,0), MATCH('Unit 2 b'!AG$7,'Rooms Walls and Glass'!$D$1:$AB$1,0))=0,"",INDEX('Rooms Walls and Glass'!$D$35:$AB$42, MATCH($D33,'Rooms Walls and Glass'!$A$35:$A$42,0), MATCH('Unit 2 b'!AG$7,'Rooms Walls and Glass'!$D$1:$AB$1,0))))</f>
        <v/>
      </c>
      <c r="AH33" s="68" t="str">
        <f t="shared" si="25"/>
        <v>-</v>
      </c>
      <c r="AI33" s="66" t="str">
        <f>IF(AI$7="","",IF(INDEX('Rooms Walls and Glass'!$D$35:$AB$42, MATCH($D33,'Rooms Walls and Glass'!$A$35:$A$42,0), MATCH('Unit 2 b'!AI$7,'Rooms Walls and Glass'!$D$1:$AB$1,0))=0,"",INDEX('Rooms Walls and Glass'!$D$35:$AB$42, MATCH($D33,'Rooms Walls and Glass'!$A$35:$A$42,0), MATCH('Unit 2 b'!AI$7,'Rooms Walls and Glass'!$D$1:$AB$1,0))))</f>
        <v/>
      </c>
      <c r="AJ33" s="69" t="str">
        <f t="shared" si="26"/>
        <v>-</v>
      </c>
      <c r="AK33" s="66" t="str">
        <f>IF(AK$7="","",IF(INDEX('Rooms Walls and Glass'!$D$35:$AB$42, MATCH($D33,'Rooms Walls and Glass'!$A$35:$A$42,0), MATCH('Unit 2 b'!AK$7,'Rooms Walls and Glass'!$D$1:$AB$1,0))=0,"",INDEX('Rooms Walls and Glass'!$D$35:$AB$42, MATCH($D33,'Rooms Walls and Glass'!$A$35:$A$42,0), MATCH('Unit 2 b'!AK$7,'Rooms Walls and Glass'!$D$1:$AB$1,0))))</f>
        <v/>
      </c>
      <c r="AL33" s="68" t="str">
        <f t="shared" si="27"/>
        <v>-</v>
      </c>
      <c r="AM33" s="66" t="str">
        <f>IF(AM$7="","",IF(INDEX('Rooms Walls and Glass'!$D$35:$AB$42, MATCH($D33,'Rooms Walls and Glass'!$A$35:$A$42,0), MATCH('Unit 2 b'!AM$7,'Rooms Walls and Glass'!$D$1:$AB$1,0))=0,"",INDEX('Rooms Walls and Glass'!$D$35:$AB$42, MATCH($D33,'Rooms Walls and Glass'!$A$35:$A$42,0), MATCH('Unit 2 b'!AM$7,'Rooms Walls and Glass'!$D$1:$AB$1,0))))</f>
        <v/>
      </c>
      <c r="AN33" s="69" t="str">
        <f t="shared" si="28"/>
        <v>-</v>
      </c>
    </row>
    <row r="34" spans="2:40" ht="11.25" customHeight="1" thickBot="1" x14ac:dyDescent="0.2">
      <c r="B34" s="214"/>
      <c r="C34" s="15" t="s">
        <v>38</v>
      </c>
      <c r="D34" s="13" t="str">
        <f>'Rooms Walls and Glass'!A40</f>
        <v>South</v>
      </c>
      <c r="E34" s="13">
        <f>INDEX('Glass CLF Calculation'!$A$20:$G$27,MATCH('Unit 2 b'!D34,'Glass CLF Calculation'!$A$20:$A$27,0),7)</f>
        <v>16</v>
      </c>
      <c r="F34" s="14">
        <f>INDEX(Summary!$F$19:$F$30,MATCH('Unit 2 b'!C34,Summary!$D$19:$D$30,0))</f>
        <v>7.6999999999999999E-2</v>
      </c>
      <c r="G34" s="14">
        <f t="shared" si="29"/>
        <v>1.232</v>
      </c>
      <c r="H34" s="16" t="s">
        <v>6</v>
      </c>
      <c r="I34" s="65">
        <f t="shared" si="13"/>
        <v>0</v>
      </c>
      <c r="J34" s="68">
        <f t="shared" si="14"/>
        <v>0</v>
      </c>
      <c r="K34" s="66" t="str">
        <f>IF(K$7="","",IF(INDEX('Rooms Walls and Glass'!$D$35:$AB$42, MATCH($D34,'Rooms Walls and Glass'!$A$35:$A$42,0), MATCH('Unit 2 b'!K$7,'Rooms Walls and Glass'!$D$1:$AB$1,0))=0,"",INDEX('Rooms Walls and Glass'!$D$35:$AB$42, MATCH($D34,'Rooms Walls and Glass'!$A$35:$A$42,0), MATCH('Unit 2 b'!K$7,'Rooms Walls and Glass'!$D$1:$AB$1,0))))</f>
        <v/>
      </c>
      <c r="L34" s="68" t="str">
        <f t="shared" si="15"/>
        <v>-</v>
      </c>
      <c r="M34" s="66" t="str">
        <f>IF(M$7="","",IF(INDEX('Rooms Walls and Glass'!$D$35:$AB$42, MATCH($D34,'Rooms Walls and Glass'!$A$35:$A$42,0), MATCH('Unit 2 b'!M$7,'Rooms Walls and Glass'!$D$1:$AB$1,0))=0,"",INDEX('Rooms Walls and Glass'!$D$35:$AB$42, MATCH($D34,'Rooms Walls and Glass'!$A$35:$A$42,0), MATCH('Unit 2 b'!M$7,'Rooms Walls and Glass'!$D$1:$AB$1,0))))</f>
        <v/>
      </c>
      <c r="N34" s="68" t="str">
        <f t="shared" si="16"/>
        <v>-</v>
      </c>
      <c r="O34" s="66" t="str">
        <f>IF(O$7="","",IF(INDEX('Rooms Walls and Glass'!$D$35:$AB$42, MATCH($D34,'Rooms Walls and Glass'!$A$35:$A$42,0), MATCH('Unit 2 b'!O$7,'Rooms Walls and Glass'!$D$1:$AB$1,0))=0,"",INDEX('Rooms Walls and Glass'!$D$35:$AB$42, MATCH($D34,'Rooms Walls and Glass'!$A$35:$A$42,0), MATCH('Unit 2 b'!O$7,'Rooms Walls and Glass'!$D$1:$AB$1,0))))</f>
        <v/>
      </c>
      <c r="P34" s="68" t="str">
        <f t="shared" si="17"/>
        <v>-</v>
      </c>
      <c r="Q34" s="66" t="str">
        <f>IF(Q$7="","",IF(INDEX('Rooms Walls and Glass'!$D$35:$AB$42, MATCH($D34,'Rooms Walls and Glass'!$A$35:$A$42,0), MATCH('Unit 2 b'!Q$7,'Rooms Walls and Glass'!$D$1:$AB$1,0))=0,"",INDEX('Rooms Walls and Glass'!$D$35:$AB$42, MATCH($D34,'Rooms Walls and Glass'!$A$35:$A$42,0), MATCH('Unit 2 b'!Q$7,'Rooms Walls and Glass'!$D$1:$AB$1,0))))</f>
        <v/>
      </c>
      <c r="R34" s="68" t="str">
        <f t="shared" si="18"/>
        <v>-</v>
      </c>
      <c r="S34" s="66" t="str">
        <f>IF(S$7="","",IF(INDEX('Rooms Walls and Glass'!$D$35:$AB$42, MATCH($D34,'Rooms Walls and Glass'!$A$35:$A$42,0), MATCH('Unit 2 b'!S$7,'Rooms Walls and Glass'!$D$1:$AB$1,0))=0,"",INDEX('Rooms Walls and Glass'!$D$35:$AB$42, MATCH($D34,'Rooms Walls and Glass'!$A$35:$A$42,0), MATCH('Unit 2 b'!S$7,'Rooms Walls and Glass'!$D$1:$AB$1,0))))</f>
        <v/>
      </c>
      <c r="T34" s="68" t="str">
        <f t="shared" si="19"/>
        <v>-</v>
      </c>
      <c r="U34" s="66" t="str">
        <f>IF(U$7="","",IF(INDEX('Rooms Walls and Glass'!$D$35:$AB$42, MATCH($D34,'Rooms Walls and Glass'!$A$35:$A$42,0), MATCH('Unit 2 b'!U$7,'Rooms Walls and Glass'!$D$1:$AB$1,0))=0,"",INDEX('Rooms Walls and Glass'!$D$35:$AB$42, MATCH($D34,'Rooms Walls and Glass'!$A$35:$A$42,0), MATCH('Unit 2 b'!U$7,'Rooms Walls and Glass'!$D$1:$AB$1,0))))</f>
        <v/>
      </c>
      <c r="V34" s="68" t="str">
        <f t="shared" si="20"/>
        <v>-</v>
      </c>
      <c r="W34" s="66" t="str">
        <f>IF(W$7="","",IF(INDEX('Rooms Walls and Glass'!$D$35:$AB$42, MATCH($D34,'Rooms Walls and Glass'!$A$35:$A$42,0), MATCH('Unit 2 b'!W$7,'Rooms Walls and Glass'!$D$1:$AB$1,0))=0,"",INDEX('Rooms Walls and Glass'!$D$35:$AB$42, MATCH($D34,'Rooms Walls and Glass'!$A$35:$A$42,0), MATCH('Unit 2 b'!W$7,'Rooms Walls and Glass'!$D$1:$AB$1,0))))</f>
        <v/>
      </c>
      <c r="X34" s="68" t="str">
        <f t="shared" si="21"/>
        <v>-</v>
      </c>
      <c r="Y34" s="66" t="str">
        <f>IF(Y$7="","",IF(INDEX('Rooms Walls and Glass'!$D$35:$AB$42, MATCH($D34,'Rooms Walls and Glass'!$A$35:$A$42,0), MATCH('Unit 2 b'!Y$7,'Rooms Walls and Glass'!$D$1:$AB$1,0))=0,"",INDEX('Rooms Walls and Glass'!$D$35:$AB$42, MATCH($D34,'Rooms Walls and Glass'!$A$35:$A$42,0), MATCH('Unit 2 b'!Y$7,'Rooms Walls and Glass'!$D$1:$AB$1,0))))</f>
        <v/>
      </c>
      <c r="Z34" s="68" t="str">
        <f t="shared" si="22"/>
        <v>-</v>
      </c>
      <c r="AA34" s="66" t="str">
        <f>IF(AA$7="","",IF(INDEX('Rooms Walls and Glass'!$D$35:$AB$42, MATCH($D34,'Rooms Walls and Glass'!$A$35:$A$42,0), MATCH('Unit 2 b'!AA$7,'Rooms Walls and Glass'!$D$1:$AB$1,0))=0,"",INDEX('Rooms Walls and Glass'!$D$35:$AB$42, MATCH($D34,'Rooms Walls and Glass'!$A$35:$A$42,0), MATCH('Unit 2 b'!AA$7,'Rooms Walls and Glass'!$D$1:$AB$1,0))))</f>
        <v/>
      </c>
      <c r="AB34" s="68" t="str">
        <f t="shared" si="23"/>
        <v>-</v>
      </c>
      <c r="AC34" s="66" t="str">
        <f>IF(AC$7="","",IF(INDEX('Rooms Walls and Glass'!$D$35:$AB$42, MATCH($D34,'Rooms Walls and Glass'!$A$35:$A$42,0), MATCH('Unit 2 b'!AC$7,'Rooms Walls and Glass'!$D$1:$AB$1,0))=0,"",INDEX('Rooms Walls and Glass'!$D$35:$AB$42, MATCH($D34,'Rooms Walls and Glass'!$A$35:$A$42,0), MATCH('Unit 2 b'!AC$7,'Rooms Walls and Glass'!$D$1:$AB$1,0))))</f>
        <v/>
      </c>
      <c r="AD34" s="68" t="str">
        <f t="shared" si="30"/>
        <v>-</v>
      </c>
      <c r="AE34" s="66" t="str">
        <f>IF(AE$7="","",IF(INDEX('Rooms Walls and Glass'!$D$35:$AB$42, MATCH($D34,'Rooms Walls and Glass'!$A$35:$A$42,0), MATCH('Unit 2 b'!AE$7,'Rooms Walls and Glass'!$D$1:$AB$1,0))=0,"",INDEX('Rooms Walls and Glass'!$D$35:$AB$42, MATCH($D34,'Rooms Walls and Glass'!$A$35:$A$42,0), MATCH('Unit 2 b'!AE$7,'Rooms Walls and Glass'!$D$1:$AB$1,0))))</f>
        <v/>
      </c>
      <c r="AF34" s="68" t="str">
        <f t="shared" si="31"/>
        <v>-</v>
      </c>
      <c r="AG34" s="66" t="str">
        <f>IF(AG$7="","",IF(INDEX('Rooms Walls and Glass'!$D$35:$AB$42, MATCH($D34,'Rooms Walls and Glass'!$A$35:$A$42,0), MATCH('Unit 2 b'!AG$7,'Rooms Walls and Glass'!$D$1:$AB$1,0))=0,"",INDEX('Rooms Walls and Glass'!$D$35:$AB$42, MATCH($D34,'Rooms Walls and Glass'!$A$35:$A$42,0), MATCH('Unit 2 b'!AG$7,'Rooms Walls and Glass'!$D$1:$AB$1,0))))</f>
        <v/>
      </c>
      <c r="AH34" s="68" t="str">
        <f t="shared" si="25"/>
        <v>-</v>
      </c>
      <c r="AI34" s="66" t="str">
        <f>IF(AI$7="","",IF(INDEX('Rooms Walls and Glass'!$D$35:$AB$42, MATCH($D34,'Rooms Walls and Glass'!$A$35:$A$42,0), MATCH('Unit 2 b'!AI$7,'Rooms Walls and Glass'!$D$1:$AB$1,0))=0,"",INDEX('Rooms Walls and Glass'!$D$35:$AB$42, MATCH($D34,'Rooms Walls and Glass'!$A$35:$A$42,0), MATCH('Unit 2 b'!AI$7,'Rooms Walls and Glass'!$D$1:$AB$1,0))))</f>
        <v/>
      </c>
      <c r="AJ34" s="69" t="str">
        <f t="shared" si="26"/>
        <v>-</v>
      </c>
      <c r="AK34" s="66" t="str">
        <f>IF(AK$7="","",IF(INDEX('Rooms Walls and Glass'!$D$35:$AB$42, MATCH($D34,'Rooms Walls and Glass'!$A$35:$A$42,0), MATCH('Unit 2 b'!AK$7,'Rooms Walls and Glass'!$D$1:$AB$1,0))=0,"",INDEX('Rooms Walls and Glass'!$D$35:$AB$42, MATCH($D34,'Rooms Walls and Glass'!$A$35:$A$42,0), MATCH('Unit 2 b'!AK$7,'Rooms Walls and Glass'!$D$1:$AB$1,0))))</f>
        <v/>
      </c>
      <c r="AL34" s="68" t="str">
        <f t="shared" si="27"/>
        <v>-</v>
      </c>
      <c r="AM34" s="66" t="str">
        <f>IF(AM$7="","",IF(INDEX('Rooms Walls and Glass'!$D$35:$AB$42, MATCH($D34,'Rooms Walls and Glass'!$A$35:$A$42,0), MATCH('Unit 2 b'!AM$7,'Rooms Walls and Glass'!$D$1:$AB$1,0))=0,"",INDEX('Rooms Walls and Glass'!$D$35:$AB$42, MATCH($D34,'Rooms Walls and Glass'!$A$35:$A$42,0), MATCH('Unit 2 b'!AM$7,'Rooms Walls and Glass'!$D$1:$AB$1,0))))</f>
        <v/>
      </c>
      <c r="AN34" s="69" t="str">
        <f t="shared" si="28"/>
        <v>-</v>
      </c>
    </row>
    <row r="35" spans="2:40" ht="11.25" customHeight="1" thickBot="1" x14ac:dyDescent="0.2">
      <c r="B35" s="214"/>
      <c r="C35" s="15" t="s">
        <v>38</v>
      </c>
      <c r="D35" s="13" t="str">
        <f>'Rooms Walls and Glass'!A41</f>
        <v>SouthWest</v>
      </c>
      <c r="E35" s="13">
        <f>INDEX('Glass CLF Calculation'!$A$20:$G$27,MATCH('Unit 2 b'!D35,'Glass CLF Calculation'!$A$20:$A$27,0),7)</f>
        <v>21</v>
      </c>
      <c r="F35" s="14">
        <f>INDEX(Summary!$F$19:$F$30,MATCH('Unit 2 b'!C35,Summary!$D$19:$D$30,0))</f>
        <v>7.6999999999999999E-2</v>
      </c>
      <c r="G35" s="14">
        <f t="shared" si="29"/>
        <v>1.617</v>
      </c>
      <c r="H35" s="16" t="s">
        <v>6</v>
      </c>
      <c r="I35" s="65">
        <f t="shared" si="13"/>
        <v>0</v>
      </c>
      <c r="J35" s="68">
        <f t="shared" si="14"/>
        <v>0</v>
      </c>
      <c r="K35" s="66" t="str">
        <f>IF(K$7="","",IF(INDEX('Rooms Walls and Glass'!$D$35:$AB$42, MATCH($D35,'Rooms Walls and Glass'!$A$35:$A$42,0), MATCH('Unit 2 b'!K$7,'Rooms Walls and Glass'!$D$1:$AB$1,0))=0,"",INDEX('Rooms Walls and Glass'!$D$35:$AB$42, MATCH($D35,'Rooms Walls and Glass'!$A$35:$A$42,0), MATCH('Unit 2 b'!K$7,'Rooms Walls and Glass'!$D$1:$AB$1,0))))</f>
        <v/>
      </c>
      <c r="L35" s="68" t="str">
        <f t="shared" si="15"/>
        <v>-</v>
      </c>
      <c r="M35" s="66" t="str">
        <f>IF(M$7="","",IF(INDEX('Rooms Walls and Glass'!$D$35:$AB$42, MATCH($D35,'Rooms Walls and Glass'!$A$35:$A$42,0), MATCH('Unit 2 b'!M$7,'Rooms Walls and Glass'!$D$1:$AB$1,0))=0,"",INDEX('Rooms Walls and Glass'!$D$35:$AB$42, MATCH($D35,'Rooms Walls and Glass'!$A$35:$A$42,0), MATCH('Unit 2 b'!M$7,'Rooms Walls and Glass'!$D$1:$AB$1,0))))</f>
        <v/>
      </c>
      <c r="N35" s="68" t="str">
        <f t="shared" si="16"/>
        <v>-</v>
      </c>
      <c r="O35" s="66" t="str">
        <f>IF(O$7="","",IF(INDEX('Rooms Walls and Glass'!$D$35:$AB$42, MATCH($D35,'Rooms Walls and Glass'!$A$35:$A$42,0), MATCH('Unit 2 b'!O$7,'Rooms Walls and Glass'!$D$1:$AB$1,0))=0,"",INDEX('Rooms Walls and Glass'!$D$35:$AB$42, MATCH($D35,'Rooms Walls and Glass'!$A$35:$A$42,0), MATCH('Unit 2 b'!O$7,'Rooms Walls and Glass'!$D$1:$AB$1,0))))</f>
        <v/>
      </c>
      <c r="P35" s="68" t="str">
        <f t="shared" si="17"/>
        <v>-</v>
      </c>
      <c r="Q35" s="66" t="str">
        <f>IF(Q$7="","",IF(INDEX('Rooms Walls and Glass'!$D$35:$AB$42, MATCH($D35,'Rooms Walls and Glass'!$A$35:$A$42,0), MATCH('Unit 2 b'!Q$7,'Rooms Walls and Glass'!$D$1:$AB$1,0))=0,"",INDEX('Rooms Walls and Glass'!$D$35:$AB$42, MATCH($D35,'Rooms Walls and Glass'!$A$35:$A$42,0), MATCH('Unit 2 b'!Q$7,'Rooms Walls and Glass'!$D$1:$AB$1,0))))</f>
        <v/>
      </c>
      <c r="R35" s="68" t="str">
        <f t="shared" si="18"/>
        <v>-</v>
      </c>
      <c r="S35" s="66" t="str">
        <f>IF(S$7="","",IF(INDEX('Rooms Walls and Glass'!$D$35:$AB$42, MATCH($D35,'Rooms Walls and Glass'!$A$35:$A$42,0), MATCH('Unit 2 b'!S$7,'Rooms Walls and Glass'!$D$1:$AB$1,0))=0,"",INDEX('Rooms Walls and Glass'!$D$35:$AB$42, MATCH($D35,'Rooms Walls and Glass'!$A$35:$A$42,0), MATCH('Unit 2 b'!S$7,'Rooms Walls and Glass'!$D$1:$AB$1,0))))</f>
        <v/>
      </c>
      <c r="T35" s="68" t="str">
        <f t="shared" si="19"/>
        <v>-</v>
      </c>
      <c r="U35" s="66" t="str">
        <f>IF(U$7="","",IF(INDEX('Rooms Walls and Glass'!$D$35:$AB$42, MATCH($D35,'Rooms Walls and Glass'!$A$35:$A$42,0), MATCH('Unit 2 b'!U$7,'Rooms Walls and Glass'!$D$1:$AB$1,0))=0,"",INDEX('Rooms Walls and Glass'!$D$35:$AB$42, MATCH($D35,'Rooms Walls and Glass'!$A$35:$A$42,0), MATCH('Unit 2 b'!U$7,'Rooms Walls and Glass'!$D$1:$AB$1,0))))</f>
        <v/>
      </c>
      <c r="V35" s="68" t="str">
        <f t="shared" si="20"/>
        <v>-</v>
      </c>
      <c r="W35" s="66" t="str">
        <f>IF(W$7="","",IF(INDEX('Rooms Walls and Glass'!$D$35:$AB$42, MATCH($D35,'Rooms Walls and Glass'!$A$35:$A$42,0), MATCH('Unit 2 b'!W$7,'Rooms Walls and Glass'!$D$1:$AB$1,0))=0,"",INDEX('Rooms Walls and Glass'!$D$35:$AB$42, MATCH($D35,'Rooms Walls and Glass'!$A$35:$A$42,0), MATCH('Unit 2 b'!W$7,'Rooms Walls and Glass'!$D$1:$AB$1,0))))</f>
        <v/>
      </c>
      <c r="X35" s="68" t="str">
        <f t="shared" si="21"/>
        <v>-</v>
      </c>
      <c r="Y35" s="66" t="str">
        <f>IF(Y$7="","",IF(INDEX('Rooms Walls and Glass'!$D$35:$AB$42, MATCH($D35,'Rooms Walls and Glass'!$A$35:$A$42,0), MATCH('Unit 2 b'!Y$7,'Rooms Walls and Glass'!$D$1:$AB$1,0))=0,"",INDEX('Rooms Walls and Glass'!$D$35:$AB$42, MATCH($D35,'Rooms Walls and Glass'!$A$35:$A$42,0), MATCH('Unit 2 b'!Y$7,'Rooms Walls and Glass'!$D$1:$AB$1,0))))</f>
        <v/>
      </c>
      <c r="Z35" s="68" t="str">
        <f t="shared" si="22"/>
        <v>-</v>
      </c>
      <c r="AA35" s="66" t="str">
        <f>IF(AA$7="","",IF(INDEX('Rooms Walls and Glass'!$D$35:$AB$42, MATCH($D35,'Rooms Walls and Glass'!$A$35:$A$42,0), MATCH('Unit 2 b'!AA$7,'Rooms Walls and Glass'!$D$1:$AB$1,0))=0,"",INDEX('Rooms Walls and Glass'!$D$35:$AB$42, MATCH($D35,'Rooms Walls and Glass'!$A$35:$A$42,0), MATCH('Unit 2 b'!AA$7,'Rooms Walls and Glass'!$D$1:$AB$1,0))))</f>
        <v/>
      </c>
      <c r="AB35" s="68" t="str">
        <f t="shared" si="23"/>
        <v>-</v>
      </c>
      <c r="AC35" s="66" t="str">
        <f>IF(AC$7="","",IF(INDEX('Rooms Walls and Glass'!$D$35:$AB$42, MATCH($D35,'Rooms Walls and Glass'!$A$35:$A$42,0), MATCH('Unit 2 b'!AC$7,'Rooms Walls and Glass'!$D$1:$AB$1,0))=0,"",INDEX('Rooms Walls and Glass'!$D$35:$AB$42, MATCH($D35,'Rooms Walls and Glass'!$A$35:$A$42,0), MATCH('Unit 2 b'!AC$7,'Rooms Walls and Glass'!$D$1:$AB$1,0))))</f>
        <v/>
      </c>
      <c r="AD35" s="68" t="str">
        <f t="shared" si="30"/>
        <v>-</v>
      </c>
      <c r="AE35" s="66" t="str">
        <f>IF(AE$7="","",IF(INDEX('Rooms Walls and Glass'!$D$35:$AB$42, MATCH($D35,'Rooms Walls and Glass'!$A$35:$A$42,0), MATCH('Unit 2 b'!AE$7,'Rooms Walls and Glass'!$D$1:$AB$1,0))=0,"",INDEX('Rooms Walls and Glass'!$D$35:$AB$42, MATCH($D35,'Rooms Walls and Glass'!$A$35:$A$42,0), MATCH('Unit 2 b'!AE$7,'Rooms Walls and Glass'!$D$1:$AB$1,0))))</f>
        <v/>
      </c>
      <c r="AF35" s="68" t="str">
        <f t="shared" si="31"/>
        <v>-</v>
      </c>
      <c r="AG35" s="66" t="str">
        <f>IF(AG$7="","",IF(INDEX('Rooms Walls and Glass'!$D$35:$AB$42, MATCH($D35,'Rooms Walls and Glass'!$A$35:$A$42,0), MATCH('Unit 2 b'!AG$7,'Rooms Walls and Glass'!$D$1:$AB$1,0))=0,"",INDEX('Rooms Walls and Glass'!$D$35:$AB$42, MATCH($D35,'Rooms Walls and Glass'!$A$35:$A$42,0), MATCH('Unit 2 b'!AG$7,'Rooms Walls and Glass'!$D$1:$AB$1,0))))</f>
        <v/>
      </c>
      <c r="AH35" s="68" t="str">
        <f t="shared" si="25"/>
        <v>-</v>
      </c>
      <c r="AI35" s="66" t="str">
        <f>IF(AI$7="","",IF(INDEX('Rooms Walls and Glass'!$D$35:$AB$42, MATCH($D35,'Rooms Walls and Glass'!$A$35:$A$42,0), MATCH('Unit 2 b'!AI$7,'Rooms Walls and Glass'!$D$1:$AB$1,0))=0,"",INDEX('Rooms Walls and Glass'!$D$35:$AB$42, MATCH($D35,'Rooms Walls and Glass'!$A$35:$A$42,0), MATCH('Unit 2 b'!AI$7,'Rooms Walls and Glass'!$D$1:$AB$1,0))))</f>
        <v/>
      </c>
      <c r="AJ35" s="69" t="str">
        <f t="shared" si="26"/>
        <v>-</v>
      </c>
      <c r="AK35" s="66" t="str">
        <f>IF(AK$7="","",IF(INDEX('Rooms Walls and Glass'!$D$35:$AB$42, MATCH($D35,'Rooms Walls and Glass'!$A$35:$A$42,0), MATCH('Unit 2 b'!AK$7,'Rooms Walls and Glass'!$D$1:$AB$1,0))=0,"",INDEX('Rooms Walls and Glass'!$D$35:$AB$42, MATCH($D35,'Rooms Walls and Glass'!$A$35:$A$42,0), MATCH('Unit 2 b'!AK$7,'Rooms Walls and Glass'!$D$1:$AB$1,0))))</f>
        <v/>
      </c>
      <c r="AL35" s="68" t="str">
        <f t="shared" si="27"/>
        <v>-</v>
      </c>
      <c r="AM35" s="66" t="str">
        <f>IF(AM$7="","",IF(INDEX('Rooms Walls and Glass'!$D$35:$AB$42, MATCH($D35,'Rooms Walls and Glass'!$A$35:$A$42,0), MATCH('Unit 2 b'!AM$7,'Rooms Walls and Glass'!$D$1:$AB$1,0))=0,"",INDEX('Rooms Walls and Glass'!$D$35:$AB$42, MATCH($D35,'Rooms Walls and Glass'!$A$35:$A$42,0), MATCH('Unit 2 b'!AM$7,'Rooms Walls and Glass'!$D$1:$AB$1,0))))</f>
        <v/>
      </c>
      <c r="AN35" s="69" t="str">
        <f t="shared" si="28"/>
        <v>-</v>
      </c>
    </row>
    <row r="36" spans="2:40" ht="11.25" customHeight="1" thickBot="1" x14ac:dyDescent="0.2">
      <c r="B36" s="213"/>
      <c r="C36" s="17" t="s">
        <v>38</v>
      </c>
      <c r="D36" s="13" t="str">
        <f>'Rooms Walls and Glass'!A42</f>
        <v>West</v>
      </c>
      <c r="E36" s="13">
        <f>INDEX('Glass CLF Calculation'!$A$20:$G$27,MATCH('Unit 2 b'!D36,'Glass CLF Calculation'!$A$20:$A$27,0),7)</f>
        <v>23</v>
      </c>
      <c r="F36" s="14">
        <f>INDEX(Summary!$F$19:$F$30,MATCH('Unit 2 b'!C36,Summary!$D$19:$D$30,0))</f>
        <v>7.6999999999999999E-2</v>
      </c>
      <c r="G36" s="14">
        <f t="shared" si="29"/>
        <v>1.7709999999999999</v>
      </c>
      <c r="H36" s="18" t="s">
        <v>6</v>
      </c>
      <c r="I36" s="65">
        <f t="shared" si="13"/>
        <v>0</v>
      </c>
      <c r="J36" s="70">
        <f t="shared" si="14"/>
        <v>0</v>
      </c>
      <c r="K36" s="66" t="str">
        <f>IF(K$7="","",IF(INDEX('Rooms Walls and Glass'!$D$35:$AB$42, MATCH($D36,'Rooms Walls and Glass'!$A$35:$A$42,0), MATCH('Unit 2 b'!K$7,'Rooms Walls and Glass'!$D$1:$AB$1,0))=0,"",INDEX('Rooms Walls and Glass'!$D$35:$AB$42, MATCH($D36,'Rooms Walls and Glass'!$A$35:$A$42,0), MATCH('Unit 2 b'!K$7,'Rooms Walls and Glass'!$D$1:$AB$1,0))))</f>
        <v/>
      </c>
      <c r="L36" s="70" t="str">
        <f t="shared" si="15"/>
        <v>-</v>
      </c>
      <c r="M36" s="66" t="str">
        <f>IF(M$7="","",IF(INDEX('Rooms Walls and Glass'!$D$35:$AB$42, MATCH($D36,'Rooms Walls and Glass'!$A$35:$A$42,0), MATCH('Unit 2 b'!M$7,'Rooms Walls and Glass'!$D$1:$AB$1,0))=0,"",INDEX('Rooms Walls and Glass'!$D$35:$AB$42, MATCH($D36,'Rooms Walls and Glass'!$A$35:$A$42,0), MATCH('Unit 2 b'!M$7,'Rooms Walls and Glass'!$D$1:$AB$1,0))))</f>
        <v/>
      </c>
      <c r="N36" s="70" t="str">
        <f t="shared" si="16"/>
        <v>-</v>
      </c>
      <c r="O36" s="66" t="str">
        <f>IF(O$7="","",IF(INDEX('Rooms Walls and Glass'!$D$35:$AB$42, MATCH($D36,'Rooms Walls and Glass'!$A$35:$A$42,0), MATCH('Unit 2 b'!O$7,'Rooms Walls and Glass'!$D$1:$AB$1,0))=0,"",INDEX('Rooms Walls and Glass'!$D$35:$AB$42, MATCH($D36,'Rooms Walls and Glass'!$A$35:$A$42,0), MATCH('Unit 2 b'!O$7,'Rooms Walls and Glass'!$D$1:$AB$1,0))))</f>
        <v/>
      </c>
      <c r="P36" s="70" t="str">
        <f t="shared" si="17"/>
        <v>-</v>
      </c>
      <c r="Q36" s="66" t="str">
        <f>IF(Q$7="","",IF(INDEX('Rooms Walls and Glass'!$D$35:$AB$42, MATCH($D36,'Rooms Walls and Glass'!$A$35:$A$42,0), MATCH('Unit 2 b'!Q$7,'Rooms Walls and Glass'!$D$1:$AB$1,0))=0,"",INDEX('Rooms Walls and Glass'!$D$35:$AB$42, MATCH($D36,'Rooms Walls and Glass'!$A$35:$A$42,0), MATCH('Unit 2 b'!Q$7,'Rooms Walls and Glass'!$D$1:$AB$1,0))))</f>
        <v/>
      </c>
      <c r="R36" s="70" t="str">
        <f t="shared" si="18"/>
        <v>-</v>
      </c>
      <c r="S36" s="66" t="str">
        <f>IF(S$7="","",IF(INDEX('Rooms Walls and Glass'!$D$35:$AB$42, MATCH($D36,'Rooms Walls and Glass'!$A$35:$A$42,0), MATCH('Unit 2 b'!S$7,'Rooms Walls and Glass'!$D$1:$AB$1,0))=0,"",INDEX('Rooms Walls and Glass'!$D$35:$AB$42, MATCH($D36,'Rooms Walls and Glass'!$A$35:$A$42,0), MATCH('Unit 2 b'!S$7,'Rooms Walls and Glass'!$D$1:$AB$1,0))))</f>
        <v/>
      </c>
      <c r="T36" s="70" t="str">
        <f t="shared" si="19"/>
        <v>-</v>
      </c>
      <c r="U36" s="66" t="str">
        <f>IF(U$7="","",IF(INDEX('Rooms Walls and Glass'!$D$35:$AB$42, MATCH($D36,'Rooms Walls and Glass'!$A$35:$A$42,0), MATCH('Unit 2 b'!U$7,'Rooms Walls and Glass'!$D$1:$AB$1,0))=0,"",INDEX('Rooms Walls and Glass'!$D$35:$AB$42, MATCH($D36,'Rooms Walls and Glass'!$A$35:$A$42,0), MATCH('Unit 2 b'!U$7,'Rooms Walls and Glass'!$D$1:$AB$1,0))))</f>
        <v/>
      </c>
      <c r="V36" s="70" t="str">
        <f t="shared" si="20"/>
        <v>-</v>
      </c>
      <c r="W36" s="66" t="str">
        <f>IF(W$7="","",IF(INDEX('Rooms Walls and Glass'!$D$35:$AB$42, MATCH($D36,'Rooms Walls and Glass'!$A$35:$A$42,0), MATCH('Unit 2 b'!W$7,'Rooms Walls and Glass'!$D$1:$AB$1,0))=0,"",INDEX('Rooms Walls and Glass'!$D$35:$AB$42, MATCH($D36,'Rooms Walls and Glass'!$A$35:$A$42,0), MATCH('Unit 2 b'!W$7,'Rooms Walls and Glass'!$D$1:$AB$1,0))))</f>
        <v/>
      </c>
      <c r="X36" s="70" t="str">
        <f t="shared" si="21"/>
        <v>-</v>
      </c>
      <c r="Y36" s="66" t="str">
        <f>IF(Y$7="","",IF(INDEX('Rooms Walls and Glass'!$D$35:$AB$42, MATCH($D36,'Rooms Walls and Glass'!$A$35:$A$42,0), MATCH('Unit 2 b'!Y$7,'Rooms Walls and Glass'!$D$1:$AB$1,0))=0,"",INDEX('Rooms Walls and Glass'!$D$35:$AB$42, MATCH($D36,'Rooms Walls and Glass'!$A$35:$A$42,0), MATCH('Unit 2 b'!Y$7,'Rooms Walls and Glass'!$D$1:$AB$1,0))))</f>
        <v/>
      </c>
      <c r="Z36" s="70" t="str">
        <f t="shared" si="22"/>
        <v>-</v>
      </c>
      <c r="AA36" s="66" t="str">
        <f>IF(AA$7="","",IF(INDEX('Rooms Walls and Glass'!$D$35:$AB$42, MATCH($D36,'Rooms Walls and Glass'!$A$35:$A$42,0), MATCH('Unit 2 b'!AA$7,'Rooms Walls and Glass'!$D$1:$AB$1,0))=0,"",INDEX('Rooms Walls and Glass'!$D$35:$AB$42, MATCH($D36,'Rooms Walls and Glass'!$A$35:$A$42,0), MATCH('Unit 2 b'!AA$7,'Rooms Walls and Glass'!$D$1:$AB$1,0))))</f>
        <v/>
      </c>
      <c r="AB36" s="70" t="str">
        <f t="shared" si="23"/>
        <v>-</v>
      </c>
      <c r="AC36" s="66" t="str">
        <f>IF(AC$7="","",IF(INDEX('Rooms Walls and Glass'!$D$35:$AB$42, MATCH($D36,'Rooms Walls and Glass'!$A$35:$A$42,0), MATCH('Unit 2 b'!AC$7,'Rooms Walls and Glass'!$D$1:$AB$1,0))=0,"",INDEX('Rooms Walls and Glass'!$D$35:$AB$42, MATCH($D36,'Rooms Walls and Glass'!$A$35:$A$42,0), MATCH('Unit 2 b'!AC$7,'Rooms Walls and Glass'!$D$1:$AB$1,0))))</f>
        <v/>
      </c>
      <c r="AD36" s="70" t="str">
        <f t="shared" si="30"/>
        <v>-</v>
      </c>
      <c r="AE36" s="66" t="str">
        <f>IF(AE$7="","",IF(INDEX('Rooms Walls and Glass'!$D$35:$AB$42, MATCH($D36,'Rooms Walls and Glass'!$A$35:$A$42,0), MATCH('Unit 2 b'!AE$7,'Rooms Walls and Glass'!$D$1:$AB$1,0))=0,"",INDEX('Rooms Walls and Glass'!$D$35:$AB$42, MATCH($D36,'Rooms Walls and Glass'!$A$35:$A$42,0), MATCH('Unit 2 b'!AE$7,'Rooms Walls and Glass'!$D$1:$AB$1,0))))</f>
        <v/>
      </c>
      <c r="AF36" s="70" t="str">
        <f t="shared" si="31"/>
        <v>-</v>
      </c>
      <c r="AG36" s="66" t="str">
        <f>IF(AG$7="","",IF(INDEX('Rooms Walls and Glass'!$D$35:$AB$42, MATCH($D36,'Rooms Walls and Glass'!$A$35:$A$42,0), MATCH('Unit 2 b'!AG$7,'Rooms Walls and Glass'!$D$1:$AB$1,0))=0,"",INDEX('Rooms Walls and Glass'!$D$35:$AB$42, MATCH($D36,'Rooms Walls and Glass'!$A$35:$A$42,0), MATCH('Unit 2 b'!AG$7,'Rooms Walls and Glass'!$D$1:$AB$1,0))))</f>
        <v/>
      </c>
      <c r="AH36" s="70" t="str">
        <f t="shared" si="25"/>
        <v>-</v>
      </c>
      <c r="AI36" s="66" t="str">
        <f>IF(AI$7="","",IF(INDEX('Rooms Walls and Glass'!$D$35:$AB$42, MATCH($D36,'Rooms Walls and Glass'!$A$35:$A$42,0), MATCH('Unit 2 b'!AI$7,'Rooms Walls and Glass'!$D$1:$AB$1,0))=0,"",INDEX('Rooms Walls and Glass'!$D$35:$AB$42, MATCH($D36,'Rooms Walls and Glass'!$A$35:$A$42,0), MATCH('Unit 2 b'!AI$7,'Rooms Walls and Glass'!$D$1:$AB$1,0))))</f>
        <v/>
      </c>
      <c r="AJ36" s="71" t="str">
        <f t="shared" si="26"/>
        <v>-</v>
      </c>
      <c r="AK36" s="66" t="str">
        <f>IF(AK$7="","",IF(INDEX('Rooms Walls and Glass'!$D$35:$AB$42, MATCH($D36,'Rooms Walls and Glass'!$A$35:$A$42,0), MATCH('Unit 2 b'!AK$7,'Rooms Walls and Glass'!$D$1:$AB$1,0))=0,"",INDEX('Rooms Walls and Glass'!$D$35:$AB$42, MATCH($D36,'Rooms Walls and Glass'!$A$35:$A$42,0), MATCH('Unit 2 b'!AK$7,'Rooms Walls and Glass'!$D$1:$AB$1,0))))</f>
        <v/>
      </c>
      <c r="AL36" s="70" t="str">
        <f t="shared" si="27"/>
        <v>-</v>
      </c>
      <c r="AM36" s="66" t="str">
        <f>IF(AM$7="","",IF(INDEX('Rooms Walls and Glass'!$D$35:$AB$42, MATCH($D36,'Rooms Walls and Glass'!$A$35:$A$42,0), MATCH('Unit 2 b'!AM$7,'Rooms Walls and Glass'!$D$1:$AB$1,0))=0,"",INDEX('Rooms Walls and Glass'!$D$35:$AB$42, MATCH($D36,'Rooms Walls and Glass'!$A$35:$A$42,0), MATCH('Unit 2 b'!AM$7,'Rooms Walls and Glass'!$D$1:$AB$1,0))))</f>
        <v/>
      </c>
      <c r="AN36" s="71" t="str">
        <f t="shared" si="28"/>
        <v>-</v>
      </c>
    </row>
    <row r="37" spans="2:40" ht="11.25" customHeight="1" thickBot="1" x14ac:dyDescent="0.2">
      <c r="B37" s="212" t="s">
        <v>80</v>
      </c>
      <c r="C37" s="12" t="s">
        <v>39</v>
      </c>
      <c r="D37" s="13" t="s">
        <v>45</v>
      </c>
      <c r="E37" s="13">
        <v>0</v>
      </c>
      <c r="F37" s="14">
        <f>INDEX(Summary!$F$19:$F$30,MATCH('Unit 2 b'!C37,Summary!$D$19:$D$30,0))</f>
        <v>6.7000000000000004E-2</v>
      </c>
      <c r="G37" s="14">
        <f t="shared" si="29"/>
        <v>0</v>
      </c>
      <c r="H37" s="13" t="s">
        <v>6</v>
      </c>
      <c r="I37" s="65">
        <f t="shared" si="13"/>
        <v>0</v>
      </c>
      <c r="J37" s="65">
        <f t="shared" si="14"/>
        <v>0</v>
      </c>
      <c r="K37" s="66" t="str">
        <f>IF(K$7="","",IF(INDEX('Rooms Walls and Glass'!$D$46:$AB$50, MATCH($D37,'Rooms Walls and Glass'!$A$46:$A$50,0), MATCH('Unit 2 b'!K$7,'Rooms Walls and Glass'!$D$1:$AB$1,0))=0,"",INDEX('Rooms Walls and Glass'!$D$46:$AB$50, MATCH($D37,'Rooms Walls and Glass'!$A$46:$A$50,0), MATCH('Unit 2 b'!K$7,'Rooms Walls and Glass'!$D$1:$AB$1,0))))</f>
        <v/>
      </c>
      <c r="L37" s="65" t="str">
        <f t="shared" si="15"/>
        <v>-</v>
      </c>
      <c r="M37" s="66" t="str">
        <f>IF(M$7="","",IF(INDEX('Rooms Walls and Glass'!$D$46:$AB$50, MATCH($D37,'Rooms Walls and Glass'!$A$46:$A$50,0), MATCH('Unit 2 b'!M$7,'Rooms Walls and Glass'!$D$1:$AB$1,0))=0,"",INDEX('Rooms Walls and Glass'!$D$46:$AB$50, MATCH($D37,'Rooms Walls and Glass'!$A$46:$A$50,0), MATCH('Unit 2 b'!M$7,'Rooms Walls and Glass'!$D$1:$AB$1,0))))</f>
        <v/>
      </c>
      <c r="N37" s="65" t="str">
        <f t="shared" si="16"/>
        <v>-</v>
      </c>
      <c r="O37" s="66" t="str">
        <f>IF(O$7="","",IF(INDEX('Rooms Walls and Glass'!$D$46:$AB$50, MATCH($D37,'Rooms Walls and Glass'!$A$46:$A$50,0), MATCH('Unit 2 b'!O$7,'Rooms Walls and Glass'!$D$1:$AB$1,0))=0,"",INDEX('Rooms Walls and Glass'!$D$46:$AB$50, MATCH($D37,'Rooms Walls and Glass'!$A$46:$A$50,0), MATCH('Unit 2 b'!O$7,'Rooms Walls and Glass'!$D$1:$AB$1,0))))</f>
        <v/>
      </c>
      <c r="P37" s="65" t="str">
        <f t="shared" si="17"/>
        <v>-</v>
      </c>
      <c r="Q37" s="66" t="str">
        <f>IF(Q$7="","",IF(INDEX('Rooms Walls and Glass'!$D$46:$AB$50, MATCH($D37,'Rooms Walls and Glass'!$A$46:$A$50,0), MATCH('Unit 2 b'!Q$7,'Rooms Walls and Glass'!$D$1:$AB$1,0))=0,"",INDEX('Rooms Walls and Glass'!$D$46:$AB$50, MATCH($D37,'Rooms Walls and Glass'!$A$46:$A$50,0), MATCH('Unit 2 b'!Q$7,'Rooms Walls and Glass'!$D$1:$AB$1,0))))</f>
        <v/>
      </c>
      <c r="R37" s="65" t="str">
        <f t="shared" si="18"/>
        <v>-</v>
      </c>
      <c r="S37" s="66" t="str">
        <f>IF(S$7="","",IF(INDEX('Rooms Walls and Glass'!$D$46:$AB$50, MATCH($D37,'Rooms Walls and Glass'!$A$46:$A$50,0), MATCH('Unit 2 b'!S$7,'Rooms Walls and Glass'!$D$1:$AB$1,0))=0,"",INDEX('Rooms Walls and Glass'!$D$46:$AB$50, MATCH($D37,'Rooms Walls and Glass'!$A$46:$A$50,0), MATCH('Unit 2 b'!S$7,'Rooms Walls and Glass'!$D$1:$AB$1,0))))</f>
        <v/>
      </c>
      <c r="T37" s="65" t="str">
        <f t="shared" si="19"/>
        <v>-</v>
      </c>
      <c r="U37" s="66" t="str">
        <f>IF(U$7="","",IF(INDEX('Rooms Walls and Glass'!$D$46:$AB$50, MATCH($D37,'Rooms Walls and Glass'!$A$46:$A$50,0), MATCH('Unit 2 b'!U$7,'Rooms Walls and Glass'!$D$1:$AB$1,0))=0,"",INDEX('Rooms Walls and Glass'!$D$46:$AB$50, MATCH($D37,'Rooms Walls and Glass'!$A$46:$A$50,0), MATCH('Unit 2 b'!U$7,'Rooms Walls and Glass'!$D$1:$AB$1,0))))</f>
        <v/>
      </c>
      <c r="V37" s="65" t="str">
        <f t="shared" si="20"/>
        <v>-</v>
      </c>
      <c r="W37" s="66" t="str">
        <f>IF(W$7="","",IF(INDEX('Rooms Walls and Glass'!$D$46:$AB$50, MATCH($D37,'Rooms Walls and Glass'!$A$46:$A$50,0), MATCH('Unit 2 b'!W$7,'Rooms Walls and Glass'!$D$1:$AB$1,0))=0,"",INDEX('Rooms Walls and Glass'!$D$46:$AB$50, MATCH($D37,'Rooms Walls and Glass'!$A$46:$A$50,0), MATCH('Unit 2 b'!W$7,'Rooms Walls and Glass'!$D$1:$AB$1,0))))</f>
        <v/>
      </c>
      <c r="X37" s="65" t="str">
        <f t="shared" si="21"/>
        <v>-</v>
      </c>
      <c r="Y37" s="66" t="str">
        <f>IF(Y$7="","",IF(INDEX('Rooms Walls and Glass'!$D$46:$AB$50, MATCH($D37,'Rooms Walls and Glass'!$A$46:$A$50,0), MATCH('Unit 2 b'!Y$7,'Rooms Walls and Glass'!$D$1:$AB$1,0))=0,"",INDEX('Rooms Walls and Glass'!$D$46:$AB$50, MATCH($D37,'Rooms Walls and Glass'!$A$46:$A$50,0), MATCH('Unit 2 b'!Y$7,'Rooms Walls and Glass'!$D$1:$AB$1,0))))</f>
        <v/>
      </c>
      <c r="Z37" s="65" t="str">
        <f t="shared" si="22"/>
        <v>-</v>
      </c>
      <c r="AA37" s="66" t="str">
        <f>IF(AA$7="","",IF(INDEX('Rooms Walls and Glass'!$D$46:$AB$50, MATCH($D37,'Rooms Walls and Glass'!$A$46:$A$50,0), MATCH('Unit 2 b'!AA$7,'Rooms Walls and Glass'!$D$1:$AB$1,0))=0,"",INDEX('Rooms Walls and Glass'!$D$46:$AB$50, MATCH($D37,'Rooms Walls and Glass'!$A$46:$A$50,0), MATCH('Unit 2 b'!AA$7,'Rooms Walls and Glass'!$D$1:$AB$1,0))))</f>
        <v/>
      </c>
      <c r="AB37" s="65" t="str">
        <f t="shared" si="23"/>
        <v>-</v>
      </c>
      <c r="AC37" s="66" t="str">
        <f>IF(AC$7="","",IF(INDEX('Rooms Walls and Glass'!$D$46:$AB$50, MATCH($D37,'Rooms Walls and Glass'!$A$46:$A$50,0), MATCH('Unit 2 b'!AC$7,'Rooms Walls and Glass'!$D$1:$AB$1,0))=0,"",INDEX('Rooms Walls and Glass'!$D$46:$AB$50, MATCH($D37,'Rooms Walls and Glass'!$A$46:$A$50,0), MATCH('Unit 2 b'!AC$7,'Rooms Walls and Glass'!$D$1:$AB$1,0))))</f>
        <v/>
      </c>
      <c r="AD37" s="65" t="str">
        <f t="shared" si="30"/>
        <v>-</v>
      </c>
      <c r="AE37" s="66" t="str">
        <f>IF(AE$7="","",IF(INDEX('Rooms Walls and Glass'!$D$46:$AB$50, MATCH($D37,'Rooms Walls and Glass'!$A$46:$A$50,0), MATCH('Unit 2 b'!AE$7,'Rooms Walls and Glass'!$D$1:$AB$1,0))=0,"",INDEX('Rooms Walls and Glass'!$D$46:$AB$50, MATCH($D37,'Rooms Walls and Glass'!$A$46:$A$50,0), MATCH('Unit 2 b'!AE$7,'Rooms Walls and Glass'!$D$1:$AB$1,0))))</f>
        <v/>
      </c>
      <c r="AF37" s="65" t="str">
        <f t="shared" si="31"/>
        <v>-</v>
      </c>
      <c r="AG37" s="66" t="str">
        <f>IF(AG$7="","",IF(INDEX('Rooms Walls and Glass'!$D$46:$AB$50, MATCH($D37,'Rooms Walls and Glass'!$A$46:$A$50,0), MATCH('Unit 2 b'!AG$7,'Rooms Walls and Glass'!$D$1:$AB$1,0))=0,"",INDEX('Rooms Walls and Glass'!$D$46:$AB$50, MATCH($D37,'Rooms Walls and Glass'!$A$46:$A$50,0), MATCH('Unit 2 b'!AG$7,'Rooms Walls and Glass'!$D$1:$AB$1,0))))</f>
        <v/>
      </c>
      <c r="AH37" s="65" t="str">
        <f t="shared" si="25"/>
        <v>-</v>
      </c>
      <c r="AI37" s="66" t="str">
        <f>IF(AI$7="","",IF(INDEX('Rooms Walls and Glass'!$D$46:$AB$50, MATCH($D37,'Rooms Walls and Glass'!$A$46:$A$50,0), MATCH('Unit 2 b'!AI$7,'Rooms Walls and Glass'!$D$1:$AB$1,0))=0,"",INDEX('Rooms Walls and Glass'!$D$46:$AB$50, MATCH($D37,'Rooms Walls and Glass'!$A$46:$A$50,0), MATCH('Unit 2 b'!AI$7,'Rooms Walls and Glass'!$D$1:$AB$1,0))))</f>
        <v/>
      </c>
      <c r="AJ37" s="67" t="str">
        <f t="shared" si="26"/>
        <v>-</v>
      </c>
      <c r="AK37" s="66" t="str">
        <f>IF(AK$7="","",IF(INDEX('Rooms Walls and Glass'!$D$46:$AB$50, MATCH($D37,'Rooms Walls and Glass'!$A$46:$A$50,0), MATCH('Unit 2 b'!AK$7,'Rooms Walls and Glass'!$D$1:$AB$1,0))=0,"",INDEX('Rooms Walls and Glass'!$D$46:$AB$50, MATCH($D37,'Rooms Walls and Glass'!$A$46:$A$50,0), MATCH('Unit 2 b'!AK$7,'Rooms Walls and Glass'!$D$1:$AB$1,0))))</f>
        <v/>
      </c>
      <c r="AL37" s="65" t="str">
        <f t="shared" si="27"/>
        <v>-</v>
      </c>
      <c r="AM37" s="66" t="str">
        <f>IF(AM$7="","",IF(INDEX('Rooms Walls and Glass'!$D$46:$AB$50, MATCH($D37,'Rooms Walls and Glass'!$A$46:$A$50,0), MATCH('Unit 2 b'!AM$7,'Rooms Walls and Glass'!$D$1:$AB$1,0))=0,"",INDEX('Rooms Walls and Glass'!$D$46:$AB$50, MATCH($D37,'Rooms Walls and Glass'!$A$46:$A$50,0), MATCH('Unit 2 b'!AM$7,'Rooms Walls and Glass'!$D$1:$AB$1,0))))</f>
        <v/>
      </c>
      <c r="AN37" s="67" t="str">
        <f t="shared" si="28"/>
        <v>-</v>
      </c>
    </row>
    <row r="38" spans="2:40" ht="11.25" customHeight="1" thickBot="1" x14ac:dyDescent="0.2">
      <c r="B38" s="214"/>
      <c r="C38" s="15" t="s">
        <v>38</v>
      </c>
      <c r="D38" s="16" t="s">
        <v>46</v>
      </c>
      <c r="E38" s="16">
        <v>10</v>
      </c>
      <c r="F38" s="14">
        <f>INDEX(Summary!$F$19:$F$30,MATCH('Unit 2 b'!C38,Summary!$D$19:$D$30,0))</f>
        <v>7.6999999999999999E-2</v>
      </c>
      <c r="G38" s="14">
        <f t="shared" si="29"/>
        <v>0.77</v>
      </c>
      <c r="H38" s="16" t="s">
        <v>6</v>
      </c>
      <c r="I38" s="65">
        <f t="shared" si="13"/>
        <v>0</v>
      </c>
      <c r="J38" s="68">
        <f t="shared" si="14"/>
        <v>0</v>
      </c>
      <c r="K38" s="66" t="str">
        <f>IF(K$7="","",IF(INDEX('Rooms Walls and Glass'!$D$46:$AB$50, MATCH($D38,'Rooms Walls and Glass'!$A$46:$A$50,0), MATCH('Unit 2 b'!K$7,'Rooms Walls and Glass'!$D$1:$AB$1,0))=0,"",INDEX('Rooms Walls and Glass'!$D$46:$AB$50, MATCH($D38,'Rooms Walls and Glass'!$A$46:$A$50,0), MATCH('Unit 2 b'!K$7,'Rooms Walls and Glass'!$D$1:$AB$1,0))))</f>
        <v/>
      </c>
      <c r="L38" s="68" t="str">
        <f t="shared" si="15"/>
        <v>-</v>
      </c>
      <c r="M38" s="66" t="str">
        <f>IF(M$7="","",IF(INDEX('Rooms Walls and Glass'!$D$46:$AB$50, MATCH($D38,'Rooms Walls and Glass'!$A$46:$A$50,0), MATCH('Unit 2 b'!M$7,'Rooms Walls and Glass'!$D$1:$AB$1,0))=0,"",INDEX('Rooms Walls and Glass'!$D$46:$AB$50, MATCH($D38,'Rooms Walls and Glass'!$A$46:$A$50,0), MATCH('Unit 2 b'!M$7,'Rooms Walls and Glass'!$D$1:$AB$1,0))))</f>
        <v/>
      </c>
      <c r="N38" s="68" t="str">
        <f t="shared" si="16"/>
        <v>-</v>
      </c>
      <c r="O38" s="66" t="str">
        <f>IF(O$7="","",IF(INDEX('Rooms Walls and Glass'!$D$46:$AB$50, MATCH($D38,'Rooms Walls and Glass'!$A$46:$A$50,0), MATCH('Unit 2 b'!O$7,'Rooms Walls and Glass'!$D$1:$AB$1,0))=0,"",INDEX('Rooms Walls and Glass'!$D$46:$AB$50, MATCH($D38,'Rooms Walls and Glass'!$A$46:$A$50,0), MATCH('Unit 2 b'!O$7,'Rooms Walls and Glass'!$D$1:$AB$1,0))))</f>
        <v/>
      </c>
      <c r="P38" s="68" t="str">
        <f t="shared" si="17"/>
        <v>-</v>
      </c>
      <c r="Q38" s="66" t="str">
        <f>IF(Q$7="","",IF(INDEX('Rooms Walls and Glass'!$D$46:$AB$50, MATCH($D38,'Rooms Walls and Glass'!$A$46:$A$50,0), MATCH('Unit 2 b'!Q$7,'Rooms Walls and Glass'!$D$1:$AB$1,0))=0,"",INDEX('Rooms Walls and Glass'!$D$46:$AB$50, MATCH($D38,'Rooms Walls and Glass'!$A$46:$A$50,0), MATCH('Unit 2 b'!Q$7,'Rooms Walls and Glass'!$D$1:$AB$1,0))))</f>
        <v/>
      </c>
      <c r="R38" s="68" t="str">
        <f t="shared" si="18"/>
        <v>-</v>
      </c>
      <c r="S38" s="66" t="str">
        <f>IF(S$7="","",IF(INDEX('Rooms Walls and Glass'!$D$46:$AB$50, MATCH($D38,'Rooms Walls and Glass'!$A$46:$A$50,0), MATCH('Unit 2 b'!S$7,'Rooms Walls and Glass'!$D$1:$AB$1,0))=0,"",INDEX('Rooms Walls and Glass'!$D$46:$AB$50, MATCH($D38,'Rooms Walls and Glass'!$A$46:$A$50,0), MATCH('Unit 2 b'!S$7,'Rooms Walls and Glass'!$D$1:$AB$1,0))))</f>
        <v/>
      </c>
      <c r="T38" s="68" t="str">
        <f t="shared" si="19"/>
        <v>-</v>
      </c>
      <c r="U38" s="66" t="str">
        <f>IF(U$7="","",IF(INDEX('Rooms Walls and Glass'!$D$46:$AB$50, MATCH($D38,'Rooms Walls and Glass'!$A$46:$A$50,0), MATCH('Unit 2 b'!U$7,'Rooms Walls and Glass'!$D$1:$AB$1,0))=0,"",INDEX('Rooms Walls and Glass'!$D$46:$AB$50, MATCH($D38,'Rooms Walls and Glass'!$A$46:$A$50,0), MATCH('Unit 2 b'!U$7,'Rooms Walls and Glass'!$D$1:$AB$1,0))))</f>
        <v/>
      </c>
      <c r="V38" s="68" t="str">
        <f t="shared" si="20"/>
        <v>-</v>
      </c>
      <c r="W38" s="66" t="str">
        <f>IF(W$7="","",IF(INDEX('Rooms Walls and Glass'!$D$46:$AB$50, MATCH($D38,'Rooms Walls and Glass'!$A$46:$A$50,0), MATCH('Unit 2 b'!W$7,'Rooms Walls and Glass'!$D$1:$AB$1,0))=0,"",INDEX('Rooms Walls and Glass'!$D$46:$AB$50, MATCH($D38,'Rooms Walls and Glass'!$A$46:$A$50,0), MATCH('Unit 2 b'!W$7,'Rooms Walls and Glass'!$D$1:$AB$1,0))))</f>
        <v/>
      </c>
      <c r="X38" s="68" t="str">
        <f t="shared" si="21"/>
        <v>-</v>
      </c>
      <c r="Y38" s="66" t="str">
        <f>IF(Y$7="","",IF(INDEX('Rooms Walls and Glass'!$D$46:$AB$50, MATCH($D38,'Rooms Walls and Glass'!$A$46:$A$50,0), MATCH('Unit 2 b'!Y$7,'Rooms Walls and Glass'!$D$1:$AB$1,0))=0,"",INDEX('Rooms Walls and Glass'!$D$46:$AB$50, MATCH($D38,'Rooms Walls and Glass'!$A$46:$A$50,0), MATCH('Unit 2 b'!Y$7,'Rooms Walls and Glass'!$D$1:$AB$1,0))))</f>
        <v/>
      </c>
      <c r="Z38" s="68" t="str">
        <f t="shared" si="22"/>
        <v>-</v>
      </c>
      <c r="AA38" s="66" t="str">
        <f>IF(AA$7="","",IF(INDEX('Rooms Walls and Glass'!$D$46:$AB$50, MATCH($D38,'Rooms Walls and Glass'!$A$46:$A$50,0), MATCH('Unit 2 b'!AA$7,'Rooms Walls and Glass'!$D$1:$AB$1,0))=0,"",INDEX('Rooms Walls and Glass'!$D$46:$AB$50, MATCH($D38,'Rooms Walls and Glass'!$A$46:$A$50,0), MATCH('Unit 2 b'!AA$7,'Rooms Walls and Glass'!$D$1:$AB$1,0))))</f>
        <v/>
      </c>
      <c r="AB38" s="68" t="str">
        <f t="shared" si="23"/>
        <v>-</v>
      </c>
      <c r="AC38" s="66" t="str">
        <f>IF(AC$7="","",IF(INDEX('Rooms Walls and Glass'!$D$46:$AB$50, MATCH($D38,'Rooms Walls and Glass'!$A$46:$A$50,0), MATCH('Unit 2 b'!AC$7,'Rooms Walls and Glass'!$D$1:$AB$1,0))=0,"",INDEX('Rooms Walls and Glass'!$D$46:$AB$50, MATCH($D38,'Rooms Walls and Glass'!$A$46:$A$50,0), MATCH('Unit 2 b'!AC$7,'Rooms Walls and Glass'!$D$1:$AB$1,0))))</f>
        <v/>
      </c>
      <c r="AD38" s="68" t="str">
        <f t="shared" si="30"/>
        <v>-</v>
      </c>
      <c r="AE38" s="66" t="str">
        <f>IF(AE$7="","",IF(INDEX('Rooms Walls and Glass'!$D$46:$AB$50, MATCH($D38,'Rooms Walls and Glass'!$A$46:$A$50,0), MATCH('Unit 2 b'!AE$7,'Rooms Walls and Glass'!$D$1:$AB$1,0))=0,"",INDEX('Rooms Walls and Glass'!$D$46:$AB$50, MATCH($D38,'Rooms Walls and Glass'!$A$46:$A$50,0), MATCH('Unit 2 b'!AE$7,'Rooms Walls and Glass'!$D$1:$AB$1,0))))</f>
        <v/>
      </c>
      <c r="AF38" s="68" t="str">
        <f t="shared" si="31"/>
        <v>-</v>
      </c>
      <c r="AG38" s="66" t="str">
        <f>IF(AG$7="","",IF(INDEX('Rooms Walls and Glass'!$D$46:$AB$50, MATCH($D38,'Rooms Walls and Glass'!$A$46:$A$50,0), MATCH('Unit 2 b'!AG$7,'Rooms Walls and Glass'!$D$1:$AB$1,0))=0,"",INDEX('Rooms Walls and Glass'!$D$46:$AB$50, MATCH($D38,'Rooms Walls and Glass'!$A$46:$A$50,0), MATCH('Unit 2 b'!AG$7,'Rooms Walls and Glass'!$D$1:$AB$1,0))))</f>
        <v/>
      </c>
      <c r="AH38" s="68" t="str">
        <f t="shared" si="25"/>
        <v>-</v>
      </c>
      <c r="AI38" s="66" t="str">
        <f>IF(AI$7="","",IF(INDEX('Rooms Walls and Glass'!$D$46:$AB$50, MATCH($D38,'Rooms Walls and Glass'!$A$46:$A$50,0), MATCH('Unit 2 b'!AI$7,'Rooms Walls and Glass'!$D$1:$AB$1,0))=0,"",INDEX('Rooms Walls and Glass'!$D$46:$AB$50, MATCH($D38,'Rooms Walls and Glass'!$A$46:$A$50,0), MATCH('Unit 2 b'!AI$7,'Rooms Walls and Glass'!$D$1:$AB$1,0))))</f>
        <v/>
      </c>
      <c r="AJ38" s="69" t="str">
        <f t="shared" si="26"/>
        <v>-</v>
      </c>
      <c r="AK38" s="66" t="str">
        <f>IF(AK$7="","",IF(INDEX('Rooms Walls and Glass'!$D$46:$AB$50, MATCH($D38,'Rooms Walls and Glass'!$A$46:$A$50,0), MATCH('Unit 2 b'!AK$7,'Rooms Walls and Glass'!$D$1:$AB$1,0))=0,"",INDEX('Rooms Walls and Glass'!$D$46:$AB$50, MATCH($D38,'Rooms Walls and Glass'!$A$46:$A$50,0), MATCH('Unit 2 b'!AK$7,'Rooms Walls and Glass'!$D$1:$AB$1,0))))</f>
        <v/>
      </c>
      <c r="AL38" s="68" t="str">
        <f t="shared" si="27"/>
        <v>-</v>
      </c>
      <c r="AM38" s="66" t="str">
        <f>IF(AM$7="","",IF(INDEX('Rooms Walls and Glass'!$D$46:$AB$50, MATCH($D38,'Rooms Walls and Glass'!$A$46:$A$50,0), MATCH('Unit 2 b'!AM$7,'Rooms Walls and Glass'!$D$1:$AB$1,0))=0,"",INDEX('Rooms Walls and Glass'!$D$46:$AB$50, MATCH($D38,'Rooms Walls and Glass'!$A$46:$A$50,0), MATCH('Unit 2 b'!AM$7,'Rooms Walls and Glass'!$D$1:$AB$1,0))))</f>
        <v/>
      </c>
      <c r="AN38" s="69" t="str">
        <f t="shared" si="28"/>
        <v>-</v>
      </c>
    </row>
    <row r="39" spans="2:40" ht="11.25" customHeight="1" thickBot="1" x14ac:dyDescent="0.2">
      <c r="B39" s="214"/>
      <c r="C39" s="15" t="s">
        <v>38</v>
      </c>
      <c r="D39" s="16" t="s">
        <v>36</v>
      </c>
      <c r="E39" s="16">
        <v>30</v>
      </c>
      <c r="F39" s="14">
        <f>INDEX(Summary!$F$19:$F$30,MATCH('Unit 2 b'!C39,Summary!$D$19:$D$30,0))</f>
        <v>7.6999999999999999E-2</v>
      </c>
      <c r="G39" s="14">
        <f t="shared" si="29"/>
        <v>2.31</v>
      </c>
      <c r="H39" s="19" t="s">
        <v>6</v>
      </c>
      <c r="I39" s="65">
        <f t="shared" si="13"/>
        <v>0</v>
      </c>
      <c r="J39" s="68">
        <f t="shared" si="14"/>
        <v>0</v>
      </c>
      <c r="K39" s="66" t="str">
        <f>IF(K$7="","",IF(INDEX('Rooms Walls and Glass'!$D$46:$AB$50, MATCH($D39,'Rooms Walls and Glass'!$A$46:$A$50,0), MATCH('Unit 2 b'!K$7,'Rooms Walls and Glass'!$D$1:$AB$1,0))=0,"",INDEX('Rooms Walls and Glass'!$D$46:$AB$50, MATCH($D39,'Rooms Walls and Glass'!$A$46:$A$50,0), MATCH('Unit 2 b'!K$7,'Rooms Walls and Glass'!$D$1:$AB$1,0))))</f>
        <v/>
      </c>
      <c r="L39" s="68" t="str">
        <f t="shared" si="15"/>
        <v>-</v>
      </c>
      <c r="M39" s="66" t="str">
        <f>IF(M$7="","",IF(INDEX('Rooms Walls and Glass'!$D$46:$AB$50, MATCH($D39,'Rooms Walls and Glass'!$A$46:$A$50,0), MATCH('Unit 2 b'!M$7,'Rooms Walls and Glass'!$D$1:$AB$1,0))=0,"",INDEX('Rooms Walls and Glass'!$D$46:$AB$50, MATCH($D39,'Rooms Walls and Glass'!$A$46:$A$50,0), MATCH('Unit 2 b'!M$7,'Rooms Walls and Glass'!$D$1:$AB$1,0))))</f>
        <v/>
      </c>
      <c r="N39" s="68" t="str">
        <f t="shared" si="16"/>
        <v>-</v>
      </c>
      <c r="O39" s="66" t="str">
        <f>IF(O$7="","",IF(INDEX('Rooms Walls and Glass'!$D$46:$AB$50, MATCH($D39,'Rooms Walls and Glass'!$A$46:$A$50,0), MATCH('Unit 2 b'!O$7,'Rooms Walls and Glass'!$D$1:$AB$1,0))=0,"",INDEX('Rooms Walls and Glass'!$D$46:$AB$50, MATCH($D39,'Rooms Walls and Glass'!$A$46:$A$50,0), MATCH('Unit 2 b'!O$7,'Rooms Walls and Glass'!$D$1:$AB$1,0))))</f>
        <v/>
      </c>
      <c r="P39" s="68" t="str">
        <f t="shared" si="17"/>
        <v>-</v>
      </c>
      <c r="Q39" s="66" t="str">
        <f>IF(Q$7="","",IF(INDEX('Rooms Walls and Glass'!$D$46:$AB$50, MATCH($D39,'Rooms Walls and Glass'!$A$46:$A$50,0), MATCH('Unit 2 b'!Q$7,'Rooms Walls and Glass'!$D$1:$AB$1,0))=0,"",INDEX('Rooms Walls and Glass'!$D$46:$AB$50, MATCH($D39,'Rooms Walls and Glass'!$A$46:$A$50,0), MATCH('Unit 2 b'!Q$7,'Rooms Walls and Glass'!$D$1:$AB$1,0))))</f>
        <v/>
      </c>
      <c r="R39" s="68" t="str">
        <f t="shared" si="18"/>
        <v>-</v>
      </c>
      <c r="S39" s="66" t="str">
        <f>IF(S$7="","",IF(INDEX('Rooms Walls and Glass'!$D$46:$AB$50, MATCH($D39,'Rooms Walls and Glass'!$A$46:$A$50,0), MATCH('Unit 2 b'!S$7,'Rooms Walls and Glass'!$D$1:$AB$1,0))=0,"",INDEX('Rooms Walls and Glass'!$D$46:$AB$50, MATCH($D39,'Rooms Walls and Glass'!$A$46:$A$50,0), MATCH('Unit 2 b'!S$7,'Rooms Walls and Glass'!$D$1:$AB$1,0))))</f>
        <v/>
      </c>
      <c r="T39" s="68" t="str">
        <f t="shared" si="19"/>
        <v>-</v>
      </c>
      <c r="U39" s="66" t="str">
        <f>IF(U$7="","",IF(INDEX('Rooms Walls and Glass'!$D$46:$AB$50, MATCH($D39,'Rooms Walls and Glass'!$A$46:$A$50,0), MATCH('Unit 2 b'!U$7,'Rooms Walls and Glass'!$D$1:$AB$1,0))=0,"",INDEX('Rooms Walls and Glass'!$D$46:$AB$50, MATCH($D39,'Rooms Walls and Glass'!$A$46:$A$50,0), MATCH('Unit 2 b'!U$7,'Rooms Walls and Glass'!$D$1:$AB$1,0))))</f>
        <v/>
      </c>
      <c r="V39" s="68" t="str">
        <f t="shared" si="20"/>
        <v>-</v>
      </c>
      <c r="W39" s="66" t="str">
        <f>IF(W$7="","",IF(INDEX('Rooms Walls and Glass'!$D$46:$AB$50, MATCH($D39,'Rooms Walls and Glass'!$A$46:$A$50,0), MATCH('Unit 2 b'!W$7,'Rooms Walls and Glass'!$D$1:$AB$1,0))=0,"",INDEX('Rooms Walls and Glass'!$D$46:$AB$50, MATCH($D39,'Rooms Walls and Glass'!$A$46:$A$50,0), MATCH('Unit 2 b'!W$7,'Rooms Walls and Glass'!$D$1:$AB$1,0))))</f>
        <v/>
      </c>
      <c r="X39" s="68" t="str">
        <f t="shared" si="21"/>
        <v>-</v>
      </c>
      <c r="Y39" s="66" t="str">
        <f>IF(Y$7="","",IF(INDEX('Rooms Walls and Glass'!$D$46:$AB$50, MATCH($D39,'Rooms Walls and Glass'!$A$46:$A$50,0), MATCH('Unit 2 b'!Y$7,'Rooms Walls and Glass'!$D$1:$AB$1,0))=0,"",INDEX('Rooms Walls and Glass'!$D$46:$AB$50, MATCH($D39,'Rooms Walls and Glass'!$A$46:$A$50,0), MATCH('Unit 2 b'!Y$7,'Rooms Walls and Glass'!$D$1:$AB$1,0))))</f>
        <v/>
      </c>
      <c r="Z39" s="68" t="str">
        <f t="shared" si="22"/>
        <v>-</v>
      </c>
      <c r="AA39" s="66" t="str">
        <f>IF(AA$7="","",IF(INDEX('Rooms Walls and Glass'!$D$46:$AB$50, MATCH($D39,'Rooms Walls and Glass'!$A$46:$A$50,0), MATCH('Unit 2 b'!AA$7,'Rooms Walls and Glass'!$D$1:$AB$1,0))=0,"",INDEX('Rooms Walls and Glass'!$D$46:$AB$50, MATCH($D39,'Rooms Walls and Glass'!$A$46:$A$50,0), MATCH('Unit 2 b'!AA$7,'Rooms Walls and Glass'!$D$1:$AB$1,0))))</f>
        <v/>
      </c>
      <c r="AB39" s="68" t="str">
        <f t="shared" si="23"/>
        <v>-</v>
      </c>
      <c r="AC39" s="66" t="str">
        <f>IF(AC$7="","",IF(INDEX('Rooms Walls and Glass'!$D$46:$AB$50, MATCH($D39,'Rooms Walls and Glass'!$A$46:$A$50,0), MATCH('Unit 2 b'!AC$7,'Rooms Walls and Glass'!$D$1:$AB$1,0))=0,"",INDEX('Rooms Walls and Glass'!$D$46:$AB$50, MATCH($D39,'Rooms Walls and Glass'!$A$46:$A$50,0), MATCH('Unit 2 b'!AC$7,'Rooms Walls and Glass'!$D$1:$AB$1,0))))</f>
        <v/>
      </c>
      <c r="AD39" s="68" t="str">
        <f t="shared" si="30"/>
        <v>-</v>
      </c>
      <c r="AE39" s="66" t="str">
        <f>IF(AE$7="","",IF(INDEX('Rooms Walls and Glass'!$D$46:$AB$50, MATCH($D39,'Rooms Walls and Glass'!$A$46:$A$50,0), MATCH('Unit 2 b'!AE$7,'Rooms Walls and Glass'!$D$1:$AB$1,0))=0,"",INDEX('Rooms Walls and Glass'!$D$46:$AB$50, MATCH($D39,'Rooms Walls and Glass'!$A$46:$A$50,0), MATCH('Unit 2 b'!AE$7,'Rooms Walls and Glass'!$D$1:$AB$1,0))))</f>
        <v/>
      </c>
      <c r="AF39" s="68" t="str">
        <f t="shared" si="31"/>
        <v>-</v>
      </c>
      <c r="AG39" s="66" t="str">
        <f>IF(AG$7="","",IF(INDEX('Rooms Walls and Glass'!$D$46:$AB$50, MATCH($D39,'Rooms Walls and Glass'!$A$46:$A$50,0), MATCH('Unit 2 b'!AG$7,'Rooms Walls and Glass'!$D$1:$AB$1,0))=0,"",INDEX('Rooms Walls and Glass'!$D$46:$AB$50, MATCH($D39,'Rooms Walls and Glass'!$A$46:$A$50,0), MATCH('Unit 2 b'!AG$7,'Rooms Walls and Glass'!$D$1:$AB$1,0))))</f>
        <v/>
      </c>
      <c r="AH39" s="68" t="str">
        <f t="shared" si="25"/>
        <v>-</v>
      </c>
      <c r="AI39" s="66" t="str">
        <f>IF(AI$7="","",IF(INDEX('Rooms Walls and Glass'!$D$46:$AB$50, MATCH($D39,'Rooms Walls and Glass'!$A$46:$A$50,0), MATCH('Unit 2 b'!AI$7,'Rooms Walls and Glass'!$D$1:$AB$1,0))=0,"",INDEX('Rooms Walls and Glass'!$D$46:$AB$50, MATCH($D39,'Rooms Walls and Glass'!$A$46:$A$50,0), MATCH('Unit 2 b'!AI$7,'Rooms Walls and Glass'!$D$1:$AB$1,0))))</f>
        <v/>
      </c>
      <c r="AJ39" s="69" t="str">
        <f t="shared" si="26"/>
        <v>-</v>
      </c>
      <c r="AK39" s="66" t="str">
        <f>IF(AK$7="","",IF(INDEX('Rooms Walls and Glass'!$D$46:$AB$50, MATCH($D39,'Rooms Walls and Glass'!$A$46:$A$50,0), MATCH('Unit 2 b'!AK$7,'Rooms Walls and Glass'!$D$1:$AB$1,0))=0,"",INDEX('Rooms Walls and Glass'!$D$46:$AB$50, MATCH($D39,'Rooms Walls and Glass'!$A$46:$A$50,0), MATCH('Unit 2 b'!AK$7,'Rooms Walls and Glass'!$D$1:$AB$1,0))))</f>
        <v/>
      </c>
      <c r="AL39" s="68" t="str">
        <f t="shared" si="27"/>
        <v>-</v>
      </c>
      <c r="AM39" s="66" t="str">
        <f>IF(AM$7="","",IF(INDEX('Rooms Walls and Glass'!$D$46:$AB$50, MATCH($D39,'Rooms Walls and Glass'!$A$46:$A$50,0), MATCH('Unit 2 b'!AM$7,'Rooms Walls and Glass'!$D$1:$AB$1,0))=0,"",INDEX('Rooms Walls and Glass'!$D$46:$AB$50, MATCH($D39,'Rooms Walls and Glass'!$A$46:$A$50,0), MATCH('Unit 2 b'!AM$7,'Rooms Walls and Glass'!$D$1:$AB$1,0))))</f>
        <v/>
      </c>
      <c r="AN39" s="69" t="str">
        <f t="shared" si="28"/>
        <v>-</v>
      </c>
    </row>
    <row r="40" spans="2:40" ht="11.25" customHeight="1" thickBot="1" x14ac:dyDescent="0.2">
      <c r="B40" s="214"/>
      <c r="C40" s="15" t="s">
        <v>40</v>
      </c>
      <c r="D40" s="16" t="s">
        <v>47</v>
      </c>
      <c r="E40" s="16">
        <f>IF(Summary!P26="R-21 Spray Foam",15,55)</f>
        <v>55</v>
      </c>
      <c r="F40" s="14">
        <f>INDEX(Summary!$F$19:$F$30,MATCH('Unit 2 b'!C40,Summary!$D$19:$D$30,0))</f>
        <v>5.2999999999999999E-2</v>
      </c>
      <c r="G40" s="14">
        <f t="shared" si="29"/>
        <v>2.915</v>
      </c>
      <c r="H40" s="16" t="s">
        <v>6</v>
      </c>
      <c r="I40" s="65">
        <f t="shared" si="13"/>
        <v>0</v>
      </c>
      <c r="J40" s="68">
        <f t="shared" si="14"/>
        <v>0</v>
      </c>
      <c r="K40" s="66" t="str">
        <f>IF(K$7="","",IF(INDEX('Rooms Walls and Glass'!$D$46:$AB$50, MATCH($D40,'Rooms Walls and Glass'!$A$46:$A$50,0), MATCH('Unit 2 b'!K$7,'Rooms Walls and Glass'!$D$1:$AB$1,0))=0,"",INDEX('Rooms Walls and Glass'!$D$46:$AB$50, MATCH($D40,'Rooms Walls and Glass'!$A$46:$A$50,0), MATCH('Unit 2 b'!K$7,'Rooms Walls and Glass'!$D$1:$AB$1,0))))</f>
        <v/>
      </c>
      <c r="L40" s="68" t="str">
        <f t="shared" si="15"/>
        <v>-</v>
      </c>
      <c r="M40" s="66" t="str">
        <f>IF(M$7="","",IF(INDEX('Rooms Walls and Glass'!$D$46:$AB$50, MATCH($D40,'Rooms Walls and Glass'!$A$46:$A$50,0), MATCH('Unit 2 b'!M$7,'Rooms Walls and Glass'!$D$1:$AB$1,0))=0,"",INDEX('Rooms Walls and Glass'!$D$46:$AB$50, MATCH($D40,'Rooms Walls and Glass'!$A$46:$A$50,0), MATCH('Unit 2 b'!M$7,'Rooms Walls and Glass'!$D$1:$AB$1,0))))</f>
        <v/>
      </c>
      <c r="N40" s="68" t="str">
        <f t="shared" si="16"/>
        <v>-</v>
      </c>
      <c r="O40" s="66" t="str">
        <f>IF(O$7="","",IF(INDEX('Rooms Walls and Glass'!$D$46:$AB$50, MATCH($D40,'Rooms Walls and Glass'!$A$46:$A$50,0), MATCH('Unit 2 b'!O$7,'Rooms Walls and Glass'!$D$1:$AB$1,0))=0,"",INDEX('Rooms Walls and Glass'!$D$46:$AB$50, MATCH($D40,'Rooms Walls and Glass'!$A$46:$A$50,0), MATCH('Unit 2 b'!O$7,'Rooms Walls and Glass'!$D$1:$AB$1,0))))</f>
        <v/>
      </c>
      <c r="P40" s="68" t="str">
        <f t="shared" si="17"/>
        <v>-</v>
      </c>
      <c r="Q40" s="66" t="str">
        <f>IF(Q$7="","",IF(INDEX('Rooms Walls and Glass'!$D$46:$AB$50, MATCH($D40,'Rooms Walls and Glass'!$A$46:$A$50,0), MATCH('Unit 2 b'!Q$7,'Rooms Walls and Glass'!$D$1:$AB$1,0))=0,"",INDEX('Rooms Walls and Glass'!$D$46:$AB$50, MATCH($D40,'Rooms Walls and Glass'!$A$46:$A$50,0), MATCH('Unit 2 b'!Q$7,'Rooms Walls and Glass'!$D$1:$AB$1,0))))</f>
        <v/>
      </c>
      <c r="R40" s="68" t="str">
        <f t="shared" si="18"/>
        <v>-</v>
      </c>
      <c r="S40" s="66" t="str">
        <f>IF(S$7="","",IF(INDEX('Rooms Walls and Glass'!$D$46:$AB$50, MATCH($D40,'Rooms Walls and Glass'!$A$46:$A$50,0), MATCH('Unit 2 b'!S$7,'Rooms Walls and Glass'!$D$1:$AB$1,0))=0,"",INDEX('Rooms Walls and Glass'!$D$46:$AB$50, MATCH($D40,'Rooms Walls and Glass'!$A$46:$A$50,0), MATCH('Unit 2 b'!S$7,'Rooms Walls and Glass'!$D$1:$AB$1,0))))</f>
        <v/>
      </c>
      <c r="T40" s="68" t="str">
        <f t="shared" si="19"/>
        <v>-</v>
      </c>
      <c r="U40" s="66" t="str">
        <f>IF(U$7="","",IF(INDEX('Rooms Walls and Glass'!$D$46:$AB$50, MATCH($D40,'Rooms Walls and Glass'!$A$46:$A$50,0), MATCH('Unit 2 b'!U$7,'Rooms Walls and Glass'!$D$1:$AB$1,0))=0,"",INDEX('Rooms Walls and Glass'!$D$46:$AB$50, MATCH($D40,'Rooms Walls and Glass'!$A$46:$A$50,0), MATCH('Unit 2 b'!U$7,'Rooms Walls and Glass'!$D$1:$AB$1,0))))</f>
        <v/>
      </c>
      <c r="V40" s="68" t="str">
        <f t="shared" si="20"/>
        <v>-</v>
      </c>
      <c r="W40" s="66" t="str">
        <f>IF(W$7="","",IF(INDEX('Rooms Walls and Glass'!$D$46:$AB$50, MATCH($D40,'Rooms Walls and Glass'!$A$46:$A$50,0), MATCH('Unit 2 b'!W$7,'Rooms Walls and Glass'!$D$1:$AB$1,0))=0,"",INDEX('Rooms Walls and Glass'!$D$46:$AB$50, MATCH($D40,'Rooms Walls and Glass'!$A$46:$A$50,0), MATCH('Unit 2 b'!W$7,'Rooms Walls and Glass'!$D$1:$AB$1,0))))</f>
        <v/>
      </c>
      <c r="X40" s="68" t="str">
        <f t="shared" si="21"/>
        <v>-</v>
      </c>
      <c r="Y40" s="66" t="str">
        <f>IF(Y$7="","",IF(INDEX('Rooms Walls and Glass'!$D$46:$AB$50, MATCH($D40,'Rooms Walls and Glass'!$A$46:$A$50,0), MATCH('Unit 2 b'!Y$7,'Rooms Walls and Glass'!$D$1:$AB$1,0))=0,"",INDEX('Rooms Walls and Glass'!$D$46:$AB$50, MATCH($D40,'Rooms Walls and Glass'!$A$46:$A$50,0), MATCH('Unit 2 b'!Y$7,'Rooms Walls and Glass'!$D$1:$AB$1,0))))</f>
        <v/>
      </c>
      <c r="Z40" s="68" t="str">
        <f t="shared" si="22"/>
        <v>-</v>
      </c>
      <c r="AA40" s="66" t="str">
        <f>IF(AA$7="","",IF(INDEX('Rooms Walls and Glass'!$D$46:$AB$50, MATCH($D40,'Rooms Walls and Glass'!$A$46:$A$50,0), MATCH('Unit 2 b'!AA$7,'Rooms Walls and Glass'!$D$1:$AB$1,0))=0,"",INDEX('Rooms Walls and Glass'!$D$46:$AB$50, MATCH($D40,'Rooms Walls and Glass'!$A$46:$A$50,0), MATCH('Unit 2 b'!AA$7,'Rooms Walls and Glass'!$D$1:$AB$1,0))))</f>
        <v/>
      </c>
      <c r="AB40" s="68" t="str">
        <f t="shared" si="23"/>
        <v>-</v>
      </c>
      <c r="AC40" s="66" t="str">
        <f>IF(AC$7="","",IF(INDEX('Rooms Walls and Glass'!$D$46:$AB$50, MATCH($D40,'Rooms Walls and Glass'!$A$46:$A$50,0), MATCH('Unit 2 b'!AC$7,'Rooms Walls and Glass'!$D$1:$AB$1,0))=0,"",INDEX('Rooms Walls and Glass'!$D$46:$AB$50, MATCH($D40,'Rooms Walls and Glass'!$A$46:$A$50,0), MATCH('Unit 2 b'!AC$7,'Rooms Walls and Glass'!$D$1:$AB$1,0))))</f>
        <v/>
      </c>
      <c r="AD40" s="68" t="str">
        <f t="shared" si="30"/>
        <v>-</v>
      </c>
      <c r="AE40" s="66" t="str">
        <f>IF(AE$7="","",IF(INDEX('Rooms Walls and Glass'!$D$46:$AB$50, MATCH($D40,'Rooms Walls and Glass'!$A$46:$A$50,0), MATCH('Unit 2 b'!AE$7,'Rooms Walls and Glass'!$D$1:$AB$1,0))=0,"",INDEX('Rooms Walls and Glass'!$D$46:$AB$50, MATCH($D40,'Rooms Walls and Glass'!$A$46:$A$50,0), MATCH('Unit 2 b'!AE$7,'Rooms Walls and Glass'!$D$1:$AB$1,0))))</f>
        <v/>
      </c>
      <c r="AF40" s="68" t="str">
        <f t="shared" si="31"/>
        <v>-</v>
      </c>
      <c r="AG40" s="66" t="str">
        <f>IF(AG$7="","",IF(INDEX('Rooms Walls and Glass'!$D$46:$AB$50, MATCH($D40,'Rooms Walls and Glass'!$A$46:$A$50,0), MATCH('Unit 2 b'!AG$7,'Rooms Walls and Glass'!$D$1:$AB$1,0))=0,"",INDEX('Rooms Walls and Glass'!$D$46:$AB$50, MATCH($D40,'Rooms Walls and Glass'!$A$46:$A$50,0), MATCH('Unit 2 b'!AG$7,'Rooms Walls and Glass'!$D$1:$AB$1,0))))</f>
        <v/>
      </c>
      <c r="AH40" s="68" t="str">
        <f t="shared" si="25"/>
        <v>-</v>
      </c>
      <c r="AI40" s="66" t="str">
        <f>IF(AI$7="","",IF(INDEX('Rooms Walls and Glass'!$D$46:$AB$50, MATCH($D40,'Rooms Walls and Glass'!$A$46:$A$50,0), MATCH('Unit 2 b'!AI$7,'Rooms Walls and Glass'!$D$1:$AB$1,0))=0,"",INDEX('Rooms Walls and Glass'!$D$46:$AB$50, MATCH($D40,'Rooms Walls and Glass'!$A$46:$A$50,0), MATCH('Unit 2 b'!AI$7,'Rooms Walls and Glass'!$D$1:$AB$1,0))))</f>
        <v/>
      </c>
      <c r="AJ40" s="69" t="str">
        <f t="shared" si="26"/>
        <v>-</v>
      </c>
      <c r="AK40" s="66" t="str">
        <f>IF(AK$7="","",IF(INDEX('Rooms Walls and Glass'!$D$46:$AB$50, MATCH($D40,'Rooms Walls and Glass'!$A$46:$A$50,0), MATCH('Unit 2 b'!AK$7,'Rooms Walls and Glass'!$D$1:$AB$1,0))=0,"",INDEX('Rooms Walls and Glass'!$D$46:$AB$50, MATCH($D40,'Rooms Walls and Glass'!$A$46:$A$50,0), MATCH('Unit 2 b'!AK$7,'Rooms Walls and Glass'!$D$1:$AB$1,0))))</f>
        <v/>
      </c>
      <c r="AL40" s="68" t="str">
        <f t="shared" si="27"/>
        <v>-</v>
      </c>
      <c r="AM40" s="66" t="str">
        <f>IF(AM$7="","",IF(INDEX('Rooms Walls and Glass'!$D$46:$AB$50, MATCH($D40,'Rooms Walls and Glass'!$A$46:$A$50,0), MATCH('Unit 2 b'!AM$7,'Rooms Walls and Glass'!$D$1:$AB$1,0))=0,"",INDEX('Rooms Walls and Glass'!$D$46:$AB$50, MATCH($D40,'Rooms Walls and Glass'!$A$46:$A$50,0), MATCH('Unit 2 b'!AM$7,'Rooms Walls and Glass'!$D$1:$AB$1,0))))</f>
        <v/>
      </c>
      <c r="AN40" s="69" t="str">
        <f t="shared" si="28"/>
        <v>-</v>
      </c>
    </row>
    <row r="41" spans="2:40" ht="11.25" customHeight="1" thickBot="1" x14ac:dyDescent="0.2">
      <c r="B41" s="213"/>
      <c r="C41" s="17" t="s">
        <v>40</v>
      </c>
      <c r="D41" s="18" t="s">
        <v>48</v>
      </c>
      <c r="E41" s="16">
        <f>IF(Summary!P27="R-21 Spray Foam",15,55)</f>
        <v>55</v>
      </c>
      <c r="F41" s="14">
        <f>INDEX(Summary!$F$19:$F$30,MATCH('Unit 2 b'!C41,Summary!$D$19:$D$30,0))</f>
        <v>5.2999999999999999E-2</v>
      </c>
      <c r="G41" s="14">
        <f t="shared" si="29"/>
        <v>2.915</v>
      </c>
      <c r="H41" s="18" t="s">
        <v>6</v>
      </c>
      <c r="I41" s="65">
        <f t="shared" si="13"/>
        <v>0</v>
      </c>
      <c r="J41" s="70">
        <f t="shared" si="14"/>
        <v>0</v>
      </c>
      <c r="K41" s="66" t="str">
        <f>IF(K$7="","",IF(INDEX('Rooms Walls and Glass'!$D$46:$AB$50, MATCH($D41,'Rooms Walls and Glass'!$A$46:$A$50,0), MATCH('Unit 2 b'!K$7,'Rooms Walls and Glass'!$D$1:$AB$1,0))=0,"",INDEX('Rooms Walls and Glass'!$D$46:$AB$50, MATCH($D41,'Rooms Walls and Glass'!$A$46:$A$50,0), MATCH('Unit 2 b'!K$7,'Rooms Walls and Glass'!$D$1:$AB$1,0))))</f>
        <v/>
      </c>
      <c r="L41" s="70" t="str">
        <f t="shared" si="15"/>
        <v>-</v>
      </c>
      <c r="M41" s="66" t="str">
        <f>IF(M$7="","",IF(INDEX('Rooms Walls and Glass'!$D$46:$AB$50, MATCH($D41,'Rooms Walls and Glass'!$A$46:$A$50,0), MATCH('Unit 2 b'!M$7,'Rooms Walls and Glass'!$D$1:$AB$1,0))=0,"",INDEX('Rooms Walls and Glass'!$D$46:$AB$50, MATCH($D41,'Rooms Walls and Glass'!$A$46:$A$50,0), MATCH('Unit 2 b'!M$7,'Rooms Walls and Glass'!$D$1:$AB$1,0))))</f>
        <v/>
      </c>
      <c r="N41" s="70" t="str">
        <f t="shared" si="16"/>
        <v>-</v>
      </c>
      <c r="O41" s="66" t="str">
        <f>IF(O$7="","",IF(INDEX('Rooms Walls and Glass'!$D$46:$AB$50, MATCH($D41,'Rooms Walls and Glass'!$A$46:$A$50,0), MATCH('Unit 2 b'!O$7,'Rooms Walls and Glass'!$D$1:$AB$1,0))=0,"",INDEX('Rooms Walls and Glass'!$D$46:$AB$50, MATCH($D41,'Rooms Walls and Glass'!$A$46:$A$50,0), MATCH('Unit 2 b'!O$7,'Rooms Walls and Glass'!$D$1:$AB$1,0))))</f>
        <v/>
      </c>
      <c r="P41" s="70" t="str">
        <f t="shared" si="17"/>
        <v>-</v>
      </c>
      <c r="Q41" s="66" t="str">
        <f>IF(Q$7="","",IF(INDEX('Rooms Walls and Glass'!$D$46:$AB$50, MATCH($D41,'Rooms Walls and Glass'!$A$46:$A$50,0), MATCH('Unit 2 b'!Q$7,'Rooms Walls and Glass'!$D$1:$AB$1,0))=0,"",INDEX('Rooms Walls and Glass'!$D$46:$AB$50, MATCH($D41,'Rooms Walls and Glass'!$A$46:$A$50,0), MATCH('Unit 2 b'!Q$7,'Rooms Walls and Glass'!$D$1:$AB$1,0))))</f>
        <v/>
      </c>
      <c r="R41" s="70" t="str">
        <f t="shared" si="18"/>
        <v>-</v>
      </c>
      <c r="S41" s="66" t="str">
        <f>IF(S$7="","",IF(INDEX('Rooms Walls and Glass'!$D$46:$AB$50, MATCH($D41,'Rooms Walls and Glass'!$A$46:$A$50,0), MATCH('Unit 2 b'!S$7,'Rooms Walls and Glass'!$D$1:$AB$1,0))=0,"",INDEX('Rooms Walls and Glass'!$D$46:$AB$50, MATCH($D41,'Rooms Walls and Glass'!$A$46:$A$50,0), MATCH('Unit 2 b'!S$7,'Rooms Walls and Glass'!$D$1:$AB$1,0))))</f>
        <v/>
      </c>
      <c r="T41" s="70" t="str">
        <f t="shared" si="19"/>
        <v>-</v>
      </c>
      <c r="U41" s="66" t="str">
        <f>IF(U$7="","",IF(INDEX('Rooms Walls and Glass'!$D$46:$AB$50, MATCH($D41,'Rooms Walls and Glass'!$A$46:$A$50,0), MATCH('Unit 2 b'!U$7,'Rooms Walls and Glass'!$D$1:$AB$1,0))=0,"",INDEX('Rooms Walls and Glass'!$D$46:$AB$50, MATCH($D41,'Rooms Walls and Glass'!$A$46:$A$50,0), MATCH('Unit 2 b'!U$7,'Rooms Walls and Glass'!$D$1:$AB$1,0))))</f>
        <v/>
      </c>
      <c r="V41" s="70" t="str">
        <f t="shared" si="20"/>
        <v>-</v>
      </c>
      <c r="W41" s="66" t="str">
        <f>IF(W$7="","",IF(INDEX('Rooms Walls and Glass'!$D$46:$AB$50, MATCH($D41,'Rooms Walls and Glass'!$A$46:$A$50,0), MATCH('Unit 2 b'!W$7,'Rooms Walls and Glass'!$D$1:$AB$1,0))=0,"",INDEX('Rooms Walls and Glass'!$D$46:$AB$50, MATCH($D41,'Rooms Walls and Glass'!$A$46:$A$50,0), MATCH('Unit 2 b'!W$7,'Rooms Walls and Glass'!$D$1:$AB$1,0))))</f>
        <v/>
      </c>
      <c r="X41" s="70" t="str">
        <f t="shared" si="21"/>
        <v>-</v>
      </c>
      <c r="Y41" s="66" t="str">
        <f>IF(Y$7="","",IF(INDEX('Rooms Walls and Glass'!$D$46:$AB$50, MATCH($D41,'Rooms Walls and Glass'!$A$46:$A$50,0), MATCH('Unit 2 b'!Y$7,'Rooms Walls and Glass'!$D$1:$AB$1,0))=0,"",INDEX('Rooms Walls and Glass'!$D$46:$AB$50, MATCH($D41,'Rooms Walls and Glass'!$A$46:$A$50,0), MATCH('Unit 2 b'!Y$7,'Rooms Walls and Glass'!$D$1:$AB$1,0))))</f>
        <v/>
      </c>
      <c r="Z41" s="70" t="str">
        <f t="shared" si="22"/>
        <v>-</v>
      </c>
      <c r="AA41" s="66" t="str">
        <f>IF(AA$7="","",IF(INDEX('Rooms Walls and Glass'!$D$46:$AB$50, MATCH($D41,'Rooms Walls and Glass'!$A$46:$A$50,0), MATCH('Unit 2 b'!AA$7,'Rooms Walls and Glass'!$D$1:$AB$1,0))=0,"",INDEX('Rooms Walls and Glass'!$D$46:$AB$50, MATCH($D41,'Rooms Walls and Glass'!$A$46:$A$50,0), MATCH('Unit 2 b'!AA$7,'Rooms Walls and Glass'!$D$1:$AB$1,0))))</f>
        <v/>
      </c>
      <c r="AB41" s="70" t="str">
        <f t="shared" si="23"/>
        <v>-</v>
      </c>
      <c r="AC41" s="66" t="str">
        <f>IF(AC$7="","",IF(INDEX('Rooms Walls and Glass'!$D$46:$AB$50, MATCH($D41,'Rooms Walls and Glass'!$A$46:$A$50,0), MATCH('Unit 2 b'!AC$7,'Rooms Walls and Glass'!$D$1:$AB$1,0))=0,"",INDEX('Rooms Walls and Glass'!$D$46:$AB$50, MATCH($D41,'Rooms Walls and Glass'!$A$46:$A$50,0), MATCH('Unit 2 b'!AC$7,'Rooms Walls and Glass'!$D$1:$AB$1,0))))</f>
        <v/>
      </c>
      <c r="AD41" s="70" t="str">
        <f t="shared" si="30"/>
        <v>-</v>
      </c>
      <c r="AE41" s="66" t="str">
        <f>IF(AE$7="","",IF(INDEX('Rooms Walls and Glass'!$D$46:$AB$50, MATCH($D41,'Rooms Walls and Glass'!$A$46:$A$50,0), MATCH('Unit 2 b'!AE$7,'Rooms Walls and Glass'!$D$1:$AB$1,0))=0,"",INDEX('Rooms Walls and Glass'!$D$46:$AB$50, MATCH($D41,'Rooms Walls and Glass'!$A$46:$A$50,0), MATCH('Unit 2 b'!AE$7,'Rooms Walls and Glass'!$D$1:$AB$1,0))))</f>
        <v/>
      </c>
      <c r="AF41" s="70" t="str">
        <f t="shared" si="31"/>
        <v>-</v>
      </c>
      <c r="AG41" s="66" t="str">
        <f>IF(AG$7="","",IF(INDEX('Rooms Walls and Glass'!$D$46:$AB$50, MATCH($D41,'Rooms Walls and Glass'!$A$46:$A$50,0), MATCH('Unit 2 b'!AG$7,'Rooms Walls and Glass'!$D$1:$AB$1,0))=0,"",INDEX('Rooms Walls and Glass'!$D$46:$AB$50, MATCH($D41,'Rooms Walls and Glass'!$A$46:$A$50,0), MATCH('Unit 2 b'!AG$7,'Rooms Walls and Glass'!$D$1:$AB$1,0))))</f>
        <v/>
      </c>
      <c r="AH41" s="70" t="str">
        <f t="shared" si="25"/>
        <v>-</v>
      </c>
      <c r="AI41" s="66" t="str">
        <f>IF(AI$7="","",IF(INDEX('Rooms Walls and Glass'!$D$46:$AB$50, MATCH($D41,'Rooms Walls and Glass'!$A$46:$A$50,0), MATCH('Unit 2 b'!AI$7,'Rooms Walls and Glass'!$D$1:$AB$1,0))=0,"",INDEX('Rooms Walls and Glass'!$D$46:$AB$50, MATCH($D41,'Rooms Walls and Glass'!$A$46:$A$50,0), MATCH('Unit 2 b'!AI$7,'Rooms Walls and Glass'!$D$1:$AB$1,0))))</f>
        <v/>
      </c>
      <c r="AJ41" s="71" t="str">
        <f t="shared" si="26"/>
        <v>-</v>
      </c>
      <c r="AK41" s="66" t="str">
        <f>IF(AK$7="","",IF(INDEX('Rooms Walls and Glass'!$D$46:$AB$50, MATCH($D41,'Rooms Walls and Glass'!$A$46:$A$50,0), MATCH('Unit 2 b'!AK$7,'Rooms Walls and Glass'!$D$1:$AB$1,0))=0,"",INDEX('Rooms Walls and Glass'!$D$46:$AB$50, MATCH($D41,'Rooms Walls and Glass'!$A$46:$A$50,0), MATCH('Unit 2 b'!AK$7,'Rooms Walls and Glass'!$D$1:$AB$1,0))))</f>
        <v/>
      </c>
      <c r="AL41" s="70" t="str">
        <f t="shared" si="27"/>
        <v>-</v>
      </c>
      <c r="AM41" s="66" t="str">
        <f>IF(AM$7="","",IF(INDEX('Rooms Walls and Glass'!$D$46:$AB$50, MATCH($D41,'Rooms Walls and Glass'!$A$46:$A$50,0), MATCH('Unit 2 b'!AM$7,'Rooms Walls and Glass'!$D$1:$AB$1,0))=0,"",INDEX('Rooms Walls and Glass'!$D$46:$AB$50, MATCH($D41,'Rooms Walls and Glass'!$A$46:$A$50,0), MATCH('Unit 2 b'!AM$7,'Rooms Walls and Glass'!$D$1:$AB$1,0))))</f>
        <v/>
      </c>
      <c r="AN41" s="71" t="str">
        <f t="shared" si="28"/>
        <v>-</v>
      </c>
    </row>
    <row r="42" spans="2:40" ht="11.25" customHeight="1" thickBot="1" x14ac:dyDescent="0.2">
      <c r="B42" s="212" t="s">
        <v>81</v>
      </c>
      <c r="C42" s="12" t="s">
        <v>41</v>
      </c>
      <c r="D42" s="13" t="s">
        <v>49</v>
      </c>
      <c r="E42" s="13">
        <v>55</v>
      </c>
      <c r="F42" s="14">
        <f>INDEX(Summary!$F$19:$F$30,MATCH('Unit 2 b'!C42,Summary!$D$19:$D$30,0))</f>
        <v>2.5999999999999999E-2</v>
      </c>
      <c r="G42" s="14">
        <f t="shared" si="29"/>
        <v>1.43</v>
      </c>
      <c r="H42" s="13" t="s">
        <v>6</v>
      </c>
      <c r="I42" s="65">
        <f t="shared" si="13"/>
        <v>0</v>
      </c>
      <c r="J42" s="65">
        <f t="shared" si="14"/>
        <v>0</v>
      </c>
      <c r="K42" s="66" t="str">
        <f>IF(K$7="","",IF(INDEX('Rooms Walls and Glass'!$D$53:$AB$57, MATCH($D42,'Rooms Walls and Glass'!$A$53:$A$57,0), MATCH('Unit 2 b'!K$7,'Rooms Walls and Glass'!$D$1:$AB$1,0))=0,"",INDEX('Rooms Walls and Glass'!$D$53:$AB$57, MATCH($D42,'Rooms Walls and Glass'!$A$53:$A$57,0), MATCH('Unit 2 b'!K$7,'Rooms Walls and Glass'!$D$1:$AB$1,0))))</f>
        <v/>
      </c>
      <c r="L42" s="65" t="str">
        <f t="shared" si="15"/>
        <v>-</v>
      </c>
      <c r="M42" s="66" t="str">
        <f>IF(M$7="","",IF(INDEX('Rooms Walls and Glass'!$D$53:$AB$57, MATCH($D42,'Rooms Walls and Glass'!$A$53:$A$57,0), MATCH('Unit 2 b'!M$7,'Rooms Walls and Glass'!$D$1:$AB$1,0))=0,"",INDEX('Rooms Walls and Glass'!$D$53:$AB$57, MATCH($D42,'Rooms Walls and Glass'!$A$53:$A$57,0), MATCH('Unit 2 b'!M$7,'Rooms Walls and Glass'!$D$1:$AB$1,0))))</f>
        <v/>
      </c>
      <c r="N42" s="65" t="str">
        <f t="shared" si="16"/>
        <v>-</v>
      </c>
      <c r="O42" s="66" t="str">
        <f>IF(O$7="","",IF(INDEX('Rooms Walls and Glass'!$D$53:$AB$57, MATCH($D42,'Rooms Walls and Glass'!$A$53:$A$57,0), MATCH('Unit 2 b'!O$7,'Rooms Walls and Glass'!$D$1:$AB$1,0))=0,"",INDEX('Rooms Walls and Glass'!$D$53:$AB$57, MATCH($D42,'Rooms Walls and Glass'!$A$53:$A$57,0), MATCH('Unit 2 b'!O$7,'Rooms Walls and Glass'!$D$1:$AB$1,0))))</f>
        <v/>
      </c>
      <c r="P42" s="65" t="str">
        <f t="shared" si="17"/>
        <v>-</v>
      </c>
      <c r="Q42" s="66" t="str">
        <f>IF(Q$7="","",IF(INDEX('Rooms Walls and Glass'!$D$53:$AB$57, MATCH($D42,'Rooms Walls and Glass'!$A$53:$A$57,0), MATCH('Unit 2 b'!Q$7,'Rooms Walls and Glass'!$D$1:$AB$1,0))=0,"",INDEX('Rooms Walls and Glass'!$D$53:$AB$57, MATCH($D42,'Rooms Walls and Glass'!$A$53:$A$57,0), MATCH('Unit 2 b'!Q$7,'Rooms Walls and Glass'!$D$1:$AB$1,0))))</f>
        <v/>
      </c>
      <c r="R42" s="65" t="str">
        <f t="shared" si="18"/>
        <v>-</v>
      </c>
      <c r="S42" s="66" t="str">
        <f>IF(S$7="","",IF(INDEX('Rooms Walls and Glass'!$D$53:$AB$57, MATCH($D42,'Rooms Walls and Glass'!$A$53:$A$57,0), MATCH('Unit 2 b'!S$7,'Rooms Walls and Glass'!$D$1:$AB$1,0))=0,"",INDEX('Rooms Walls and Glass'!$D$53:$AB$57, MATCH($D42,'Rooms Walls and Glass'!$A$53:$A$57,0), MATCH('Unit 2 b'!S$7,'Rooms Walls and Glass'!$D$1:$AB$1,0))))</f>
        <v/>
      </c>
      <c r="T42" s="65" t="str">
        <f t="shared" si="19"/>
        <v>-</v>
      </c>
      <c r="U42" s="66" t="str">
        <f>IF(U$7="","",IF(INDEX('Rooms Walls and Glass'!$D$53:$AB$57, MATCH($D42,'Rooms Walls and Glass'!$A$53:$A$57,0), MATCH('Unit 2 b'!U$7,'Rooms Walls and Glass'!$D$1:$AB$1,0))=0,"",INDEX('Rooms Walls and Glass'!$D$53:$AB$57, MATCH($D42,'Rooms Walls and Glass'!$A$53:$A$57,0), MATCH('Unit 2 b'!U$7,'Rooms Walls and Glass'!$D$1:$AB$1,0))))</f>
        <v/>
      </c>
      <c r="V42" s="65" t="str">
        <f t="shared" si="20"/>
        <v>-</v>
      </c>
      <c r="W42" s="66" t="str">
        <f>IF(W$7="","",IF(INDEX('Rooms Walls and Glass'!$D$53:$AB$57, MATCH($D42,'Rooms Walls and Glass'!$A$53:$A$57,0), MATCH('Unit 2 b'!W$7,'Rooms Walls and Glass'!$D$1:$AB$1,0))=0,"",INDEX('Rooms Walls and Glass'!$D$53:$AB$57, MATCH($D42,'Rooms Walls and Glass'!$A$53:$A$57,0), MATCH('Unit 2 b'!W$7,'Rooms Walls and Glass'!$D$1:$AB$1,0))))</f>
        <v/>
      </c>
      <c r="X42" s="65" t="str">
        <f t="shared" si="21"/>
        <v>-</v>
      </c>
      <c r="Y42" s="66" t="str">
        <f>IF(Y$7="","",IF(INDEX('Rooms Walls and Glass'!$D$53:$AB$57, MATCH($D42,'Rooms Walls and Glass'!$A$53:$A$57,0), MATCH('Unit 2 b'!Y$7,'Rooms Walls and Glass'!$D$1:$AB$1,0))=0,"",INDEX('Rooms Walls and Glass'!$D$53:$AB$57, MATCH($D42,'Rooms Walls and Glass'!$A$53:$A$57,0), MATCH('Unit 2 b'!Y$7,'Rooms Walls and Glass'!$D$1:$AB$1,0))))</f>
        <v/>
      </c>
      <c r="Z42" s="65" t="str">
        <f t="shared" si="22"/>
        <v>-</v>
      </c>
      <c r="AA42" s="66" t="str">
        <f>IF(AA$7="","",IF(INDEX('Rooms Walls and Glass'!$D$53:$AB$57, MATCH($D42,'Rooms Walls and Glass'!$A$53:$A$57,0), MATCH('Unit 2 b'!AA$7,'Rooms Walls and Glass'!$D$1:$AB$1,0))=0,"",INDEX('Rooms Walls and Glass'!$D$53:$AB$57, MATCH($D42,'Rooms Walls and Glass'!$A$53:$A$57,0), MATCH('Unit 2 b'!AA$7,'Rooms Walls and Glass'!$D$1:$AB$1,0))))</f>
        <v/>
      </c>
      <c r="AB42" s="65" t="str">
        <f t="shared" si="23"/>
        <v>-</v>
      </c>
      <c r="AC42" s="66" t="str">
        <f>IF(AC$7="","",IF(INDEX('Rooms Walls and Glass'!$D$53:$AB$57, MATCH($D42,'Rooms Walls and Glass'!$A$53:$A$57,0), MATCH('Unit 2 b'!AC$7,'Rooms Walls and Glass'!$D$1:$AB$1,0))=0,"",INDEX('Rooms Walls and Glass'!$D$53:$AB$57, MATCH($D42,'Rooms Walls and Glass'!$A$53:$A$57,0), MATCH('Unit 2 b'!AC$7,'Rooms Walls and Glass'!$D$1:$AB$1,0))))</f>
        <v/>
      </c>
      <c r="AD42" s="65" t="str">
        <f t="shared" si="30"/>
        <v>-</v>
      </c>
      <c r="AE42" s="66" t="str">
        <f>IF(AE$7="","",IF(INDEX('Rooms Walls and Glass'!$D$53:$AB$57, MATCH($D42,'Rooms Walls and Glass'!$A$53:$A$57,0), MATCH('Unit 2 b'!AE$7,'Rooms Walls and Glass'!$D$1:$AB$1,0))=0,"",INDEX('Rooms Walls and Glass'!$D$53:$AB$57, MATCH($D42,'Rooms Walls and Glass'!$A$53:$A$57,0), MATCH('Unit 2 b'!AE$7,'Rooms Walls and Glass'!$D$1:$AB$1,0))))</f>
        <v/>
      </c>
      <c r="AF42" s="65" t="str">
        <f t="shared" si="31"/>
        <v>-</v>
      </c>
      <c r="AG42" s="66" t="str">
        <f>IF(AG$7="","",IF(INDEX('Rooms Walls and Glass'!$D$53:$AB$57, MATCH($D42,'Rooms Walls and Glass'!$A$53:$A$57,0), MATCH('Unit 2 b'!AG$7,'Rooms Walls and Glass'!$D$1:$AB$1,0))=0,"",INDEX('Rooms Walls and Glass'!$D$53:$AB$57, MATCH($D42,'Rooms Walls and Glass'!$A$53:$A$57,0), MATCH('Unit 2 b'!AG$7,'Rooms Walls and Glass'!$D$1:$AB$1,0))))</f>
        <v/>
      </c>
      <c r="AH42" s="65" t="str">
        <f t="shared" si="25"/>
        <v>-</v>
      </c>
      <c r="AI42" s="66" t="str">
        <f>IF(AI$7="","",IF(INDEX('Rooms Walls and Glass'!$D$53:$AB$57, MATCH($D42,'Rooms Walls and Glass'!$A$53:$A$57,0), MATCH('Unit 2 b'!AI$7,'Rooms Walls and Glass'!$D$1:$AB$1,0))=0,"",INDEX('Rooms Walls and Glass'!$D$53:$AB$57, MATCH($D42,'Rooms Walls and Glass'!$A$53:$A$57,0), MATCH('Unit 2 b'!AI$7,'Rooms Walls and Glass'!$D$1:$AB$1,0))))</f>
        <v/>
      </c>
      <c r="AJ42" s="67" t="str">
        <f t="shared" si="26"/>
        <v>-</v>
      </c>
      <c r="AK42" s="66" t="str">
        <f>IF(AK$7="","",IF(INDEX('Rooms Walls and Glass'!$D$53:$AB$57, MATCH($D42,'Rooms Walls and Glass'!$A$53:$A$57,0), MATCH('Unit 2 b'!AK$7,'Rooms Walls and Glass'!$D$1:$AB$1,0))=0,"",INDEX('Rooms Walls and Glass'!$D$53:$AB$57, MATCH($D42,'Rooms Walls and Glass'!$A$53:$A$57,0), MATCH('Unit 2 b'!AK$7,'Rooms Walls and Glass'!$D$1:$AB$1,0))))</f>
        <v/>
      </c>
      <c r="AL42" s="65" t="str">
        <f t="shared" si="27"/>
        <v>-</v>
      </c>
      <c r="AM42" s="66" t="str">
        <f>IF(AM$7="","",IF(INDEX('Rooms Walls and Glass'!$D$53:$AB$57, MATCH($D42,'Rooms Walls and Glass'!$A$53:$A$57,0), MATCH('Unit 2 b'!AM$7,'Rooms Walls and Glass'!$D$1:$AB$1,0))=0,"",INDEX('Rooms Walls and Glass'!$D$53:$AB$57, MATCH($D42,'Rooms Walls and Glass'!$A$53:$A$57,0), MATCH('Unit 2 b'!AM$7,'Rooms Walls and Glass'!$D$1:$AB$1,0))))</f>
        <v/>
      </c>
      <c r="AN42" s="67" t="str">
        <f t="shared" si="28"/>
        <v>-</v>
      </c>
    </row>
    <row r="43" spans="2:40" ht="11.25" customHeight="1" thickBot="1" x14ac:dyDescent="0.2">
      <c r="B43" s="213"/>
      <c r="C43" s="17" t="s">
        <v>42</v>
      </c>
      <c r="D43" s="18" t="s">
        <v>50</v>
      </c>
      <c r="E43" s="18">
        <v>55</v>
      </c>
      <c r="F43" s="14">
        <f>INDEX(Summary!$F$19:$F$30,MATCH('Unit 2 b'!C43,Summary!$D$19:$D$30,0))</f>
        <v>0.26</v>
      </c>
      <c r="G43" s="14">
        <f t="shared" si="29"/>
        <v>14.3</v>
      </c>
      <c r="H43" s="18" t="s">
        <v>6</v>
      </c>
      <c r="I43" s="65">
        <f t="shared" si="13"/>
        <v>0</v>
      </c>
      <c r="J43" s="70">
        <f t="shared" si="14"/>
        <v>0</v>
      </c>
      <c r="K43" s="66" t="str">
        <f>IF(K$7="","",IF(INDEX('Rooms Walls and Glass'!$D$53:$AB$57, MATCH($D43,'Rooms Walls and Glass'!$A$53:$A$57,0), MATCH('Unit 2 b'!K$7,'Rooms Walls and Glass'!$D$1:$AB$1,0))=0,"",INDEX('Rooms Walls and Glass'!$D$53:$AB$57, MATCH($D43,'Rooms Walls and Glass'!$A$53:$A$57,0), MATCH('Unit 2 b'!K$7,'Rooms Walls and Glass'!$D$1:$AB$1,0))))</f>
        <v/>
      </c>
      <c r="L43" s="70" t="str">
        <f t="shared" si="15"/>
        <v>-</v>
      </c>
      <c r="M43" s="66" t="str">
        <f>IF(M$7="","",IF(INDEX('Rooms Walls and Glass'!$D$53:$AB$57, MATCH($D43,'Rooms Walls and Glass'!$A$53:$A$57,0), MATCH('Unit 2 b'!M$7,'Rooms Walls and Glass'!$D$1:$AB$1,0))=0,"",INDEX('Rooms Walls and Glass'!$D$53:$AB$57, MATCH($D43,'Rooms Walls and Glass'!$A$53:$A$57,0), MATCH('Unit 2 b'!M$7,'Rooms Walls and Glass'!$D$1:$AB$1,0))))</f>
        <v/>
      </c>
      <c r="N43" s="70" t="str">
        <f t="shared" si="16"/>
        <v>-</v>
      </c>
      <c r="O43" s="66" t="str">
        <f>IF(O$7="","",IF(INDEX('Rooms Walls and Glass'!$D$53:$AB$57, MATCH($D43,'Rooms Walls and Glass'!$A$53:$A$57,0), MATCH('Unit 2 b'!O$7,'Rooms Walls and Glass'!$D$1:$AB$1,0))=0,"",INDEX('Rooms Walls and Glass'!$D$53:$AB$57, MATCH($D43,'Rooms Walls and Glass'!$A$53:$A$57,0), MATCH('Unit 2 b'!O$7,'Rooms Walls and Glass'!$D$1:$AB$1,0))))</f>
        <v/>
      </c>
      <c r="P43" s="70" t="str">
        <f t="shared" si="17"/>
        <v>-</v>
      </c>
      <c r="Q43" s="66" t="str">
        <f>IF(Q$7="","",IF(INDEX('Rooms Walls and Glass'!$D$53:$AB$57, MATCH($D43,'Rooms Walls and Glass'!$A$53:$A$57,0), MATCH('Unit 2 b'!Q$7,'Rooms Walls and Glass'!$D$1:$AB$1,0))=0,"",INDEX('Rooms Walls and Glass'!$D$53:$AB$57, MATCH($D43,'Rooms Walls and Glass'!$A$53:$A$57,0), MATCH('Unit 2 b'!Q$7,'Rooms Walls and Glass'!$D$1:$AB$1,0))))</f>
        <v/>
      </c>
      <c r="R43" s="70" t="str">
        <f t="shared" si="18"/>
        <v>-</v>
      </c>
      <c r="S43" s="66" t="str">
        <f>IF(S$7="","",IF(INDEX('Rooms Walls and Glass'!$D$53:$AB$57, MATCH($D43,'Rooms Walls and Glass'!$A$53:$A$57,0), MATCH('Unit 2 b'!S$7,'Rooms Walls and Glass'!$D$1:$AB$1,0))=0,"",INDEX('Rooms Walls and Glass'!$D$53:$AB$57, MATCH($D43,'Rooms Walls and Glass'!$A$53:$A$57,0), MATCH('Unit 2 b'!S$7,'Rooms Walls and Glass'!$D$1:$AB$1,0))))</f>
        <v/>
      </c>
      <c r="T43" s="70" t="str">
        <f t="shared" si="19"/>
        <v>-</v>
      </c>
      <c r="U43" s="66" t="str">
        <f>IF(U$7="","",IF(INDEX('Rooms Walls and Glass'!$D$53:$AB$57, MATCH($D43,'Rooms Walls and Glass'!$A$53:$A$57,0), MATCH('Unit 2 b'!U$7,'Rooms Walls and Glass'!$D$1:$AB$1,0))=0,"",INDEX('Rooms Walls and Glass'!$D$53:$AB$57, MATCH($D43,'Rooms Walls and Glass'!$A$53:$A$57,0), MATCH('Unit 2 b'!U$7,'Rooms Walls and Glass'!$D$1:$AB$1,0))))</f>
        <v/>
      </c>
      <c r="V43" s="70" t="str">
        <f t="shared" si="20"/>
        <v>-</v>
      </c>
      <c r="W43" s="66" t="str">
        <f>IF(W$7="","",IF(INDEX('Rooms Walls and Glass'!$D$53:$AB$57, MATCH($D43,'Rooms Walls and Glass'!$A$53:$A$57,0), MATCH('Unit 2 b'!W$7,'Rooms Walls and Glass'!$D$1:$AB$1,0))=0,"",INDEX('Rooms Walls and Glass'!$D$53:$AB$57, MATCH($D43,'Rooms Walls and Glass'!$A$53:$A$57,0), MATCH('Unit 2 b'!W$7,'Rooms Walls and Glass'!$D$1:$AB$1,0))))</f>
        <v/>
      </c>
      <c r="X43" s="70" t="str">
        <f t="shared" si="21"/>
        <v>-</v>
      </c>
      <c r="Y43" s="66" t="str">
        <f>IF(Y$7="","",IF(INDEX('Rooms Walls and Glass'!$D$53:$AB$57, MATCH($D43,'Rooms Walls and Glass'!$A$53:$A$57,0), MATCH('Unit 2 b'!Y$7,'Rooms Walls and Glass'!$D$1:$AB$1,0))=0,"",INDEX('Rooms Walls and Glass'!$D$53:$AB$57, MATCH($D43,'Rooms Walls and Glass'!$A$53:$A$57,0), MATCH('Unit 2 b'!Y$7,'Rooms Walls and Glass'!$D$1:$AB$1,0))))</f>
        <v/>
      </c>
      <c r="Z43" s="70" t="str">
        <f t="shared" si="22"/>
        <v>-</v>
      </c>
      <c r="AA43" s="66" t="str">
        <f>IF(AA$7="","",IF(INDEX('Rooms Walls and Glass'!$D$53:$AB$57, MATCH($D43,'Rooms Walls and Glass'!$A$53:$A$57,0), MATCH('Unit 2 b'!AA$7,'Rooms Walls and Glass'!$D$1:$AB$1,0))=0,"",INDEX('Rooms Walls and Glass'!$D$53:$AB$57, MATCH($D43,'Rooms Walls and Glass'!$A$53:$A$57,0), MATCH('Unit 2 b'!AA$7,'Rooms Walls and Glass'!$D$1:$AB$1,0))))</f>
        <v/>
      </c>
      <c r="AB43" s="70" t="str">
        <f t="shared" si="23"/>
        <v>-</v>
      </c>
      <c r="AC43" s="66" t="str">
        <f>IF(AC$7="","",IF(INDEX('Rooms Walls and Glass'!$D$53:$AB$57, MATCH($D43,'Rooms Walls and Glass'!$A$53:$A$57,0), MATCH('Unit 2 b'!AC$7,'Rooms Walls and Glass'!$D$1:$AB$1,0))=0,"",INDEX('Rooms Walls and Glass'!$D$53:$AB$57, MATCH($D43,'Rooms Walls and Glass'!$A$53:$A$57,0), MATCH('Unit 2 b'!AC$7,'Rooms Walls and Glass'!$D$1:$AB$1,0))))</f>
        <v/>
      </c>
      <c r="AD43" s="70" t="str">
        <f t="shared" si="30"/>
        <v>-</v>
      </c>
      <c r="AE43" s="66" t="str">
        <f>IF(AE$7="","",IF(INDEX('Rooms Walls and Glass'!$D$53:$AB$57, MATCH($D43,'Rooms Walls and Glass'!$A$53:$A$57,0), MATCH('Unit 2 b'!AE$7,'Rooms Walls and Glass'!$D$1:$AB$1,0))=0,"",INDEX('Rooms Walls and Glass'!$D$53:$AB$57, MATCH($D43,'Rooms Walls and Glass'!$A$53:$A$57,0), MATCH('Unit 2 b'!AE$7,'Rooms Walls and Glass'!$D$1:$AB$1,0))))</f>
        <v/>
      </c>
      <c r="AF43" s="70" t="str">
        <f t="shared" si="31"/>
        <v>-</v>
      </c>
      <c r="AG43" s="66" t="str">
        <f>IF(AG$7="","",IF(INDEX('Rooms Walls and Glass'!$D$53:$AB$57, MATCH($D43,'Rooms Walls and Glass'!$A$53:$A$57,0), MATCH('Unit 2 b'!AG$7,'Rooms Walls and Glass'!$D$1:$AB$1,0))=0,"",INDEX('Rooms Walls and Glass'!$D$53:$AB$57, MATCH($D43,'Rooms Walls and Glass'!$A$53:$A$57,0), MATCH('Unit 2 b'!AG$7,'Rooms Walls and Glass'!$D$1:$AB$1,0))))</f>
        <v/>
      </c>
      <c r="AH43" s="70" t="str">
        <f t="shared" si="25"/>
        <v>-</v>
      </c>
      <c r="AI43" s="66" t="str">
        <f>IF(AI$7="","",IF(INDEX('Rooms Walls and Glass'!$D$53:$AB$57, MATCH($D43,'Rooms Walls and Glass'!$A$53:$A$57,0), MATCH('Unit 2 b'!AI$7,'Rooms Walls and Glass'!$D$1:$AB$1,0))=0,"",INDEX('Rooms Walls and Glass'!$D$53:$AB$57, MATCH($D43,'Rooms Walls and Glass'!$A$53:$A$57,0), MATCH('Unit 2 b'!AI$7,'Rooms Walls and Glass'!$D$1:$AB$1,0))))</f>
        <v/>
      </c>
      <c r="AJ43" s="71" t="str">
        <f t="shared" si="26"/>
        <v>-</v>
      </c>
      <c r="AK43" s="66" t="str">
        <f>IF(AK$7="","",IF(INDEX('Rooms Walls and Glass'!$D$53:$AB$57, MATCH($D43,'Rooms Walls and Glass'!$A$53:$A$57,0), MATCH('Unit 2 b'!AK$7,'Rooms Walls and Glass'!$D$1:$AB$1,0))=0,"",INDEX('Rooms Walls and Glass'!$D$53:$AB$57, MATCH($D43,'Rooms Walls and Glass'!$A$53:$A$57,0), MATCH('Unit 2 b'!AK$7,'Rooms Walls and Glass'!$D$1:$AB$1,0))))</f>
        <v/>
      </c>
      <c r="AL43" s="70" t="str">
        <f t="shared" si="27"/>
        <v>-</v>
      </c>
      <c r="AM43" s="66" t="str">
        <f>IF(AM$7="","",IF(INDEX('Rooms Walls and Glass'!$D$53:$AB$57, MATCH($D43,'Rooms Walls and Glass'!$A$53:$A$57,0), MATCH('Unit 2 b'!AM$7,'Rooms Walls and Glass'!$D$1:$AB$1,0))=0,"",INDEX('Rooms Walls and Glass'!$D$53:$AB$57, MATCH($D43,'Rooms Walls and Glass'!$A$53:$A$57,0), MATCH('Unit 2 b'!AM$7,'Rooms Walls and Glass'!$D$1:$AB$1,0))))</f>
        <v/>
      </c>
      <c r="AN43" s="71" t="str">
        <f t="shared" si="28"/>
        <v>-</v>
      </c>
    </row>
    <row r="44" spans="2:40" ht="11.25" customHeight="1" thickBot="1" x14ac:dyDescent="0.2">
      <c r="B44" s="212" t="s">
        <v>82</v>
      </c>
      <c r="C44" s="12" t="s">
        <v>43</v>
      </c>
      <c r="D44" s="13" t="s">
        <v>51</v>
      </c>
      <c r="E44" s="13">
        <v>11</v>
      </c>
      <c r="F44" s="14">
        <f>INDEX(Summary!$F$19:$F$30,MATCH('Unit 2 b'!C44,Summary!$D$19:$D$30,0))</f>
        <v>5.2999999999999999E-2</v>
      </c>
      <c r="G44" s="14">
        <f t="shared" si="29"/>
        <v>0.58299999999999996</v>
      </c>
      <c r="H44" s="13" t="s">
        <v>6</v>
      </c>
      <c r="I44" s="65">
        <f t="shared" si="13"/>
        <v>0</v>
      </c>
      <c r="J44" s="65">
        <f t="shared" si="14"/>
        <v>0</v>
      </c>
      <c r="K44" s="66" t="str">
        <f>IF(K$7="","",IF(INDEX('Rooms Walls and Glass'!$D$53:$AB$57, MATCH($D44,'Rooms Walls and Glass'!$A$53:$A$57,0), MATCH('Unit 2 b'!K$7,'Rooms Walls and Glass'!$D$1:$AB$1,0))=0,"",INDEX('Rooms Walls and Glass'!$D$53:$AB$57, MATCH($D44,'Rooms Walls and Glass'!$A$53:$A$57,0), MATCH('Unit 2 b'!K$7,'Rooms Walls and Glass'!$D$1:$AB$1,0))))</f>
        <v/>
      </c>
      <c r="L44" s="65" t="str">
        <f t="shared" si="15"/>
        <v>-</v>
      </c>
      <c r="M44" s="66" t="str">
        <f>IF(M$7="","",IF(INDEX('Rooms Walls and Glass'!$D$53:$AB$57, MATCH($D44,'Rooms Walls and Glass'!$A$53:$A$57,0), MATCH('Unit 2 b'!M$7,'Rooms Walls and Glass'!$D$1:$AB$1,0))=0,"",INDEX('Rooms Walls and Glass'!$D$53:$AB$57, MATCH($D44,'Rooms Walls and Glass'!$A$53:$A$57,0), MATCH('Unit 2 b'!M$7,'Rooms Walls and Glass'!$D$1:$AB$1,0))))</f>
        <v/>
      </c>
      <c r="N44" s="65" t="str">
        <f t="shared" si="16"/>
        <v>-</v>
      </c>
      <c r="O44" s="66" t="str">
        <f>IF(O$7="","",IF(INDEX('Rooms Walls and Glass'!$D$53:$AB$57, MATCH($D44,'Rooms Walls and Glass'!$A$53:$A$57,0), MATCH('Unit 2 b'!O$7,'Rooms Walls and Glass'!$D$1:$AB$1,0))=0,"",INDEX('Rooms Walls and Glass'!$D$53:$AB$57, MATCH($D44,'Rooms Walls and Glass'!$A$53:$A$57,0), MATCH('Unit 2 b'!O$7,'Rooms Walls and Glass'!$D$1:$AB$1,0))))</f>
        <v/>
      </c>
      <c r="P44" s="65" t="str">
        <f t="shared" si="17"/>
        <v>-</v>
      </c>
      <c r="Q44" s="66" t="str">
        <f>IF(Q$7="","",IF(INDEX('Rooms Walls and Glass'!$D$53:$AB$57, MATCH($D44,'Rooms Walls and Glass'!$A$53:$A$57,0), MATCH('Unit 2 b'!Q$7,'Rooms Walls and Glass'!$D$1:$AB$1,0))=0,"",INDEX('Rooms Walls and Glass'!$D$53:$AB$57, MATCH($D44,'Rooms Walls and Glass'!$A$53:$A$57,0), MATCH('Unit 2 b'!Q$7,'Rooms Walls and Glass'!$D$1:$AB$1,0))))</f>
        <v/>
      </c>
      <c r="R44" s="65" t="str">
        <f t="shared" si="18"/>
        <v>-</v>
      </c>
      <c r="S44" s="66" t="str">
        <f>IF(S$7="","",IF(INDEX('Rooms Walls and Glass'!$D$53:$AB$57, MATCH($D44,'Rooms Walls and Glass'!$A$53:$A$57,0), MATCH('Unit 2 b'!S$7,'Rooms Walls and Glass'!$D$1:$AB$1,0))=0,"",INDEX('Rooms Walls and Glass'!$D$53:$AB$57, MATCH($D44,'Rooms Walls and Glass'!$A$53:$A$57,0), MATCH('Unit 2 b'!S$7,'Rooms Walls and Glass'!$D$1:$AB$1,0))))</f>
        <v/>
      </c>
      <c r="T44" s="65" t="str">
        <f t="shared" si="19"/>
        <v>-</v>
      </c>
      <c r="U44" s="66" t="str">
        <f>IF(U$7="","",IF(INDEX('Rooms Walls and Glass'!$D$53:$AB$57, MATCH($D44,'Rooms Walls and Glass'!$A$53:$A$57,0), MATCH('Unit 2 b'!U$7,'Rooms Walls and Glass'!$D$1:$AB$1,0))=0,"",INDEX('Rooms Walls and Glass'!$D$53:$AB$57, MATCH($D44,'Rooms Walls and Glass'!$A$53:$A$57,0), MATCH('Unit 2 b'!U$7,'Rooms Walls and Glass'!$D$1:$AB$1,0))))</f>
        <v/>
      </c>
      <c r="V44" s="65" t="str">
        <f t="shared" si="20"/>
        <v>-</v>
      </c>
      <c r="W44" s="66" t="str">
        <f>IF(W$7="","",IF(INDEX('Rooms Walls and Glass'!$D$53:$AB$57, MATCH($D44,'Rooms Walls and Glass'!$A$53:$A$57,0), MATCH('Unit 2 b'!W$7,'Rooms Walls and Glass'!$D$1:$AB$1,0))=0,"",INDEX('Rooms Walls and Glass'!$D$53:$AB$57, MATCH($D44,'Rooms Walls and Glass'!$A$53:$A$57,0), MATCH('Unit 2 b'!W$7,'Rooms Walls and Glass'!$D$1:$AB$1,0))))</f>
        <v/>
      </c>
      <c r="X44" s="65" t="str">
        <f t="shared" si="21"/>
        <v>-</v>
      </c>
      <c r="Y44" s="66" t="str">
        <f>IF(Y$7="","",IF(INDEX('Rooms Walls and Glass'!$D$53:$AB$57, MATCH($D44,'Rooms Walls and Glass'!$A$53:$A$57,0), MATCH('Unit 2 b'!Y$7,'Rooms Walls and Glass'!$D$1:$AB$1,0))=0,"",INDEX('Rooms Walls and Glass'!$D$53:$AB$57, MATCH($D44,'Rooms Walls and Glass'!$A$53:$A$57,0), MATCH('Unit 2 b'!Y$7,'Rooms Walls and Glass'!$D$1:$AB$1,0))))</f>
        <v/>
      </c>
      <c r="Z44" s="65" t="str">
        <f t="shared" si="22"/>
        <v>-</v>
      </c>
      <c r="AA44" s="66" t="str">
        <f>IF(AA$7="","",IF(INDEX('Rooms Walls and Glass'!$D$53:$AB$57, MATCH($D44,'Rooms Walls and Glass'!$A$53:$A$57,0), MATCH('Unit 2 b'!AA$7,'Rooms Walls and Glass'!$D$1:$AB$1,0))=0,"",INDEX('Rooms Walls and Glass'!$D$53:$AB$57, MATCH($D44,'Rooms Walls and Glass'!$A$53:$A$57,0), MATCH('Unit 2 b'!AA$7,'Rooms Walls and Glass'!$D$1:$AB$1,0))))</f>
        <v/>
      </c>
      <c r="AB44" s="65" t="str">
        <f t="shared" si="23"/>
        <v>-</v>
      </c>
      <c r="AC44" s="66" t="str">
        <f>IF(AC$7="","",IF(INDEX('Rooms Walls and Glass'!$D$53:$AB$57, MATCH($D44,'Rooms Walls and Glass'!$A$53:$A$57,0), MATCH('Unit 2 b'!AC$7,'Rooms Walls and Glass'!$D$1:$AB$1,0))=0,"",INDEX('Rooms Walls and Glass'!$D$53:$AB$57, MATCH($D44,'Rooms Walls and Glass'!$A$53:$A$57,0), MATCH('Unit 2 b'!AC$7,'Rooms Walls and Glass'!$D$1:$AB$1,0))))</f>
        <v/>
      </c>
      <c r="AD44" s="65" t="str">
        <f t="shared" si="30"/>
        <v>-</v>
      </c>
      <c r="AE44" s="66" t="str">
        <f>IF(AE$7="","",IF(INDEX('Rooms Walls and Glass'!$D$53:$AB$57, MATCH($D44,'Rooms Walls and Glass'!$A$53:$A$57,0), MATCH('Unit 2 b'!AE$7,'Rooms Walls and Glass'!$D$1:$AB$1,0))=0,"",INDEX('Rooms Walls and Glass'!$D$53:$AB$57, MATCH($D44,'Rooms Walls and Glass'!$A$53:$A$57,0), MATCH('Unit 2 b'!AE$7,'Rooms Walls and Glass'!$D$1:$AB$1,0))))</f>
        <v/>
      </c>
      <c r="AF44" s="65" t="str">
        <f t="shared" si="31"/>
        <v>-</v>
      </c>
      <c r="AG44" s="66" t="str">
        <f>IF(AG$7="","",IF(INDEX('Rooms Walls and Glass'!$D$53:$AB$57, MATCH($D44,'Rooms Walls and Glass'!$A$53:$A$57,0), MATCH('Unit 2 b'!AG$7,'Rooms Walls and Glass'!$D$1:$AB$1,0))=0,"",INDEX('Rooms Walls and Glass'!$D$53:$AB$57, MATCH($D44,'Rooms Walls and Glass'!$A$53:$A$57,0), MATCH('Unit 2 b'!AG$7,'Rooms Walls and Glass'!$D$1:$AB$1,0))))</f>
        <v/>
      </c>
      <c r="AH44" s="65" t="str">
        <f t="shared" si="25"/>
        <v>-</v>
      </c>
      <c r="AI44" s="66" t="str">
        <f>IF(AI$7="","",IF(INDEX('Rooms Walls and Glass'!$D$53:$AB$57, MATCH($D44,'Rooms Walls and Glass'!$A$53:$A$57,0), MATCH('Unit 2 b'!AI$7,'Rooms Walls and Glass'!$D$1:$AB$1,0))=0,"",INDEX('Rooms Walls and Glass'!$D$53:$AB$57, MATCH($D44,'Rooms Walls and Glass'!$A$53:$A$57,0), MATCH('Unit 2 b'!AI$7,'Rooms Walls and Glass'!$D$1:$AB$1,0))))</f>
        <v/>
      </c>
      <c r="AJ44" s="67" t="str">
        <f t="shared" si="26"/>
        <v>-</v>
      </c>
      <c r="AK44" s="66" t="str">
        <f>IF(AK$7="","",IF(INDEX('Rooms Walls and Glass'!$D$53:$AB$57, MATCH($D44,'Rooms Walls and Glass'!$A$53:$A$57,0), MATCH('Unit 2 b'!AK$7,'Rooms Walls and Glass'!$D$1:$AB$1,0))=0,"",INDEX('Rooms Walls and Glass'!$D$53:$AB$57, MATCH($D44,'Rooms Walls and Glass'!$A$53:$A$57,0), MATCH('Unit 2 b'!AK$7,'Rooms Walls and Glass'!$D$1:$AB$1,0))))</f>
        <v/>
      </c>
      <c r="AL44" s="65" t="str">
        <f t="shared" si="27"/>
        <v>-</v>
      </c>
      <c r="AM44" s="66" t="str">
        <f>IF(AM$7="","",IF(INDEX('Rooms Walls and Glass'!$D$53:$AB$57, MATCH($D44,'Rooms Walls and Glass'!$A$53:$A$57,0), MATCH('Unit 2 b'!AM$7,'Rooms Walls and Glass'!$D$1:$AB$1,0))=0,"",INDEX('Rooms Walls and Glass'!$D$53:$AB$57, MATCH($D44,'Rooms Walls and Glass'!$A$53:$A$57,0), MATCH('Unit 2 b'!AM$7,'Rooms Walls and Glass'!$D$1:$AB$1,0))))</f>
        <v/>
      </c>
      <c r="AN44" s="67" t="str">
        <f t="shared" si="28"/>
        <v>-</v>
      </c>
    </row>
    <row r="45" spans="2:40" ht="11.25" customHeight="1" thickBot="1" x14ac:dyDescent="0.2">
      <c r="B45" s="214"/>
      <c r="C45" s="15" t="s">
        <v>43</v>
      </c>
      <c r="D45" s="16" t="s">
        <v>36</v>
      </c>
      <c r="E45" s="16">
        <v>30</v>
      </c>
      <c r="F45" s="14">
        <f>INDEX(Summary!$F$19:$F$30,MATCH('Unit 2 b'!C45,Summary!$D$19:$D$30,0))</f>
        <v>5.2999999999999999E-2</v>
      </c>
      <c r="G45" s="14">
        <f t="shared" si="29"/>
        <v>1.5899999999999999</v>
      </c>
      <c r="H45" s="16" t="s">
        <v>6</v>
      </c>
      <c r="I45" s="65">
        <f t="shared" si="13"/>
        <v>0</v>
      </c>
      <c r="J45" s="68">
        <f t="shared" si="14"/>
        <v>0</v>
      </c>
      <c r="K45" s="66" t="str">
        <f>IF(K$7="","",IF(INDEX('Rooms Walls and Glass'!$D$53:$AB$57, MATCH($D45,'Rooms Walls and Glass'!$A$53:$A$57,0), MATCH('Unit 2 b'!K$7,'Rooms Walls and Glass'!$D$1:$AB$1,0))=0,"",INDEX('Rooms Walls and Glass'!$D$53:$AB$57, MATCH($D45,'Rooms Walls and Glass'!$A$53:$A$57,0), MATCH('Unit 2 b'!K$7,'Rooms Walls and Glass'!$D$1:$AB$1,0))))</f>
        <v/>
      </c>
      <c r="L45" s="68" t="str">
        <f t="shared" si="15"/>
        <v>-</v>
      </c>
      <c r="M45" s="66" t="str">
        <f>IF(M$7="","",IF(INDEX('Rooms Walls and Glass'!$D$53:$AB$57, MATCH($D45,'Rooms Walls and Glass'!$A$53:$A$57,0), MATCH('Unit 2 b'!M$7,'Rooms Walls and Glass'!$D$1:$AB$1,0))=0,"",INDEX('Rooms Walls and Glass'!$D$53:$AB$57, MATCH($D45,'Rooms Walls and Glass'!$A$53:$A$57,0), MATCH('Unit 2 b'!M$7,'Rooms Walls and Glass'!$D$1:$AB$1,0))))</f>
        <v/>
      </c>
      <c r="N45" s="68" t="str">
        <f t="shared" si="16"/>
        <v>-</v>
      </c>
      <c r="O45" s="66" t="str">
        <f>IF(O$7="","",IF(INDEX('Rooms Walls and Glass'!$D$53:$AB$57, MATCH($D45,'Rooms Walls and Glass'!$A$53:$A$57,0), MATCH('Unit 2 b'!O$7,'Rooms Walls and Glass'!$D$1:$AB$1,0))=0,"",INDEX('Rooms Walls and Glass'!$D$53:$AB$57, MATCH($D45,'Rooms Walls and Glass'!$A$53:$A$57,0), MATCH('Unit 2 b'!O$7,'Rooms Walls and Glass'!$D$1:$AB$1,0))))</f>
        <v/>
      </c>
      <c r="P45" s="68" t="str">
        <f t="shared" si="17"/>
        <v>-</v>
      </c>
      <c r="Q45" s="66" t="str">
        <f>IF(Q$7="","",IF(INDEX('Rooms Walls and Glass'!$D$53:$AB$57, MATCH($D45,'Rooms Walls and Glass'!$A$53:$A$57,0), MATCH('Unit 2 b'!Q$7,'Rooms Walls and Glass'!$D$1:$AB$1,0))=0,"",INDEX('Rooms Walls and Glass'!$D$53:$AB$57, MATCH($D45,'Rooms Walls and Glass'!$A$53:$A$57,0), MATCH('Unit 2 b'!Q$7,'Rooms Walls and Glass'!$D$1:$AB$1,0))))</f>
        <v/>
      </c>
      <c r="R45" s="68" t="str">
        <f t="shared" si="18"/>
        <v>-</v>
      </c>
      <c r="S45" s="66" t="str">
        <f>IF(S$7="","",IF(INDEX('Rooms Walls and Glass'!$D$53:$AB$57, MATCH($D45,'Rooms Walls and Glass'!$A$53:$A$57,0), MATCH('Unit 2 b'!S$7,'Rooms Walls and Glass'!$D$1:$AB$1,0))=0,"",INDEX('Rooms Walls and Glass'!$D$53:$AB$57, MATCH($D45,'Rooms Walls and Glass'!$A$53:$A$57,0), MATCH('Unit 2 b'!S$7,'Rooms Walls and Glass'!$D$1:$AB$1,0))))</f>
        <v/>
      </c>
      <c r="T45" s="68" t="str">
        <f t="shared" si="19"/>
        <v>-</v>
      </c>
      <c r="U45" s="66" t="str">
        <f>IF(U$7="","",IF(INDEX('Rooms Walls and Glass'!$D$53:$AB$57, MATCH($D45,'Rooms Walls and Glass'!$A$53:$A$57,0), MATCH('Unit 2 b'!U$7,'Rooms Walls and Glass'!$D$1:$AB$1,0))=0,"",INDEX('Rooms Walls and Glass'!$D$53:$AB$57, MATCH($D45,'Rooms Walls and Glass'!$A$53:$A$57,0), MATCH('Unit 2 b'!U$7,'Rooms Walls and Glass'!$D$1:$AB$1,0))))</f>
        <v/>
      </c>
      <c r="V45" s="68" t="str">
        <f t="shared" si="20"/>
        <v>-</v>
      </c>
      <c r="W45" s="66" t="str">
        <f>IF(W$7="","",IF(INDEX('Rooms Walls and Glass'!$D$53:$AB$57, MATCH($D45,'Rooms Walls and Glass'!$A$53:$A$57,0), MATCH('Unit 2 b'!W$7,'Rooms Walls and Glass'!$D$1:$AB$1,0))=0,"",INDEX('Rooms Walls and Glass'!$D$53:$AB$57, MATCH($D45,'Rooms Walls and Glass'!$A$53:$A$57,0), MATCH('Unit 2 b'!W$7,'Rooms Walls and Glass'!$D$1:$AB$1,0))))</f>
        <v/>
      </c>
      <c r="X45" s="68" t="str">
        <f t="shared" si="21"/>
        <v>-</v>
      </c>
      <c r="Y45" s="66" t="str">
        <f>IF(Y$7="","",IF(INDEX('Rooms Walls and Glass'!$D$53:$AB$57, MATCH($D45,'Rooms Walls and Glass'!$A$53:$A$57,0), MATCH('Unit 2 b'!Y$7,'Rooms Walls and Glass'!$D$1:$AB$1,0))=0,"",INDEX('Rooms Walls and Glass'!$D$53:$AB$57, MATCH($D45,'Rooms Walls and Glass'!$A$53:$A$57,0), MATCH('Unit 2 b'!Y$7,'Rooms Walls and Glass'!$D$1:$AB$1,0))))</f>
        <v/>
      </c>
      <c r="Z45" s="68" t="str">
        <f t="shared" si="22"/>
        <v>-</v>
      </c>
      <c r="AA45" s="66" t="str">
        <f>IF(AA$7="","",IF(INDEX('Rooms Walls and Glass'!$D$53:$AB$57, MATCH($D45,'Rooms Walls and Glass'!$A$53:$A$57,0), MATCH('Unit 2 b'!AA$7,'Rooms Walls and Glass'!$D$1:$AB$1,0))=0,"",INDEX('Rooms Walls and Glass'!$D$53:$AB$57, MATCH($D45,'Rooms Walls and Glass'!$A$53:$A$57,0), MATCH('Unit 2 b'!AA$7,'Rooms Walls and Glass'!$D$1:$AB$1,0))))</f>
        <v/>
      </c>
      <c r="AB45" s="68" t="str">
        <f t="shared" si="23"/>
        <v>-</v>
      </c>
      <c r="AC45" s="66" t="str">
        <f>IF(AC$7="","",IF(INDEX('Rooms Walls and Glass'!$D$53:$AB$57, MATCH($D45,'Rooms Walls and Glass'!$A$53:$A$57,0), MATCH('Unit 2 b'!AC$7,'Rooms Walls and Glass'!$D$1:$AB$1,0))=0,"",INDEX('Rooms Walls and Glass'!$D$53:$AB$57, MATCH($D45,'Rooms Walls and Glass'!$A$53:$A$57,0), MATCH('Unit 2 b'!AC$7,'Rooms Walls and Glass'!$D$1:$AB$1,0))))</f>
        <v/>
      </c>
      <c r="AD45" s="68" t="str">
        <f t="shared" si="30"/>
        <v>-</v>
      </c>
      <c r="AE45" s="66" t="str">
        <f>IF(AE$7="","",IF(INDEX('Rooms Walls and Glass'!$D$53:$AB$57, MATCH($D45,'Rooms Walls and Glass'!$A$53:$A$57,0), MATCH('Unit 2 b'!AE$7,'Rooms Walls and Glass'!$D$1:$AB$1,0))=0,"",INDEX('Rooms Walls and Glass'!$D$53:$AB$57, MATCH($D45,'Rooms Walls and Glass'!$A$53:$A$57,0), MATCH('Unit 2 b'!AE$7,'Rooms Walls and Glass'!$D$1:$AB$1,0))))</f>
        <v/>
      </c>
      <c r="AF45" s="68" t="str">
        <f t="shared" si="31"/>
        <v>-</v>
      </c>
      <c r="AG45" s="66" t="str">
        <f>IF(AG$7="","",IF(INDEX('Rooms Walls and Glass'!$D$53:$AB$57, MATCH($D45,'Rooms Walls and Glass'!$A$53:$A$57,0), MATCH('Unit 2 b'!AG$7,'Rooms Walls and Glass'!$D$1:$AB$1,0))=0,"",INDEX('Rooms Walls and Glass'!$D$53:$AB$57, MATCH($D45,'Rooms Walls and Glass'!$A$53:$A$57,0), MATCH('Unit 2 b'!AG$7,'Rooms Walls and Glass'!$D$1:$AB$1,0))))</f>
        <v/>
      </c>
      <c r="AH45" s="68" t="str">
        <f t="shared" si="25"/>
        <v>-</v>
      </c>
      <c r="AI45" s="66" t="str">
        <f>IF(AI$7="","",IF(INDEX('Rooms Walls and Glass'!$D$53:$AB$57, MATCH($D45,'Rooms Walls and Glass'!$A$53:$A$57,0), MATCH('Unit 2 b'!AI$7,'Rooms Walls and Glass'!$D$1:$AB$1,0))=0,"",INDEX('Rooms Walls and Glass'!$D$53:$AB$57, MATCH($D45,'Rooms Walls and Glass'!$A$53:$A$57,0), MATCH('Unit 2 b'!AI$7,'Rooms Walls and Glass'!$D$1:$AB$1,0))))</f>
        <v/>
      </c>
      <c r="AJ45" s="69" t="str">
        <f t="shared" si="26"/>
        <v>-</v>
      </c>
      <c r="AK45" s="66" t="str">
        <f>IF(AK$7="","",IF(INDEX('Rooms Walls and Glass'!$D$53:$AB$57, MATCH($D45,'Rooms Walls and Glass'!$A$53:$A$57,0), MATCH('Unit 2 b'!AK$7,'Rooms Walls and Glass'!$D$1:$AB$1,0))=0,"",INDEX('Rooms Walls and Glass'!$D$53:$AB$57, MATCH($D45,'Rooms Walls and Glass'!$A$53:$A$57,0), MATCH('Unit 2 b'!AK$7,'Rooms Walls and Glass'!$D$1:$AB$1,0))))</f>
        <v/>
      </c>
      <c r="AL45" s="68" t="str">
        <f t="shared" si="27"/>
        <v>-</v>
      </c>
      <c r="AM45" s="66" t="str">
        <f>IF(AM$7="","",IF(INDEX('Rooms Walls and Glass'!$D$53:$AB$57, MATCH($D45,'Rooms Walls and Glass'!$A$53:$A$57,0), MATCH('Unit 2 b'!AM$7,'Rooms Walls and Glass'!$D$1:$AB$1,0))=0,"",INDEX('Rooms Walls and Glass'!$D$53:$AB$57, MATCH($D45,'Rooms Walls and Glass'!$A$53:$A$57,0), MATCH('Unit 2 b'!AM$7,'Rooms Walls and Glass'!$D$1:$AB$1,0))))</f>
        <v/>
      </c>
      <c r="AN45" s="69" t="str">
        <f t="shared" si="28"/>
        <v>-</v>
      </c>
    </row>
    <row r="46" spans="2:40" ht="11.25" customHeight="1" thickBot="1" x14ac:dyDescent="0.2">
      <c r="B46" s="213"/>
      <c r="C46" s="17" t="s">
        <v>44</v>
      </c>
      <c r="D46" s="18" t="s">
        <v>52</v>
      </c>
      <c r="E46" s="18">
        <v>0</v>
      </c>
      <c r="F46" s="14">
        <f>INDEX(Summary!$F$19:$F$30,MATCH('Unit 2 b'!C46,Summary!$D$19:$D$30,0))</f>
        <v>0.1</v>
      </c>
      <c r="G46" s="14">
        <f t="shared" si="29"/>
        <v>0</v>
      </c>
      <c r="H46" s="18" t="s">
        <v>6</v>
      </c>
      <c r="I46" s="65">
        <f t="shared" si="13"/>
        <v>0</v>
      </c>
      <c r="J46" s="70">
        <f t="shared" si="14"/>
        <v>0</v>
      </c>
      <c r="K46" s="66" t="str">
        <f>IF(K$7="","",IF(INDEX('Rooms Walls and Glass'!$D$53:$AB$57, MATCH($D46,'Rooms Walls and Glass'!$A$53:$A$57,0), MATCH('Unit 2 b'!K$7,'Rooms Walls and Glass'!$D$1:$AB$1,0))=0,"",INDEX('Rooms Walls and Glass'!$D$53:$AB$57, MATCH($D46,'Rooms Walls and Glass'!$A$53:$A$57,0), MATCH('Unit 2 b'!K$7,'Rooms Walls and Glass'!$D$1:$AB$1,0))))</f>
        <v/>
      </c>
      <c r="L46" s="70" t="str">
        <f t="shared" si="15"/>
        <v>-</v>
      </c>
      <c r="M46" s="66" t="str">
        <f>IF(M$7="","",IF(INDEX('Rooms Walls and Glass'!$D$53:$AB$57, MATCH($D46,'Rooms Walls and Glass'!$A$53:$A$57,0), MATCH('Unit 2 b'!M$7,'Rooms Walls and Glass'!$D$1:$AB$1,0))=0,"",INDEX('Rooms Walls and Glass'!$D$53:$AB$57, MATCH($D46,'Rooms Walls and Glass'!$A$53:$A$57,0), MATCH('Unit 2 b'!M$7,'Rooms Walls and Glass'!$D$1:$AB$1,0))))</f>
        <v/>
      </c>
      <c r="N46" s="70" t="str">
        <f t="shared" si="16"/>
        <v>-</v>
      </c>
      <c r="O46" s="66" t="str">
        <f>IF(O$7="","",IF(INDEX('Rooms Walls and Glass'!$D$53:$AB$57, MATCH($D46,'Rooms Walls and Glass'!$A$53:$A$57,0), MATCH('Unit 2 b'!O$7,'Rooms Walls and Glass'!$D$1:$AB$1,0))=0,"",INDEX('Rooms Walls and Glass'!$D$53:$AB$57, MATCH($D46,'Rooms Walls and Glass'!$A$53:$A$57,0), MATCH('Unit 2 b'!O$7,'Rooms Walls and Glass'!$D$1:$AB$1,0))))</f>
        <v/>
      </c>
      <c r="P46" s="70" t="str">
        <f t="shared" si="17"/>
        <v>-</v>
      </c>
      <c r="Q46" s="66" t="str">
        <f>IF(Q$7="","",IF(INDEX('Rooms Walls and Glass'!$D$53:$AB$57, MATCH($D46,'Rooms Walls and Glass'!$A$53:$A$57,0), MATCH('Unit 2 b'!Q$7,'Rooms Walls and Glass'!$D$1:$AB$1,0))=0,"",INDEX('Rooms Walls and Glass'!$D$53:$AB$57, MATCH($D46,'Rooms Walls and Glass'!$A$53:$A$57,0), MATCH('Unit 2 b'!Q$7,'Rooms Walls and Glass'!$D$1:$AB$1,0))))</f>
        <v/>
      </c>
      <c r="R46" s="70" t="str">
        <f t="shared" si="18"/>
        <v>-</v>
      </c>
      <c r="S46" s="66" t="str">
        <f>IF(S$7="","",IF(INDEX('Rooms Walls and Glass'!$D$53:$AB$57, MATCH($D46,'Rooms Walls and Glass'!$A$53:$A$57,0), MATCH('Unit 2 b'!S$7,'Rooms Walls and Glass'!$D$1:$AB$1,0))=0,"",INDEX('Rooms Walls and Glass'!$D$53:$AB$57, MATCH($D46,'Rooms Walls and Glass'!$A$53:$A$57,0), MATCH('Unit 2 b'!S$7,'Rooms Walls and Glass'!$D$1:$AB$1,0))))</f>
        <v/>
      </c>
      <c r="T46" s="70" t="str">
        <f t="shared" si="19"/>
        <v>-</v>
      </c>
      <c r="U46" s="66" t="str">
        <f>IF(U$7="","",IF(INDEX('Rooms Walls and Glass'!$D$53:$AB$57, MATCH($D46,'Rooms Walls and Glass'!$A$53:$A$57,0), MATCH('Unit 2 b'!U$7,'Rooms Walls and Glass'!$D$1:$AB$1,0))=0,"",INDEX('Rooms Walls and Glass'!$D$53:$AB$57, MATCH($D46,'Rooms Walls and Glass'!$A$53:$A$57,0), MATCH('Unit 2 b'!U$7,'Rooms Walls and Glass'!$D$1:$AB$1,0))))</f>
        <v/>
      </c>
      <c r="V46" s="70" t="str">
        <f t="shared" si="20"/>
        <v>-</v>
      </c>
      <c r="W46" s="66" t="str">
        <f>IF(W$7="","",IF(INDEX('Rooms Walls and Glass'!$D$53:$AB$57, MATCH($D46,'Rooms Walls and Glass'!$A$53:$A$57,0), MATCH('Unit 2 b'!W$7,'Rooms Walls and Glass'!$D$1:$AB$1,0))=0,"",INDEX('Rooms Walls and Glass'!$D$53:$AB$57, MATCH($D46,'Rooms Walls and Glass'!$A$53:$A$57,0), MATCH('Unit 2 b'!W$7,'Rooms Walls and Glass'!$D$1:$AB$1,0))))</f>
        <v/>
      </c>
      <c r="X46" s="70" t="str">
        <f t="shared" si="21"/>
        <v>-</v>
      </c>
      <c r="Y46" s="66" t="str">
        <f>IF(Y$7="","",IF(INDEX('Rooms Walls and Glass'!$D$53:$AB$57, MATCH($D46,'Rooms Walls and Glass'!$A$53:$A$57,0), MATCH('Unit 2 b'!Y$7,'Rooms Walls and Glass'!$D$1:$AB$1,0))=0,"",INDEX('Rooms Walls and Glass'!$D$53:$AB$57, MATCH($D46,'Rooms Walls and Glass'!$A$53:$A$57,0), MATCH('Unit 2 b'!Y$7,'Rooms Walls and Glass'!$D$1:$AB$1,0))))</f>
        <v/>
      </c>
      <c r="Z46" s="70" t="str">
        <f t="shared" si="22"/>
        <v>-</v>
      </c>
      <c r="AA46" s="66" t="str">
        <f>IF(AA$7="","",IF(INDEX('Rooms Walls and Glass'!$D$53:$AB$57, MATCH($D46,'Rooms Walls and Glass'!$A$53:$A$57,0), MATCH('Unit 2 b'!AA$7,'Rooms Walls and Glass'!$D$1:$AB$1,0))=0,"",INDEX('Rooms Walls and Glass'!$D$53:$AB$57, MATCH($D46,'Rooms Walls and Glass'!$A$53:$A$57,0), MATCH('Unit 2 b'!AA$7,'Rooms Walls and Glass'!$D$1:$AB$1,0))))</f>
        <v/>
      </c>
      <c r="AB46" s="70" t="str">
        <f t="shared" si="23"/>
        <v>-</v>
      </c>
      <c r="AC46" s="66" t="str">
        <f>IF(AC$7="","",IF(INDEX('Rooms Walls and Glass'!$D$53:$AB$57, MATCH($D46,'Rooms Walls and Glass'!$A$53:$A$57,0), MATCH('Unit 2 b'!AC$7,'Rooms Walls and Glass'!$D$1:$AB$1,0))=0,"",INDEX('Rooms Walls and Glass'!$D$53:$AB$57, MATCH($D46,'Rooms Walls and Glass'!$A$53:$A$57,0), MATCH('Unit 2 b'!AC$7,'Rooms Walls and Glass'!$D$1:$AB$1,0))))</f>
        <v/>
      </c>
      <c r="AD46" s="70" t="str">
        <f t="shared" si="30"/>
        <v>-</v>
      </c>
      <c r="AE46" s="66" t="str">
        <f>IF(AE$7="","",IF(INDEX('Rooms Walls and Glass'!$D$53:$AB$57, MATCH($D46,'Rooms Walls and Glass'!$A$53:$A$57,0), MATCH('Unit 2 b'!AE$7,'Rooms Walls and Glass'!$D$1:$AB$1,0))=0,"",INDEX('Rooms Walls and Glass'!$D$53:$AB$57, MATCH($D46,'Rooms Walls and Glass'!$A$53:$A$57,0), MATCH('Unit 2 b'!AE$7,'Rooms Walls and Glass'!$D$1:$AB$1,0))))</f>
        <v/>
      </c>
      <c r="AF46" s="70" t="str">
        <f t="shared" si="31"/>
        <v>-</v>
      </c>
      <c r="AG46" s="66" t="str">
        <f>IF(AG$7="","",IF(INDEX('Rooms Walls and Glass'!$D$53:$AB$57, MATCH($D46,'Rooms Walls and Glass'!$A$53:$A$57,0), MATCH('Unit 2 b'!AG$7,'Rooms Walls and Glass'!$D$1:$AB$1,0))=0,"",INDEX('Rooms Walls and Glass'!$D$53:$AB$57, MATCH($D46,'Rooms Walls and Glass'!$A$53:$A$57,0), MATCH('Unit 2 b'!AG$7,'Rooms Walls and Glass'!$D$1:$AB$1,0))))</f>
        <v/>
      </c>
      <c r="AH46" s="70" t="str">
        <f t="shared" si="25"/>
        <v>-</v>
      </c>
      <c r="AI46" s="66" t="str">
        <f>IF(AI$7="","",IF(INDEX('Rooms Walls and Glass'!$D$53:$AB$57, MATCH($D46,'Rooms Walls and Glass'!$A$53:$A$57,0), MATCH('Unit 2 b'!AI$7,'Rooms Walls and Glass'!$D$1:$AB$1,0))=0,"",INDEX('Rooms Walls and Glass'!$D$53:$AB$57, MATCH($D46,'Rooms Walls and Glass'!$A$53:$A$57,0), MATCH('Unit 2 b'!AI$7,'Rooms Walls and Glass'!$D$1:$AB$1,0))))</f>
        <v/>
      </c>
      <c r="AJ46" s="71" t="str">
        <f t="shared" si="26"/>
        <v>-</v>
      </c>
      <c r="AK46" s="66" t="str">
        <f>IF(AK$7="","",IF(INDEX('Rooms Walls and Glass'!$D$53:$AB$57, MATCH($D46,'Rooms Walls and Glass'!$A$53:$A$57,0), MATCH('Unit 2 b'!AK$7,'Rooms Walls and Glass'!$D$1:$AB$1,0))=0,"",INDEX('Rooms Walls and Glass'!$D$53:$AB$57, MATCH($D46,'Rooms Walls and Glass'!$A$53:$A$57,0), MATCH('Unit 2 b'!AK$7,'Rooms Walls and Glass'!$D$1:$AB$1,0))))</f>
        <v/>
      </c>
      <c r="AL46" s="70" t="str">
        <f t="shared" si="27"/>
        <v>-</v>
      </c>
      <c r="AM46" s="66" t="str">
        <f>IF(AM$7="","",IF(INDEX('Rooms Walls and Glass'!$D$53:$AB$57, MATCH($D46,'Rooms Walls and Glass'!$A$53:$A$57,0), MATCH('Unit 2 b'!AM$7,'Rooms Walls and Glass'!$D$1:$AB$1,0))=0,"",INDEX('Rooms Walls and Glass'!$D$53:$AB$57, MATCH($D46,'Rooms Walls and Glass'!$A$53:$A$57,0), MATCH('Unit 2 b'!AM$7,'Rooms Walls and Glass'!$D$1:$AB$1,0))))</f>
        <v/>
      </c>
      <c r="AN46" s="71" t="str">
        <f t="shared" si="28"/>
        <v>-</v>
      </c>
    </row>
    <row r="47" spans="2:40" ht="11.25" customHeight="1" thickBot="1" x14ac:dyDescent="0.2">
      <c r="B47" s="238" t="s">
        <v>76</v>
      </c>
      <c r="C47" s="13"/>
      <c r="D47" s="231" t="s">
        <v>53</v>
      </c>
      <c r="E47" s="225"/>
      <c r="F47" s="226"/>
      <c r="G47" s="14">
        <v>255</v>
      </c>
      <c r="H47" s="13" t="s">
        <v>6</v>
      </c>
      <c r="I47" s="41">
        <f>SUM(K47,M47,O47,Q47,U47,W47,Y47,AA47,AC47,AE47,AG47,AI47,S47,AK47,AM47)</f>
        <v>0</v>
      </c>
      <c r="J47" s="65">
        <f t="shared" si="14"/>
        <v>0</v>
      </c>
      <c r="K47" s="66" t="str">
        <f>IF(K$7="","",IF(INDEX('Rooms Walls and Glass'!$D$3:$AB$4, MATCH($D47,'Rooms Walls and Glass'!$A$3:$A$4,0), MATCH('Unit 2 b'!K$7,'Rooms Walls and Glass'!$D$1:$AB$1,0))=0,"",INDEX('Rooms Walls and Glass'!$D$3:$AB$4, MATCH($D47,'Rooms Walls and Glass'!$A$3:$A$4,0), MATCH('Unit 2 b'!K$7,'Rooms Walls and Glass'!$D$1:$AB$1,0))))</f>
        <v/>
      </c>
      <c r="L47" s="65" t="str">
        <f t="shared" si="15"/>
        <v>-</v>
      </c>
      <c r="M47" s="66" t="str">
        <f>IF(M$7="","",IF(INDEX('Rooms Walls and Glass'!$D$3:$AB$4, MATCH($D47,'Rooms Walls and Glass'!$A$3:$A$4,0), MATCH('Unit 2 b'!M$7,'Rooms Walls and Glass'!$D$1:$AB$1,0))=0,"",INDEX('Rooms Walls and Glass'!$D$3:$AB$4, MATCH($D47,'Rooms Walls and Glass'!$A$3:$A$4,0), MATCH('Unit 2 b'!M$7,'Rooms Walls and Glass'!$D$1:$AB$1,0))))</f>
        <v/>
      </c>
      <c r="N47" s="65" t="str">
        <f t="shared" si="16"/>
        <v>-</v>
      </c>
      <c r="O47" s="66" t="str">
        <f>IF(O$7="","",IF(INDEX('Rooms Walls and Glass'!$D$3:$AB$4, MATCH($D47,'Rooms Walls and Glass'!$A$3:$A$4,0), MATCH('Unit 2 b'!O$7,'Rooms Walls and Glass'!$D$1:$AB$1,0))=0,"",INDEX('Rooms Walls and Glass'!$D$3:$AB$4, MATCH($D47,'Rooms Walls and Glass'!$A$3:$A$4,0), MATCH('Unit 2 b'!O$7,'Rooms Walls and Glass'!$D$1:$AB$1,0))))</f>
        <v/>
      </c>
      <c r="P47" s="65" t="str">
        <f t="shared" si="17"/>
        <v>-</v>
      </c>
      <c r="Q47" s="66" t="str">
        <f>IF(Q$7="","",IF(INDEX('Rooms Walls and Glass'!$D$3:$AB$4, MATCH($D47,'Rooms Walls and Glass'!$A$3:$A$4,0), MATCH('Unit 2 b'!Q$7,'Rooms Walls and Glass'!$D$1:$AB$1,0))=0,"",INDEX('Rooms Walls and Glass'!$D$3:$AB$4, MATCH($D47,'Rooms Walls and Glass'!$A$3:$A$4,0), MATCH('Unit 2 b'!Q$7,'Rooms Walls and Glass'!$D$1:$AB$1,0))))</f>
        <v/>
      </c>
      <c r="R47" s="65" t="str">
        <f t="shared" si="18"/>
        <v>-</v>
      </c>
      <c r="S47" s="66" t="str">
        <f>IF(S$7="","",IF(INDEX('Rooms Walls and Glass'!$D$3:$AB$4, MATCH($D47,'Rooms Walls and Glass'!$A$3:$A$4,0), MATCH('Unit 2 b'!S$7,'Rooms Walls and Glass'!$D$1:$AB$1,0))=0,"",INDEX('Rooms Walls and Glass'!$D$3:$AB$4, MATCH($D47,'Rooms Walls and Glass'!$A$3:$A$4,0), MATCH('Unit 2 b'!S$7,'Rooms Walls and Glass'!$D$1:$AB$1,0))))</f>
        <v/>
      </c>
      <c r="T47" s="65" t="str">
        <f t="shared" si="19"/>
        <v>-</v>
      </c>
      <c r="U47" s="66" t="str">
        <f>IF(U$7="","",IF(INDEX('Rooms Walls and Glass'!$D$3:$AB$4, MATCH($D47,'Rooms Walls and Glass'!$A$3:$A$4,0), MATCH('Unit 2 b'!U$7,'Rooms Walls and Glass'!$D$1:$AB$1,0))=0,"",INDEX('Rooms Walls and Glass'!$D$3:$AB$4, MATCH($D47,'Rooms Walls and Glass'!$A$3:$A$4,0), MATCH('Unit 2 b'!U$7,'Rooms Walls and Glass'!$D$1:$AB$1,0))))</f>
        <v/>
      </c>
      <c r="V47" s="65" t="str">
        <f t="shared" si="20"/>
        <v>-</v>
      </c>
      <c r="W47" s="66" t="str">
        <f>IF(W$7="","",IF(INDEX('Rooms Walls and Glass'!$D$3:$AB$4, MATCH($D47,'Rooms Walls and Glass'!$A$3:$A$4,0), MATCH('Unit 2 b'!W$7,'Rooms Walls and Glass'!$D$1:$AB$1,0))=0,"",INDEX('Rooms Walls and Glass'!$D$3:$AB$4, MATCH($D47,'Rooms Walls and Glass'!$A$3:$A$4,0), MATCH('Unit 2 b'!W$7,'Rooms Walls and Glass'!$D$1:$AB$1,0))))</f>
        <v/>
      </c>
      <c r="X47" s="65" t="str">
        <f t="shared" si="21"/>
        <v>-</v>
      </c>
      <c r="Y47" s="66" t="str">
        <f>IF(Y$7="","",IF(INDEX('Rooms Walls and Glass'!$D$3:$AB$4, MATCH($D47,'Rooms Walls and Glass'!$A$3:$A$4,0), MATCH('Unit 2 b'!Y$7,'Rooms Walls and Glass'!$D$1:$AB$1,0))=0,"",INDEX('Rooms Walls and Glass'!$D$3:$AB$4, MATCH($D47,'Rooms Walls and Glass'!$A$3:$A$4,0), MATCH('Unit 2 b'!Y$7,'Rooms Walls and Glass'!$D$1:$AB$1,0))))</f>
        <v/>
      </c>
      <c r="Z47" s="65" t="str">
        <f t="shared" si="22"/>
        <v>-</v>
      </c>
      <c r="AA47" s="66" t="str">
        <f>IF(AA$7="","",IF(INDEX('Rooms Walls and Glass'!$D$3:$AB$4, MATCH($D47,'Rooms Walls and Glass'!$A$3:$A$4,0), MATCH('Unit 2 b'!AA$7,'Rooms Walls and Glass'!$D$1:$AB$1,0))=0,"",INDEX('Rooms Walls and Glass'!$D$3:$AB$4, MATCH($D47,'Rooms Walls and Glass'!$A$3:$A$4,0), MATCH('Unit 2 b'!AA$7,'Rooms Walls and Glass'!$D$1:$AB$1,0))))</f>
        <v/>
      </c>
      <c r="AB47" s="65" t="str">
        <f t="shared" si="23"/>
        <v>-</v>
      </c>
      <c r="AC47" s="66" t="str">
        <f>IF(AC$7="","",IF(INDEX('Rooms Walls and Glass'!$D$3:$AB$4, MATCH($D47,'Rooms Walls and Glass'!$A$3:$A$4,0), MATCH('Unit 2 b'!AC$7,'Rooms Walls and Glass'!$D$1:$AB$1,0))=0,"",INDEX('Rooms Walls and Glass'!$D$3:$AB$4, MATCH($D47,'Rooms Walls and Glass'!$A$3:$A$4,0), MATCH('Unit 2 b'!AC$7,'Rooms Walls and Glass'!$D$1:$AB$1,0))))</f>
        <v/>
      </c>
      <c r="AD47" s="65" t="str">
        <f t="shared" si="30"/>
        <v>-</v>
      </c>
      <c r="AE47" s="66" t="str">
        <f>IF(AE$7="","",IF(INDEX('Rooms Walls and Glass'!$D$3:$AB$4, MATCH($D47,'Rooms Walls and Glass'!$A$3:$A$4,0), MATCH('Unit 2 b'!AE$7,'Rooms Walls and Glass'!$D$1:$AB$1,0))=0,"",INDEX('Rooms Walls and Glass'!$D$3:$AB$4, MATCH($D47,'Rooms Walls and Glass'!$A$3:$A$4,0), MATCH('Unit 2 b'!AE$7,'Rooms Walls and Glass'!$D$1:$AB$1,0))))</f>
        <v/>
      </c>
      <c r="AF47" s="65" t="str">
        <f t="shared" si="31"/>
        <v>-</v>
      </c>
      <c r="AG47" s="66" t="str">
        <f>IF(AG$7="","",IF(INDEX('Rooms Walls and Glass'!$D$3:$AB$4, MATCH($D47,'Rooms Walls and Glass'!$A$3:$A$4,0), MATCH('Unit 2 b'!AG$7,'Rooms Walls and Glass'!$D$1:$AB$1,0))=0,"",INDEX('Rooms Walls and Glass'!$D$3:$AB$4, MATCH($D47,'Rooms Walls and Glass'!$A$3:$A$4,0), MATCH('Unit 2 b'!AG$7,'Rooms Walls and Glass'!$D$1:$AB$1,0))))</f>
        <v/>
      </c>
      <c r="AH47" s="65" t="str">
        <f t="shared" si="25"/>
        <v>-</v>
      </c>
      <c r="AI47" s="66" t="str">
        <f>IF(AI$7="","",IF(INDEX('Rooms Walls and Glass'!$D$3:$AB$4, MATCH($D47,'Rooms Walls and Glass'!$A$3:$A$4,0), MATCH('Unit 2 b'!AI$7,'Rooms Walls and Glass'!$D$1:$AB$1,0))=0,"",INDEX('Rooms Walls and Glass'!$D$3:$AB$4, MATCH($D47,'Rooms Walls and Glass'!$A$3:$A$4,0), MATCH('Unit 2 b'!AI$7,'Rooms Walls and Glass'!$D$1:$AB$1,0))))</f>
        <v/>
      </c>
      <c r="AJ47" s="67" t="str">
        <f t="shared" si="26"/>
        <v>-</v>
      </c>
      <c r="AK47" s="66" t="str">
        <f>IF(AK$7="","",IF(INDEX('Rooms Walls and Glass'!$D$3:$AB$4, MATCH($D47,'Rooms Walls and Glass'!$A$3:$A$4,0), MATCH('Unit 2 b'!AK$7,'Rooms Walls and Glass'!$D$1:$AB$1,0))=0,"",INDEX('Rooms Walls and Glass'!$D$3:$AB$4, MATCH($D47,'Rooms Walls and Glass'!$A$3:$A$4,0), MATCH('Unit 2 b'!AK$7,'Rooms Walls and Glass'!$D$1:$AB$1,0))))</f>
        <v/>
      </c>
      <c r="AL47" s="65" t="str">
        <f t="shared" si="27"/>
        <v>-</v>
      </c>
      <c r="AM47" s="66" t="str">
        <f>IF(AM$7="","",IF(INDEX('Rooms Walls and Glass'!$D$3:$AB$4, MATCH($D47,'Rooms Walls and Glass'!$A$3:$A$4,0), MATCH('Unit 2 b'!AM$7,'Rooms Walls and Glass'!$D$1:$AB$1,0))=0,"",INDEX('Rooms Walls and Glass'!$D$3:$AB$4, MATCH($D47,'Rooms Walls and Glass'!$A$3:$A$4,0), MATCH('Unit 2 b'!AM$7,'Rooms Walls and Glass'!$D$1:$AB$1,0))))</f>
        <v/>
      </c>
      <c r="AN47" s="67" t="str">
        <f t="shared" si="28"/>
        <v>-</v>
      </c>
    </row>
    <row r="48" spans="2:40" ht="11.25" customHeight="1" thickBot="1" x14ac:dyDescent="0.2">
      <c r="B48" s="239"/>
      <c r="C48" s="16"/>
      <c r="D48" s="232" t="s">
        <v>235</v>
      </c>
      <c r="E48" s="233"/>
      <c r="F48" s="234"/>
      <c r="G48" s="16">
        <v>3.4129999999999998</v>
      </c>
      <c r="H48" s="16" t="s">
        <v>6</v>
      </c>
      <c r="I48" s="68">
        <f>J48/G48</f>
        <v>0</v>
      </c>
      <c r="J48" s="68">
        <f>SUM(L48,N48,P48,R48,T48,V48,X48,Z48,AB48,AD48,AF48,AH48,AJ48,AL48,AN48)</f>
        <v>0</v>
      </c>
      <c r="K48" s="72" t="str">
        <f>IF(SUM(K44:K46)/2=0,"",SUM(K44:K46)/2)</f>
        <v/>
      </c>
      <c r="L48" s="68" t="str">
        <f>IF(K48="","-",ROUND(K48,0)*$G48)</f>
        <v>-</v>
      </c>
      <c r="M48" s="72" t="str">
        <f>IF(SUM(M44:M46)/2=0,"",SUM(M44:M46)/2)</f>
        <v/>
      </c>
      <c r="N48" s="68" t="str">
        <f>IF(M48="","-",ROUND(M48,0)*$G48)</f>
        <v>-</v>
      </c>
      <c r="O48" s="72" t="str">
        <f>IF(SUM(O44:O46)/2=0,"",SUM(O44:O46)/2)</f>
        <v/>
      </c>
      <c r="P48" s="68" t="str">
        <f>IF(O48="","-",ROUND(O48,0)*$G48)</f>
        <v>-</v>
      </c>
      <c r="Q48" s="72" t="str">
        <f>IF(SUM(Q44:Q46)/2=0,"",SUM(Q44:Q46)/2)</f>
        <v/>
      </c>
      <c r="R48" s="68" t="str">
        <f>IF(Q48="","-",ROUND(Q48,0)*$G48)</f>
        <v>-</v>
      </c>
      <c r="S48" s="72" t="str">
        <f>IF(SUM(S44:S46)/2=0,"",SUM(S44:S46)/2)</f>
        <v/>
      </c>
      <c r="T48" s="68" t="str">
        <f>IF(S48="","-",ROUND(S48,0)*$G48)</f>
        <v>-</v>
      </c>
      <c r="U48" s="72" t="str">
        <f>IF(SUM(U44:U46)/2=0,"",SUM(U44:U46)/2)</f>
        <v/>
      </c>
      <c r="V48" s="68" t="str">
        <f>IF(U48="","-",ROUND(U48,0)*$G48)</f>
        <v>-</v>
      </c>
      <c r="W48" s="72" t="str">
        <f>IF(SUM(W44:W46)/2=0,"",SUM(W44:W46)/2)</f>
        <v/>
      </c>
      <c r="X48" s="68" t="str">
        <f>IF(W48="","-",ROUND(W48,0)*$G48)</f>
        <v>-</v>
      </c>
      <c r="Y48" s="72" t="str">
        <f>IF(SUM(Y44:Y46)/2=0,"",SUM(Y44:Y46)/2)</f>
        <v/>
      </c>
      <c r="Z48" s="68" t="str">
        <f>IF(Y48="","-",ROUND(Y48,0)*$G48)</f>
        <v>-</v>
      </c>
      <c r="AA48" s="72" t="str">
        <f>IF(SUM(AA44:AA46)/2=0,"",SUM(AA44:AA46)/2)</f>
        <v/>
      </c>
      <c r="AB48" s="68" t="str">
        <f>IF(AA48="","-",ROUND(AA48,0)*$G48)</f>
        <v>-</v>
      </c>
      <c r="AC48" s="72" t="str">
        <f>IF(SUM(AC44:AC46)/2=0,"",SUM(AC44:AC46)/2)</f>
        <v/>
      </c>
      <c r="AD48" s="68" t="str">
        <f>IF(AC48="","-",ROUND(AC48,0)*$G48)</f>
        <v>-</v>
      </c>
      <c r="AE48" s="72" t="str">
        <f>IF(SUM(AE44:AE46)/2=0,"",SUM(AE44:AE46)/2)</f>
        <v/>
      </c>
      <c r="AF48" s="68" t="str">
        <f>IF(AE48="","-",ROUND(AE48,0)*$G48)</f>
        <v>-</v>
      </c>
      <c r="AG48" s="72" t="str">
        <f>IF(SUM(AG44:AG46)/2=0,"",SUM(AG44:AG46)/2)</f>
        <v/>
      </c>
      <c r="AH48" s="68" t="str">
        <f>IF(AG48="","-",ROUND(AG48,0)*$G48)</f>
        <v>-</v>
      </c>
      <c r="AI48" s="72" t="str">
        <f>IF(SUM(AI44:AI46)/2=0,"",SUM(AI44:AI46)/2)</f>
        <v/>
      </c>
      <c r="AJ48" s="68" t="str">
        <f>IF(AI48="","-",ROUND(AI48,0)*$G48)</f>
        <v>-</v>
      </c>
      <c r="AK48" s="72" t="str">
        <f>IF(SUM(AK44:AK46)/2=0,"",SUM(AK44:AK46)/2)</f>
        <v/>
      </c>
      <c r="AL48" s="68" t="str">
        <f>IF(AK48="","-",ROUND(AK48,0)*$G48)</f>
        <v>-</v>
      </c>
      <c r="AM48" s="72" t="str">
        <f>IF(SUM(AM44:AM46)/2=0,"",SUM(AM44:AM46)/2)</f>
        <v/>
      </c>
      <c r="AN48" s="68" t="str">
        <f>IF(AM48="","-",ROUND(AM48,0)*$G48)</f>
        <v>-</v>
      </c>
    </row>
    <row r="49" spans="2:40" ht="11.25" customHeight="1" thickBot="1" x14ac:dyDescent="0.2">
      <c r="B49" s="240"/>
      <c r="C49" s="11"/>
      <c r="D49" s="232" t="s">
        <v>236</v>
      </c>
      <c r="E49" s="233"/>
      <c r="F49" s="234"/>
      <c r="G49" s="11">
        <v>3.4129999999999998</v>
      </c>
      <c r="H49" s="20" t="s">
        <v>6</v>
      </c>
      <c r="I49" s="41">
        <f>SUM(K49,M49,O49,Q49,U49,W49,Y49,AA49,AC49,AE49,AG49,AI49,S49,AK49,AM49)</f>
        <v>0</v>
      </c>
      <c r="J49" s="70">
        <f t="shared" si="14"/>
        <v>0</v>
      </c>
      <c r="K49" s="66" t="str">
        <f>IF(K$7="","",IF(INDEX('Rooms Walls and Glass'!$D$3:$AB$4, MATCH($D49,'Rooms Walls and Glass'!$A$3:$A$4,0), MATCH('Unit 2 b'!K$7,'Rooms Walls and Glass'!$D$1:$AB$1,0))=0,"",INDEX('Rooms Walls and Glass'!$D$3:$AB$4, MATCH($D49,'Rooms Walls and Glass'!$A$3:$A$4,0), MATCH('Unit 2 b'!K$7,'Rooms Walls and Glass'!$D$1:$AB$1,0))))</f>
        <v/>
      </c>
      <c r="L49" s="70" t="str">
        <f t="shared" si="15"/>
        <v>-</v>
      </c>
      <c r="M49" s="66" t="str">
        <f>IF(M$7="","",IF(INDEX('Rooms Walls and Glass'!$D$3:$AB$4, MATCH($D49,'Rooms Walls and Glass'!$A$3:$A$4,0), MATCH('Unit 2 b'!M$7,'Rooms Walls and Glass'!$D$1:$AB$1,0))=0,"",INDEX('Rooms Walls and Glass'!$D$3:$AB$4, MATCH($D49,'Rooms Walls and Glass'!$A$3:$A$4,0), MATCH('Unit 2 b'!M$7,'Rooms Walls and Glass'!$D$1:$AB$1,0))))</f>
        <v/>
      </c>
      <c r="N49" s="70" t="str">
        <f t="shared" si="16"/>
        <v>-</v>
      </c>
      <c r="O49" s="66" t="str">
        <f>IF(O$7="","",IF(INDEX('Rooms Walls and Glass'!$D$3:$AB$4, MATCH($D49,'Rooms Walls and Glass'!$A$3:$A$4,0), MATCH('Unit 2 b'!O$7,'Rooms Walls and Glass'!$D$1:$AB$1,0))=0,"",INDEX('Rooms Walls and Glass'!$D$3:$AB$4, MATCH($D49,'Rooms Walls and Glass'!$A$3:$A$4,0), MATCH('Unit 2 b'!O$7,'Rooms Walls and Glass'!$D$1:$AB$1,0))))</f>
        <v/>
      </c>
      <c r="P49" s="70" t="str">
        <f t="shared" si="17"/>
        <v>-</v>
      </c>
      <c r="Q49" s="66" t="str">
        <f>IF(Q$7="","",IF(INDEX('Rooms Walls and Glass'!$D$3:$AB$4, MATCH($D49,'Rooms Walls and Glass'!$A$3:$A$4,0), MATCH('Unit 2 b'!Q$7,'Rooms Walls and Glass'!$D$1:$AB$1,0))=0,"",INDEX('Rooms Walls and Glass'!$D$3:$AB$4, MATCH($D49,'Rooms Walls and Glass'!$A$3:$A$4,0), MATCH('Unit 2 b'!Q$7,'Rooms Walls and Glass'!$D$1:$AB$1,0))))</f>
        <v/>
      </c>
      <c r="R49" s="70" t="str">
        <f t="shared" si="18"/>
        <v>-</v>
      </c>
      <c r="S49" s="66" t="str">
        <f>IF(S$7="","",IF(INDEX('Rooms Walls and Glass'!$D$3:$AB$4, MATCH($D49,'Rooms Walls and Glass'!$A$3:$A$4,0), MATCH('Unit 2 b'!S$7,'Rooms Walls and Glass'!$D$1:$AB$1,0))=0,"",INDEX('Rooms Walls and Glass'!$D$3:$AB$4, MATCH($D49,'Rooms Walls and Glass'!$A$3:$A$4,0), MATCH('Unit 2 b'!S$7,'Rooms Walls and Glass'!$D$1:$AB$1,0))))</f>
        <v/>
      </c>
      <c r="T49" s="70" t="str">
        <f t="shared" si="19"/>
        <v>-</v>
      </c>
      <c r="U49" s="66" t="str">
        <f>IF(U$7="","",IF(INDEX('Rooms Walls and Glass'!$D$3:$AB$4, MATCH($D49,'Rooms Walls and Glass'!$A$3:$A$4,0), MATCH('Unit 2 b'!U$7,'Rooms Walls and Glass'!$D$1:$AB$1,0))=0,"",INDEX('Rooms Walls and Glass'!$D$3:$AB$4, MATCH($D49,'Rooms Walls and Glass'!$A$3:$A$4,0), MATCH('Unit 2 b'!U$7,'Rooms Walls and Glass'!$D$1:$AB$1,0))))</f>
        <v/>
      </c>
      <c r="V49" s="70" t="str">
        <f t="shared" si="20"/>
        <v>-</v>
      </c>
      <c r="W49" s="66" t="str">
        <f>IF(W$7="","",IF(INDEX('Rooms Walls and Glass'!$D$3:$AB$4, MATCH($D49,'Rooms Walls and Glass'!$A$3:$A$4,0), MATCH('Unit 2 b'!W$7,'Rooms Walls and Glass'!$D$1:$AB$1,0))=0,"",INDEX('Rooms Walls and Glass'!$D$3:$AB$4, MATCH($D49,'Rooms Walls and Glass'!$A$3:$A$4,0), MATCH('Unit 2 b'!W$7,'Rooms Walls and Glass'!$D$1:$AB$1,0))))</f>
        <v/>
      </c>
      <c r="X49" s="70" t="str">
        <f t="shared" si="21"/>
        <v>-</v>
      </c>
      <c r="Y49" s="66" t="str">
        <f>IF(Y$7="","",IF(INDEX('Rooms Walls and Glass'!$D$3:$AB$4, MATCH($D49,'Rooms Walls and Glass'!$A$3:$A$4,0), MATCH('Unit 2 b'!Y$7,'Rooms Walls and Glass'!$D$1:$AB$1,0))=0,"",INDEX('Rooms Walls and Glass'!$D$3:$AB$4, MATCH($D49,'Rooms Walls and Glass'!$A$3:$A$4,0), MATCH('Unit 2 b'!Y$7,'Rooms Walls and Glass'!$D$1:$AB$1,0))))</f>
        <v/>
      </c>
      <c r="Z49" s="70" t="str">
        <f t="shared" si="22"/>
        <v>-</v>
      </c>
      <c r="AA49" s="66" t="str">
        <f>IF(AA$7="","",IF(INDEX('Rooms Walls and Glass'!$D$3:$AB$4, MATCH($D49,'Rooms Walls and Glass'!$A$3:$A$4,0), MATCH('Unit 2 b'!AA$7,'Rooms Walls and Glass'!$D$1:$AB$1,0))=0,"",INDEX('Rooms Walls and Glass'!$D$3:$AB$4, MATCH($D49,'Rooms Walls and Glass'!$A$3:$A$4,0), MATCH('Unit 2 b'!AA$7,'Rooms Walls and Glass'!$D$1:$AB$1,0))))</f>
        <v/>
      </c>
      <c r="AB49" s="70" t="str">
        <f t="shared" si="23"/>
        <v>-</v>
      </c>
      <c r="AC49" s="66" t="str">
        <f>IF(AC$7="","",IF(INDEX('Rooms Walls and Glass'!$D$3:$AB$4, MATCH($D49,'Rooms Walls and Glass'!$A$3:$A$4,0), MATCH('Unit 2 b'!AC$7,'Rooms Walls and Glass'!$D$1:$AB$1,0))=0,"",INDEX('Rooms Walls and Glass'!$D$3:$AB$4, MATCH($D49,'Rooms Walls and Glass'!$A$3:$A$4,0), MATCH('Unit 2 b'!AC$7,'Rooms Walls and Glass'!$D$1:$AB$1,0))))</f>
        <v/>
      </c>
      <c r="AD49" s="70" t="str">
        <f t="shared" ref="AD49" si="32">IF(AC49="","-",AC49*$G49)</f>
        <v>-</v>
      </c>
      <c r="AE49" s="66" t="str">
        <f>IF(AE$7="","",IF(INDEX('Rooms Walls and Glass'!$D$3:$AB$4, MATCH($D49,'Rooms Walls and Glass'!$A$3:$A$4,0), MATCH('Unit 2 b'!AE$7,'Rooms Walls and Glass'!$D$1:$AB$1,0))=0,"",INDEX('Rooms Walls and Glass'!$D$3:$AB$4, MATCH($D49,'Rooms Walls and Glass'!$A$3:$A$4,0), MATCH('Unit 2 b'!AE$7,'Rooms Walls and Glass'!$D$1:$AB$1,0))))</f>
        <v/>
      </c>
      <c r="AF49" s="70" t="str">
        <f t="shared" ref="AF49" si="33">IF(AE49="","-",AE49*$G49)</f>
        <v>-</v>
      </c>
      <c r="AG49" s="66" t="str">
        <f>IF(AG$7="","",IF(INDEX('Rooms Walls and Glass'!$D$3:$AB$4, MATCH($D49,'Rooms Walls and Glass'!$A$3:$A$4,0), MATCH('Unit 2 b'!AG$7,'Rooms Walls and Glass'!$D$1:$AB$1,0))=0,"",INDEX('Rooms Walls and Glass'!$D$3:$AB$4, MATCH($D49,'Rooms Walls and Glass'!$A$3:$A$4,0), MATCH('Unit 2 b'!AG$7,'Rooms Walls and Glass'!$D$1:$AB$1,0))))</f>
        <v/>
      </c>
      <c r="AH49" s="70" t="str">
        <f t="shared" si="25"/>
        <v>-</v>
      </c>
      <c r="AI49" s="66" t="str">
        <f>IF(AI$7="","",IF(INDEX('Rooms Walls and Glass'!$D$3:$AB$4, MATCH($D49,'Rooms Walls and Glass'!$A$3:$A$4,0), MATCH('Unit 2 b'!AI$7,'Rooms Walls and Glass'!$D$1:$AB$1,0))=0,"",INDEX('Rooms Walls and Glass'!$D$3:$AB$4, MATCH($D49,'Rooms Walls and Glass'!$A$3:$A$4,0), MATCH('Unit 2 b'!AI$7,'Rooms Walls and Glass'!$D$1:$AB$1,0))))</f>
        <v/>
      </c>
      <c r="AJ49" s="71" t="str">
        <f t="shared" si="26"/>
        <v>-</v>
      </c>
      <c r="AK49" s="66" t="str">
        <f>IF(AK$7="","",IF(INDEX('Rooms Walls and Glass'!$D$3:$AB$4, MATCH($D49,'Rooms Walls and Glass'!$A$3:$A$4,0), MATCH('Unit 2 b'!AK$7,'Rooms Walls and Glass'!$D$1:$AB$1,0))=0,"",INDEX('Rooms Walls and Glass'!$D$3:$AB$4, MATCH($D49,'Rooms Walls and Glass'!$A$3:$A$4,0), MATCH('Unit 2 b'!AK$7,'Rooms Walls and Glass'!$D$1:$AB$1,0))))</f>
        <v/>
      </c>
      <c r="AL49" s="70" t="str">
        <f t="shared" ref="AL49" si="34">IF(AK49="","-",AK49*$G49)</f>
        <v>-</v>
      </c>
      <c r="AM49" s="66" t="str">
        <f>IF(AM$7="","",IF(INDEX('Rooms Walls and Glass'!$D$3:$AB$4, MATCH($D49,'Rooms Walls and Glass'!$A$3:$A$4,0), MATCH('Unit 2 b'!AM$7,'Rooms Walls and Glass'!$D$1:$AB$1,0))=0,"",INDEX('Rooms Walls and Glass'!$D$3:$AB$4, MATCH($D49,'Rooms Walls and Glass'!$A$3:$A$4,0), MATCH('Unit 2 b'!AM$7,'Rooms Walls and Glass'!$D$1:$AB$1,0))))</f>
        <v/>
      </c>
      <c r="AN49" s="71" t="str">
        <f t="shared" ref="AN49" si="35">IF(AM49="","-",AM49*$G49)</f>
        <v>-</v>
      </c>
    </row>
    <row r="50" spans="2:40" ht="11.25" customHeight="1" x14ac:dyDescent="0.15">
      <c r="B50" s="242" t="s">
        <v>54</v>
      </c>
      <c r="C50" s="233"/>
      <c r="D50" s="233"/>
      <c r="E50" s="233"/>
      <c r="F50" s="234"/>
      <c r="G50" s="21"/>
      <c r="H50" s="22" t="s">
        <v>57</v>
      </c>
      <c r="I50" s="73">
        <f>SUM(K50,M50,O50,Q50,U50,W50,Y50,AA50,AC50,AE50,AG50,AI50,S50,AK50,AM50)</f>
        <v>0</v>
      </c>
      <c r="J50" s="74">
        <f>IF(I50="","-",I50*$G50)</f>
        <v>0</v>
      </c>
      <c r="K50" s="75">
        <f>SUM(K44:K46)*K6</f>
        <v>0</v>
      </c>
      <c r="L50" s="74">
        <f>IF(K50="","-",K50*$G50)</f>
        <v>0</v>
      </c>
      <c r="M50" s="75">
        <f>SUM(M44:M46)*M6</f>
        <v>0</v>
      </c>
      <c r="N50" s="74">
        <f>IF(M50="","-",M50*$G50)</f>
        <v>0</v>
      </c>
      <c r="O50" s="75">
        <f>SUM(O44:O46)*O6</f>
        <v>0</v>
      </c>
      <c r="P50" s="74">
        <f>IF(O50="","-",O50*$G50)</f>
        <v>0</v>
      </c>
      <c r="Q50" s="75">
        <f>SUM(Q44:Q46)*Q6</f>
        <v>0</v>
      </c>
      <c r="R50" s="74">
        <f>IF(Q50="","-",Q50*$G50)</f>
        <v>0</v>
      </c>
      <c r="S50" s="75">
        <f>SUM(S44:S46)*S6</f>
        <v>0</v>
      </c>
      <c r="T50" s="74">
        <f>IF(S50="","-",S50*$G50)</f>
        <v>0</v>
      </c>
      <c r="U50" s="75">
        <f>SUM(U44:U46)*U6</f>
        <v>0</v>
      </c>
      <c r="V50" s="74">
        <f>IF(U50="","-",U50*$G50)</f>
        <v>0</v>
      </c>
      <c r="W50" s="75">
        <f>SUM(W44:W46)*W6</f>
        <v>0</v>
      </c>
      <c r="X50" s="74">
        <f>IF(W50="","-",W50*$G50)</f>
        <v>0</v>
      </c>
      <c r="Y50" s="75">
        <f>SUM(Y44:Y46)*Y6</f>
        <v>0</v>
      </c>
      <c r="Z50" s="74">
        <f>IF(Y50="","-",Y50*$G50)</f>
        <v>0</v>
      </c>
      <c r="AA50" s="75">
        <f>SUM(AA44:AA46)*AA6</f>
        <v>0</v>
      </c>
      <c r="AB50" s="74">
        <f>IF(AA50="","-",AA50*$G50)</f>
        <v>0</v>
      </c>
      <c r="AC50" s="75">
        <f>SUM(AC44:AC46)*AC6</f>
        <v>0</v>
      </c>
      <c r="AD50" s="74">
        <f>IF(AC50="","-",AC50*$G50)</f>
        <v>0</v>
      </c>
      <c r="AE50" s="75">
        <f>SUM(AE44:AE46)*AE6</f>
        <v>0</v>
      </c>
      <c r="AF50" s="74">
        <f>IF(AE50="","-",AE50*$G50)</f>
        <v>0</v>
      </c>
      <c r="AG50" s="75">
        <f>SUM(AG44:AG46)*AG6</f>
        <v>0</v>
      </c>
      <c r="AH50" s="74">
        <f>IF(AG50="","-",AG50*$G50)</f>
        <v>0</v>
      </c>
      <c r="AI50" s="75">
        <f>SUM(AI44:AI46)*AI6</f>
        <v>0</v>
      </c>
      <c r="AJ50" s="76">
        <f>IF(AI50="","-",AI50*$G50)</f>
        <v>0</v>
      </c>
      <c r="AK50" s="75">
        <f>SUM(AK44:AK46)*AK6</f>
        <v>0</v>
      </c>
      <c r="AL50" s="74">
        <f>IF(AK50="","-",AK50*$G50)</f>
        <v>0</v>
      </c>
      <c r="AM50" s="75">
        <f>SUM(AM44:AM46)*AM6</f>
        <v>0</v>
      </c>
      <c r="AN50" s="76">
        <f>IF(AM50="","-",AM50*$G50)</f>
        <v>0</v>
      </c>
    </row>
    <row r="51" spans="2:40" ht="11.25" customHeight="1" thickBot="1" x14ac:dyDescent="0.2">
      <c r="B51" s="219" t="s">
        <v>55</v>
      </c>
      <c r="C51" s="220"/>
      <c r="D51" s="220"/>
      <c r="E51" s="23">
        <f>Summary!H13</f>
        <v>0.25</v>
      </c>
      <c r="F51" s="24" t="s">
        <v>56</v>
      </c>
      <c r="G51" s="25">
        <f>IF(E51=0.25,0.09,0.13)</f>
        <v>0.09</v>
      </c>
      <c r="H51" s="26" t="s">
        <v>6</v>
      </c>
      <c r="I51" s="77">
        <f>SUM(K51,M51,O51,Q51,U51,W51,Y51,AA51,AC51,AE51,AG51,AI51,S51,AK51,AM51)</f>
        <v>0</v>
      </c>
      <c r="J51" s="78">
        <f>IF(I50="","-",I50*$G51)</f>
        <v>0</v>
      </c>
      <c r="K51" s="79">
        <f>SUM(K44:K46)</f>
        <v>0</v>
      </c>
      <c r="L51" s="78">
        <f>K50*$G$51</f>
        <v>0</v>
      </c>
      <c r="M51" s="79">
        <f>SUM(M44:M46)</f>
        <v>0</v>
      </c>
      <c r="N51" s="78">
        <f>M50*$G$51</f>
        <v>0</v>
      </c>
      <c r="O51" s="79">
        <f>SUM(O44:O46)</f>
        <v>0</v>
      </c>
      <c r="P51" s="78">
        <f>O50*$G$51</f>
        <v>0</v>
      </c>
      <c r="Q51" s="79">
        <f>SUM(Q44:Q46)</f>
        <v>0</v>
      </c>
      <c r="R51" s="78">
        <f>Q50*$G$51</f>
        <v>0</v>
      </c>
      <c r="S51" s="79">
        <f>SUM(S44:S46)</f>
        <v>0</v>
      </c>
      <c r="T51" s="78">
        <f>S50*$G$51</f>
        <v>0</v>
      </c>
      <c r="U51" s="79">
        <f>SUM(U44:U46)</f>
        <v>0</v>
      </c>
      <c r="V51" s="78">
        <f>U50*$G$51</f>
        <v>0</v>
      </c>
      <c r="W51" s="79">
        <f>SUM(W44:W46)</f>
        <v>0</v>
      </c>
      <c r="X51" s="78">
        <f>W50*$G$51</f>
        <v>0</v>
      </c>
      <c r="Y51" s="79">
        <f>SUM(Y44:Y46)</f>
        <v>0</v>
      </c>
      <c r="Z51" s="78">
        <f>Y50*$G$51</f>
        <v>0</v>
      </c>
      <c r="AA51" s="79">
        <f>SUM(AA44:AA46)</f>
        <v>0</v>
      </c>
      <c r="AB51" s="78">
        <f>AA50*$G$51</f>
        <v>0</v>
      </c>
      <c r="AC51" s="79">
        <f>SUM(AC44:AC46)</f>
        <v>0</v>
      </c>
      <c r="AD51" s="78">
        <f>AC50*$G$51</f>
        <v>0</v>
      </c>
      <c r="AE51" s="79">
        <f>SUM(AE44:AE46)</f>
        <v>0</v>
      </c>
      <c r="AF51" s="78">
        <f>AE50*$G$51</f>
        <v>0</v>
      </c>
      <c r="AG51" s="79">
        <f>SUM(AG44:AG46)</f>
        <v>0</v>
      </c>
      <c r="AH51" s="78">
        <f>AG50*$G$51</f>
        <v>0</v>
      </c>
      <c r="AI51" s="79">
        <f>SUM(AI44:AI46)</f>
        <v>0</v>
      </c>
      <c r="AJ51" s="78">
        <f>AI50*$G$51</f>
        <v>0</v>
      </c>
      <c r="AK51" s="79">
        <f>SUM(AK44:AK46)</f>
        <v>0</v>
      </c>
      <c r="AL51" s="78">
        <f>AK50*$G$51</f>
        <v>0</v>
      </c>
      <c r="AM51" s="79">
        <f>SUM(AM44:AM46)</f>
        <v>0</v>
      </c>
      <c r="AN51" s="78">
        <f>AM50*$G$51</f>
        <v>0</v>
      </c>
    </row>
    <row r="52" spans="2:40" ht="11.25" customHeight="1" x14ac:dyDescent="0.15">
      <c r="B52" s="221" t="s">
        <v>58</v>
      </c>
      <c r="C52" s="222"/>
      <c r="D52" s="222"/>
      <c r="E52" s="222"/>
      <c r="F52" s="222"/>
      <c r="G52" s="222"/>
      <c r="H52" s="223"/>
      <c r="I52" s="31"/>
      <c r="J52" s="65">
        <f>SUM(J9:J51)</f>
        <v>0</v>
      </c>
      <c r="K52" s="80"/>
      <c r="L52" s="65">
        <f t="shared" ref="L52:AJ52" si="36">SUM(L9:L51)</f>
        <v>0</v>
      </c>
      <c r="M52" s="80"/>
      <c r="N52" s="65">
        <f t="shared" si="36"/>
        <v>0</v>
      </c>
      <c r="O52" s="80"/>
      <c r="P52" s="65">
        <f t="shared" si="36"/>
        <v>0</v>
      </c>
      <c r="Q52" s="80"/>
      <c r="R52" s="65">
        <f t="shared" si="36"/>
        <v>0</v>
      </c>
      <c r="S52" s="80"/>
      <c r="T52" s="65">
        <f t="shared" si="36"/>
        <v>0</v>
      </c>
      <c r="U52" s="80"/>
      <c r="V52" s="65">
        <f t="shared" si="36"/>
        <v>0</v>
      </c>
      <c r="W52" s="80"/>
      <c r="X52" s="65">
        <f t="shared" si="36"/>
        <v>0</v>
      </c>
      <c r="Y52" s="80"/>
      <c r="Z52" s="65">
        <f t="shared" si="36"/>
        <v>0</v>
      </c>
      <c r="AA52" s="80"/>
      <c r="AB52" s="65">
        <f t="shared" si="36"/>
        <v>0</v>
      </c>
      <c r="AC52" s="80"/>
      <c r="AD52" s="65">
        <f t="shared" si="36"/>
        <v>0</v>
      </c>
      <c r="AE52" s="80"/>
      <c r="AF52" s="65">
        <f t="shared" si="36"/>
        <v>0</v>
      </c>
      <c r="AG52" s="80"/>
      <c r="AH52" s="65">
        <f t="shared" si="36"/>
        <v>0</v>
      </c>
      <c r="AI52" s="80"/>
      <c r="AJ52" s="67">
        <f t="shared" si="36"/>
        <v>0</v>
      </c>
      <c r="AK52" s="80"/>
      <c r="AL52" s="65">
        <f t="shared" ref="AL52" si="37">SUM(AL9:AL51)</f>
        <v>0</v>
      </c>
      <c r="AM52" s="80"/>
      <c r="AN52" s="67">
        <f t="shared" ref="AN52" si="38">SUM(AN9:AN51)</f>
        <v>0</v>
      </c>
    </row>
    <row r="53" spans="2:40" ht="11.25" customHeight="1" thickBot="1" x14ac:dyDescent="0.2">
      <c r="B53" s="215" t="s">
        <v>59</v>
      </c>
      <c r="C53" s="216"/>
      <c r="D53" s="216"/>
      <c r="E53" s="216"/>
      <c r="F53" s="216"/>
      <c r="G53" s="27">
        <v>0.1</v>
      </c>
      <c r="H53" s="28"/>
      <c r="I53" s="81"/>
      <c r="J53" s="70">
        <f>G53*J52</f>
        <v>0</v>
      </c>
      <c r="K53" s="82"/>
      <c r="L53" s="83" t="str">
        <f t="shared" si="15"/>
        <v>-</v>
      </c>
      <c r="M53" s="82"/>
      <c r="N53" s="83" t="str">
        <f t="shared" si="16"/>
        <v>-</v>
      </c>
      <c r="O53" s="82"/>
      <c r="P53" s="83" t="str">
        <f t="shared" si="17"/>
        <v>-</v>
      </c>
      <c r="Q53" s="82"/>
      <c r="R53" s="83" t="str">
        <f t="shared" si="18"/>
        <v>-</v>
      </c>
      <c r="S53" s="82"/>
      <c r="T53" s="83" t="str">
        <f t="shared" si="19"/>
        <v>-</v>
      </c>
      <c r="U53" s="82"/>
      <c r="V53" s="83" t="str">
        <f t="shared" si="20"/>
        <v>-</v>
      </c>
      <c r="W53" s="82"/>
      <c r="X53" s="83" t="str">
        <f t="shared" si="21"/>
        <v>-</v>
      </c>
      <c r="Y53" s="82"/>
      <c r="Z53" s="83" t="str">
        <f t="shared" si="22"/>
        <v>-</v>
      </c>
      <c r="AA53" s="82"/>
      <c r="AB53" s="83" t="str">
        <f t="shared" si="23"/>
        <v>-</v>
      </c>
      <c r="AC53" s="82"/>
      <c r="AD53" s="83" t="str">
        <f t="shared" ref="AD53:AD55" si="39">IF(AC53="","-",AC53*$G53)</f>
        <v>-</v>
      </c>
      <c r="AE53" s="82"/>
      <c r="AF53" s="83" t="str">
        <f t="shared" ref="AF53:AF55" si="40">IF(AE53="","-",AE53*$G53)</f>
        <v>-</v>
      </c>
      <c r="AG53" s="82"/>
      <c r="AH53" s="83" t="str">
        <f t="shared" si="25"/>
        <v>-</v>
      </c>
      <c r="AI53" s="82"/>
      <c r="AJ53" s="84" t="str">
        <f t="shared" si="26"/>
        <v>-</v>
      </c>
      <c r="AK53" s="82"/>
      <c r="AL53" s="83" t="str">
        <f t="shared" ref="AL53:AL55" si="41">IF(AK53="","-",AK53*$G53)</f>
        <v>-</v>
      </c>
      <c r="AM53" s="82"/>
      <c r="AN53" s="84" t="str">
        <f t="shared" ref="AN53:AN55" si="42">IF(AM53="","-",AM53*$G53)</f>
        <v>-</v>
      </c>
    </row>
    <row r="54" spans="2:40" ht="11.25" customHeight="1" x14ac:dyDescent="0.15">
      <c r="B54" s="224" t="s">
        <v>60</v>
      </c>
      <c r="C54" s="225"/>
      <c r="D54" s="225"/>
      <c r="E54" s="225"/>
      <c r="F54" s="225"/>
      <c r="G54" s="225"/>
      <c r="H54" s="226"/>
      <c r="I54" s="31"/>
      <c r="J54" s="65">
        <f>J53+J52</f>
        <v>0</v>
      </c>
      <c r="K54" s="85"/>
      <c r="L54" s="80" t="str">
        <f t="shared" si="15"/>
        <v>-</v>
      </c>
      <c r="M54" s="85"/>
      <c r="N54" s="80" t="str">
        <f t="shared" si="16"/>
        <v>-</v>
      </c>
      <c r="O54" s="85"/>
      <c r="P54" s="80" t="str">
        <f t="shared" si="17"/>
        <v>-</v>
      </c>
      <c r="Q54" s="85"/>
      <c r="R54" s="80" t="str">
        <f t="shared" si="18"/>
        <v>-</v>
      </c>
      <c r="S54" s="85"/>
      <c r="T54" s="80" t="str">
        <f t="shared" si="19"/>
        <v>-</v>
      </c>
      <c r="U54" s="85"/>
      <c r="V54" s="80" t="str">
        <f t="shared" si="20"/>
        <v>-</v>
      </c>
      <c r="W54" s="85"/>
      <c r="X54" s="80" t="str">
        <f t="shared" si="21"/>
        <v>-</v>
      </c>
      <c r="Y54" s="85"/>
      <c r="Z54" s="80" t="str">
        <f t="shared" si="22"/>
        <v>-</v>
      </c>
      <c r="AA54" s="85"/>
      <c r="AB54" s="80" t="str">
        <f t="shared" si="23"/>
        <v>-</v>
      </c>
      <c r="AC54" s="85"/>
      <c r="AD54" s="80" t="str">
        <f t="shared" si="39"/>
        <v>-</v>
      </c>
      <c r="AE54" s="85"/>
      <c r="AF54" s="80" t="str">
        <f t="shared" si="40"/>
        <v>-</v>
      </c>
      <c r="AG54" s="85"/>
      <c r="AH54" s="80" t="str">
        <f t="shared" si="25"/>
        <v>-</v>
      </c>
      <c r="AI54" s="85"/>
      <c r="AJ54" s="86" t="str">
        <f t="shared" si="26"/>
        <v>-</v>
      </c>
      <c r="AK54" s="85"/>
      <c r="AL54" s="80" t="str">
        <f t="shared" si="41"/>
        <v>-</v>
      </c>
      <c r="AM54" s="85"/>
      <c r="AN54" s="86" t="str">
        <f t="shared" si="42"/>
        <v>-</v>
      </c>
    </row>
    <row r="55" spans="2:40" ht="11.25" customHeight="1" thickBot="1" x14ac:dyDescent="0.2">
      <c r="B55" s="227" t="s">
        <v>61</v>
      </c>
      <c r="C55" s="228"/>
      <c r="D55" s="228"/>
      <c r="E55" s="228"/>
      <c r="F55" s="228"/>
      <c r="G55" s="228"/>
      <c r="H55" s="229"/>
      <c r="I55" s="41"/>
      <c r="J55" s="87">
        <f>J54/0.75/12000</f>
        <v>0</v>
      </c>
      <c r="K55" s="82"/>
      <c r="L55" s="83" t="str">
        <f t="shared" si="15"/>
        <v>-</v>
      </c>
      <c r="M55" s="82"/>
      <c r="N55" s="83" t="str">
        <f t="shared" si="16"/>
        <v>-</v>
      </c>
      <c r="O55" s="82"/>
      <c r="P55" s="83" t="str">
        <f t="shared" si="17"/>
        <v>-</v>
      </c>
      <c r="Q55" s="82"/>
      <c r="R55" s="83" t="str">
        <f t="shared" si="18"/>
        <v>-</v>
      </c>
      <c r="S55" s="82"/>
      <c r="T55" s="83" t="str">
        <f t="shared" si="19"/>
        <v>-</v>
      </c>
      <c r="U55" s="82"/>
      <c r="V55" s="83" t="str">
        <f t="shared" si="20"/>
        <v>-</v>
      </c>
      <c r="W55" s="82"/>
      <c r="X55" s="83" t="str">
        <f t="shared" si="21"/>
        <v>-</v>
      </c>
      <c r="Y55" s="82"/>
      <c r="Z55" s="83" t="str">
        <f t="shared" si="22"/>
        <v>-</v>
      </c>
      <c r="AA55" s="82"/>
      <c r="AB55" s="83" t="str">
        <f t="shared" si="23"/>
        <v>-</v>
      </c>
      <c r="AC55" s="82"/>
      <c r="AD55" s="83" t="str">
        <f t="shared" si="39"/>
        <v>-</v>
      </c>
      <c r="AE55" s="82"/>
      <c r="AF55" s="83" t="str">
        <f t="shared" si="40"/>
        <v>-</v>
      </c>
      <c r="AG55" s="82"/>
      <c r="AH55" s="83" t="str">
        <f t="shared" si="25"/>
        <v>-</v>
      </c>
      <c r="AI55" s="82"/>
      <c r="AJ55" s="84" t="str">
        <f t="shared" si="26"/>
        <v>-</v>
      </c>
      <c r="AK55" s="82"/>
      <c r="AL55" s="83" t="str">
        <f t="shared" si="41"/>
        <v>-</v>
      </c>
      <c r="AM55" s="82"/>
      <c r="AN55" s="84" t="str">
        <f t="shared" si="42"/>
        <v>-</v>
      </c>
    </row>
    <row r="56" spans="2:40" ht="11.25" customHeight="1" thickBot="1" x14ac:dyDescent="0.2">
      <c r="B56" s="215" t="s">
        <v>62</v>
      </c>
      <c r="C56" s="216"/>
      <c r="D56" s="216"/>
      <c r="E56" s="30">
        <v>1.5</v>
      </c>
      <c r="F56" s="29" t="s">
        <v>63</v>
      </c>
      <c r="G56" s="217" t="s">
        <v>64</v>
      </c>
      <c r="H56" s="218"/>
      <c r="I56" s="88"/>
      <c r="J56" s="89">
        <f>E56*400</f>
        <v>600</v>
      </c>
      <c r="K56" s="90"/>
      <c r="L56" s="89" t="e">
        <f>L52/$J$52*$J$56</f>
        <v>#DIV/0!</v>
      </c>
      <c r="M56" s="90"/>
      <c r="N56" s="89" t="e">
        <f>N52/$J$52*$J$56</f>
        <v>#DIV/0!</v>
      </c>
      <c r="O56" s="90"/>
      <c r="P56" s="89" t="e">
        <f>P52/$J$52*$J$56</f>
        <v>#DIV/0!</v>
      </c>
      <c r="Q56" s="90"/>
      <c r="R56" s="89" t="e">
        <f>R52/$J$52*$J$56</f>
        <v>#DIV/0!</v>
      </c>
      <c r="S56" s="90"/>
      <c r="T56" s="89" t="e">
        <f>T52/$J$52*$J$56</f>
        <v>#DIV/0!</v>
      </c>
      <c r="U56" s="90"/>
      <c r="V56" s="89" t="e">
        <f>V52/$J$52*$J$56</f>
        <v>#DIV/0!</v>
      </c>
      <c r="W56" s="90"/>
      <c r="X56" s="89" t="e">
        <f>X52/$J$52*$J$56</f>
        <v>#DIV/0!</v>
      </c>
      <c r="Y56" s="90"/>
      <c r="Z56" s="89" t="e">
        <f>Z52/$J$52*$J$56</f>
        <v>#DIV/0!</v>
      </c>
      <c r="AA56" s="90"/>
      <c r="AB56" s="89" t="e">
        <f>AB52/$J$52*$J$56</f>
        <v>#DIV/0!</v>
      </c>
      <c r="AC56" s="90"/>
      <c r="AD56" s="89" t="e">
        <f>AD52/$J$52*$J$56</f>
        <v>#DIV/0!</v>
      </c>
      <c r="AE56" s="90"/>
      <c r="AF56" s="89" t="e">
        <f>AF52/$J$52*$J$56</f>
        <v>#DIV/0!</v>
      </c>
      <c r="AG56" s="90"/>
      <c r="AH56" s="89" t="e">
        <f>AH52/$J$52*$J$56</f>
        <v>#DIV/0!</v>
      </c>
      <c r="AI56" s="90"/>
      <c r="AJ56" s="91" t="e">
        <f>AJ52/$J$52*$J$56</f>
        <v>#DIV/0!</v>
      </c>
      <c r="AK56" s="90"/>
      <c r="AL56" s="89" t="e">
        <f>AL52/$J$52*$J$56</f>
        <v>#DIV/0!</v>
      </c>
      <c r="AM56" s="90"/>
      <c r="AN56" s="91" t="e">
        <f>AN52/$J$52*$J$56</f>
        <v>#DIV/0!</v>
      </c>
    </row>
    <row r="57" spans="2:40" ht="3" customHeight="1" thickBot="1" x14ac:dyDescent="0.2">
      <c r="B57" s="6"/>
      <c r="C57" s="7"/>
      <c r="D57" s="7"/>
      <c r="E57" s="7"/>
      <c r="F57" s="7"/>
      <c r="G57" s="7"/>
      <c r="H57" s="7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9"/>
      <c r="AK57" s="208"/>
      <c r="AL57" s="208"/>
      <c r="AM57" s="208"/>
      <c r="AN57" s="209"/>
    </row>
    <row r="58" spans="2:40" ht="24" customHeight="1" x14ac:dyDescent="0.15">
      <c r="B58" s="248" t="s">
        <v>0</v>
      </c>
      <c r="C58" s="210"/>
      <c r="D58" s="210"/>
      <c r="E58" s="249" t="s">
        <v>71</v>
      </c>
      <c r="F58" s="249" t="s">
        <v>4</v>
      </c>
      <c r="G58" s="210" t="s">
        <v>72</v>
      </c>
      <c r="H58" s="251"/>
      <c r="I58" s="248" t="s">
        <v>29</v>
      </c>
      <c r="J58" s="210"/>
      <c r="K58" s="210" t="str">
        <f>K7</f>
        <v/>
      </c>
      <c r="L58" s="210"/>
      <c r="M58" s="210" t="str">
        <f t="shared" ref="M58" si="43">M7</f>
        <v/>
      </c>
      <c r="N58" s="210"/>
      <c r="O58" s="210" t="str">
        <f t="shared" ref="O58" si="44">O7</f>
        <v/>
      </c>
      <c r="P58" s="210"/>
      <c r="Q58" s="210" t="str">
        <f t="shared" ref="Q58" si="45">Q7</f>
        <v/>
      </c>
      <c r="R58" s="210"/>
      <c r="S58" s="210" t="str">
        <f t="shared" ref="S58" si="46">S7</f>
        <v/>
      </c>
      <c r="T58" s="210"/>
      <c r="U58" s="210" t="str">
        <f t="shared" ref="U58" si="47">U7</f>
        <v/>
      </c>
      <c r="V58" s="210"/>
      <c r="W58" s="210" t="str">
        <f t="shared" ref="W58" si="48">W7</f>
        <v/>
      </c>
      <c r="X58" s="210"/>
      <c r="Y58" s="210" t="str">
        <f t="shared" ref="Y58" si="49">Y7</f>
        <v/>
      </c>
      <c r="Z58" s="210"/>
      <c r="AA58" s="210" t="str">
        <f t="shared" ref="AA58" si="50">AA7</f>
        <v/>
      </c>
      <c r="AB58" s="210"/>
      <c r="AC58" s="210" t="str">
        <f t="shared" ref="AC58" si="51">AC7</f>
        <v/>
      </c>
      <c r="AD58" s="210"/>
      <c r="AE58" s="210" t="str">
        <f t="shared" ref="AE58" si="52">AE7</f>
        <v/>
      </c>
      <c r="AF58" s="210"/>
      <c r="AG58" s="210" t="str">
        <f t="shared" ref="AG58" si="53">AG7</f>
        <v/>
      </c>
      <c r="AH58" s="210"/>
      <c r="AI58" s="210" t="str">
        <f t="shared" ref="AI58" si="54">AI7</f>
        <v/>
      </c>
      <c r="AJ58" s="210"/>
      <c r="AK58" s="210" t="str">
        <f t="shared" ref="AK58" si="55">AK7</f>
        <v/>
      </c>
      <c r="AL58" s="210"/>
      <c r="AM58" s="210" t="str">
        <f t="shared" ref="AM58" si="56">AM7</f>
        <v/>
      </c>
      <c r="AN58" s="210"/>
    </row>
    <row r="59" spans="2:40" ht="18.75" customHeight="1" thickBot="1" x14ac:dyDescent="0.2">
      <c r="B59" s="10"/>
      <c r="C59" s="11" t="s">
        <v>1</v>
      </c>
      <c r="D59" s="11" t="s">
        <v>2</v>
      </c>
      <c r="E59" s="250"/>
      <c r="F59" s="250"/>
      <c r="G59" s="252"/>
      <c r="H59" s="253"/>
      <c r="I59" s="92" t="s">
        <v>30</v>
      </c>
      <c r="J59" s="41" t="s">
        <v>31</v>
      </c>
      <c r="K59" s="41" t="s">
        <v>30</v>
      </c>
      <c r="L59" s="41" t="s">
        <v>31</v>
      </c>
      <c r="M59" s="41" t="s">
        <v>30</v>
      </c>
      <c r="N59" s="41" t="s">
        <v>31</v>
      </c>
      <c r="O59" s="41" t="s">
        <v>30</v>
      </c>
      <c r="P59" s="41" t="s">
        <v>31</v>
      </c>
      <c r="Q59" s="41" t="s">
        <v>30</v>
      </c>
      <c r="R59" s="41" t="s">
        <v>31</v>
      </c>
      <c r="S59" s="41" t="s">
        <v>30</v>
      </c>
      <c r="T59" s="41" t="s">
        <v>31</v>
      </c>
      <c r="U59" s="41" t="s">
        <v>30</v>
      </c>
      <c r="V59" s="41" t="s">
        <v>31</v>
      </c>
      <c r="W59" s="41" t="s">
        <v>30</v>
      </c>
      <c r="X59" s="41" t="s">
        <v>31</v>
      </c>
      <c r="Y59" s="41" t="s">
        <v>30</v>
      </c>
      <c r="Z59" s="41" t="s">
        <v>31</v>
      </c>
      <c r="AA59" s="41" t="s">
        <v>30</v>
      </c>
      <c r="AB59" s="41" t="s">
        <v>31</v>
      </c>
      <c r="AC59" s="41" t="s">
        <v>30</v>
      </c>
      <c r="AD59" s="41" t="s">
        <v>31</v>
      </c>
      <c r="AE59" s="41" t="s">
        <v>30</v>
      </c>
      <c r="AF59" s="41" t="s">
        <v>31</v>
      </c>
      <c r="AG59" s="41" t="s">
        <v>30</v>
      </c>
      <c r="AH59" s="41" t="s">
        <v>31</v>
      </c>
      <c r="AI59" s="41" t="s">
        <v>30</v>
      </c>
      <c r="AJ59" s="93" t="s">
        <v>31</v>
      </c>
      <c r="AK59" s="41" t="s">
        <v>30</v>
      </c>
      <c r="AL59" s="41" t="s">
        <v>31</v>
      </c>
      <c r="AM59" s="41" t="s">
        <v>30</v>
      </c>
      <c r="AN59" s="93" t="s">
        <v>31</v>
      </c>
    </row>
    <row r="60" spans="2:40" ht="11.25" customHeight="1" thickBot="1" x14ac:dyDescent="0.2">
      <c r="B60" s="212" t="s">
        <v>77</v>
      </c>
      <c r="C60" s="13" t="s">
        <v>7</v>
      </c>
      <c r="D60" s="13"/>
      <c r="E60" s="13">
        <f>Summary!$N$13</f>
        <v>54</v>
      </c>
      <c r="F60" s="13">
        <f>Summary!N32</f>
        <v>0.35</v>
      </c>
      <c r="G60" s="14">
        <f>F60*E60</f>
        <v>18.899999999999999</v>
      </c>
      <c r="H60" s="32" t="s">
        <v>6</v>
      </c>
      <c r="I60" s="94">
        <f>SUMIF(C9:$C$36,C60,I9:$I$36)</f>
        <v>0</v>
      </c>
      <c r="J60" s="65">
        <f>IF(I60="","-",I60*$G60)</f>
        <v>0</v>
      </c>
      <c r="K60" s="31" t="str">
        <f>IF(SUMIF($C$9:$C$18,$C60,K9:K$18)=0,"",SUMIF($C$9:$C$18,$C60,K$9:K$18))</f>
        <v/>
      </c>
      <c r="L60" s="65" t="str">
        <f t="shared" ref="L60:L65" si="57">IF(K60="","-",K60*$G60)</f>
        <v>-</v>
      </c>
      <c r="M60" s="8"/>
      <c r="N60" s="65" t="str">
        <f t="shared" ref="N60:N65" si="58">IF(M60="","-",M60*$G60)</f>
        <v>-</v>
      </c>
      <c r="O60" s="31" t="str">
        <f>IF(SUMIF($C$9:$C$18,$C60,O9:O$18)=0,"",SUMIF($C$9:$C$18,$C60,O$9:O$18))</f>
        <v/>
      </c>
      <c r="P60" s="65" t="str">
        <f t="shared" ref="P60:P65" si="59">IF(O60="","-",O60*$G60)</f>
        <v>-</v>
      </c>
      <c r="Q60" s="31" t="str">
        <f>IF(SUMIF($C$9:$C$18,$C60,Q9:Q$18)=0,"",SUMIF($C$9:$C$18,$C60,Q$9:Q$18))</f>
        <v/>
      </c>
      <c r="R60" s="65" t="str">
        <f t="shared" ref="R60:R62" si="60">IF(Q60="","-",Q60*$G60)</f>
        <v>-</v>
      </c>
      <c r="S60" s="31" t="str">
        <f>IF(SUMIF($C$9:$C$18,$C60,S9:S$18)=0,"",SUMIF($C$9:$C$18,$C60,S$9:S$18))</f>
        <v/>
      </c>
      <c r="T60" s="65" t="str">
        <f t="shared" ref="T60:T62" si="61">IF(S60="","-",S60*$G60)</f>
        <v>-</v>
      </c>
      <c r="U60" s="31" t="str">
        <f>IF(SUMIF($C$9:$C$18,$C60,U9:U$18)=0,"",SUMIF($C$9:$C$18,$C60,U$9:U$18))</f>
        <v/>
      </c>
      <c r="V60" s="65" t="str">
        <f t="shared" ref="V60:V62" si="62">IF(U60="","-",U60*$G60)</f>
        <v>-</v>
      </c>
      <c r="W60" s="31" t="str">
        <f>IF(SUMIF($C$9:$C$18,$C60,W9:W$18)=0,"",SUMIF($C$9:$C$18,$C60,W$9:W$18))</f>
        <v/>
      </c>
      <c r="X60" s="65" t="str">
        <f t="shared" ref="X60:X62" si="63">IF(W60="","-",W60*$G60)</f>
        <v>-</v>
      </c>
      <c r="Y60" s="31" t="str">
        <f>IF(SUMIF($C$9:$C$18,$C60,Y9:Y$18)=0,"",SUMIF($C$9:$C$18,$C60,Y$9:Y$18))</f>
        <v/>
      </c>
      <c r="Z60" s="65" t="str">
        <f t="shared" ref="Z60:Z62" si="64">IF(Y60="","-",Y60*$G60)</f>
        <v>-</v>
      </c>
      <c r="AA60" s="31" t="str">
        <f>IF(SUMIF($C$9:$C$18,$C60,AA9:AA$18)=0,"",SUMIF($C$9:$C$18,$C60,AA$9:AA$18))</f>
        <v/>
      </c>
      <c r="AB60" s="65" t="str">
        <f t="shared" ref="AB60:AB62" si="65">IF(AA60="","-",AA60*$G60)</f>
        <v>-</v>
      </c>
      <c r="AC60" s="31" t="str">
        <f>IF(SUMIF($C$9:$C$18,$C60,AC9:AC$18)=0,"",SUMIF($C$9:$C$18,$C60,AC$9:AC$18))</f>
        <v/>
      </c>
      <c r="AD60" s="65" t="str">
        <f t="shared" ref="AD60:AD62" si="66">IF(AC60="","-",AC60*$G60)</f>
        <v>-</v>
      </c>
      <c r="AE60" s="31" t="str">
        <f>IF(SUMIF($C$9:$C$18,$C60,AE9:AE$18)=0,"",SUMIF($C$9:$C$18,$C60,AE$9:AE$18))</f>
        <v/>
      </c>
      <c r="AF60" s="65" t="str">
        <f t="shared" ref="AF60:AF62" si="67">IF(AE60="","-",AE60*$G60)</f>
        <v>-</v>
      </c>
      <c r="AG60" s="31" t="str">
        <f>IF(SUMIF($C$9:$C$18,$C60,AG9:AG$18)=0,"",SUMIF($C$9:$C$18,$C60,AG$9:AG$18))</f>
        <v/>
      </c>
      <c r="AH60" s="65" t="str">
        <f t="shared" ref="AH60:AH62" si="68">IF(AG60="","-",AG60*$G60)</f>
        <v>-</v>
      </c>
      <c r="AI60" s="31" t="str">
        <f>IF(SUMIF($C$9:$C$18,$C60,AI9:AI$18)=0,"",SUMIF($C$9:$C$18,$C60,AI$9:AI$18))</f>
        <v/>
      </c>
      <c r="AJ60" s="65" t="str">
        <f t="shared" ref="AJ60:AJ62" si="69">IF(AI60="","-",AI60*$G60)</f>
        <v>-</v>
      </c>
      <c r="AK60" s="31" t="str">
        <f>IF(SUMIF($C$9:$C$18,$C60,AK9:AK$18)=0,"",SUMIF($C$9:$C$18,$C60,AK$9:AK$18))</f>
        <v/>
      </c>
      <c r="AL60" s="65" t="str">
        <f t="shared" ref="AL60:AL62" si="70">IF(AK60="","-",AK60*$G60)</f>
        <v>-</v>
      </c>
      <c r="AM60" s="31" t="str">
        <f>IF(SUMIF($C$9:$C$18,$C60,AM9:AM$18)=0,"",SUMIF($C$9:$C$18,$C60,AM$9:AM$18))</f>
        <v/>
      </c>
      <c r="AN60" s="65" t="str">
        <f t="shared" ref="AN60:AN62" si="71">IF(AM60="","-",AM60*$G60)</f>
        <v>-</v>
      </c>
    </row>
    <row r="61" spans="2:40" ht="11.25" customHeight="1" thickBot="1" x14ac:dyDescent="0.2">
      <c r="B61" s="214"/>
      <c r="C61" s="16" t="s">
        <v>65</v>
      </c>
      <c r="D61" s="16"/>
      <c r="E61" s="13">
        <f>Summary!$N$13</f>
        <v>54</v>
      </c>
      <c r="F61" s="16">
        <v>0</v>
      </c>
      <c r="G61" s="14">
        <f t="shared" ref="G61:G73" si="72">F61*E61</f>
        <v>0</v>
      </c>
      <c r="H61" s="33" t="s">
        <v>6</v>
      </c>
      <c r="I61" s="94">
        <f>SUMIF(C10:$C$46,C61,I10:$I$46)</f>
        <v>0</v>
      </c>
      <c r="J61" s="65">
        <f t="shared" ref="J61:J73" si="73">IF(I61="","-",I61*$G61)</f>
        <v>0</v>
      </c>
      <c r="K61" s="31" t="str">
        <f>IF(SUMIF($C$9:$C$18,$C61,K9:K$18)=0,"",SUMIF($C$9:$C$18,$C61,K$9:K$18))</f>
        <v/>
      </c>
      <c r="L61" s="65" t="str">
        <f t="shared" si="57"/>
        <v>-</v>
      </c>
      <c r="M61" s="8"/>
      <c r="N61" s="65" t="str">
        <f t="shared" si="58"/>
        <v>-</v>
      </c>
      <c r="O61" s="31" t="str">
        <f ca="1">IF(SUMIF($C$9:$C$18,$C61,O10:O$18)=0,"",SUMIF($C$9:$C$18,$C61,O$9:O$18))</f>
        <v/>
      </c>
      <c r="P61" s="65" t="str">
        <f t="shared" ca="1" si="59"/>
        <v>-</v>
      </c>
      <c r="Q61" s="31" t="str">
        <f ca="1">IF(SUMIF($C$9:$C$18,$C61,Q10:Q$18)=0,"",SUMIF($C$9:$C$18,$C61,Q$9:Q$18))</f>
        <v/>
      </c>
      <c r="R61" s="65" t="str">
        <f t="shared" ca="1" si="60"/>
        <v>-</v>
      </c>
      <c r="S61" s="31" t="str">
        <f ca="1">IF(SUMIF($C$9:$C$18,$C61,S10:S$18)=0,"",SUMIF($C$9:$C$18,$C61,S$9:S$18))</f>
        <v/>
      </c>
      <c r="T61" s="65" t="str">
        <f t="shared" ca="1" si="61"/>
        <v>-</v>
      </c>
      <c r="U61" s="31" t="str">
        <f ca="1">IF(SUMIF($C$9:$C$18,$C61,U10:U$18)=0,"",SUMIF($C$9:$C$18,$C61,U$9:U$18))</f>
        <v/>
      </c>
      <c r="V61" s="65" t="str">
        <f t="shared" ca="1" si="62"/>
        <v>-</v>
      </c>
      <c r="W61" s="31" t="str">
        <f ca="1">IF(SUMIF($C$9:$C$18,$C61,W10:W$18)=0,"",SUMIF($C$9:$C$18,$C61,W$9:W$18))</f>
        <v/>
      </c>
      <c r="X61" s="65" t="str">
        <f t="shared" ca="1" si="63"/>
        <v>-</v>
      </c>
      <c r="Y61" s="31" t="str">
        <f ca="1">IF(SUMIF($C$9:$C$18,$C61,Y10:Y$18)=0,"",SUMIF($C$9:$C$18,$C61,Y$9:Y$18))</f>
        <v/>
      </c>
      <c r="Z61" s="65" t="str">
        <f t="shared" ca="1" si="64"/>
        <v>-</v>
      </c>
      <c r="AA61" s="31" t="str">
        <f ca="1">IF(SUMIF($C$9:$C$18,$C61,AA10:AA$18)=0,"",SUMIF($C$9:$C$18,$C61,AA$9:AA$18))</f>
        <v/>
      </c>
      <c r="AB61" s="65" t="str">
        <f t="shared" ca="1" si="65"/>
        <v>-</v>
      </c>
      <c r="AC61" s="31" t="str">
        <f ca="1">IF(SUMIF($C$9:$C$18,$C61,AC10:AC$18)=0,"",SUMIF($C$9:$C$18,$C61,AC$9:AC$18))</f>
        <v/>
      </c>
      <c r="AD61" s="65" t="str">
        <f t="shared" ca="1" si="66"/>
        <v>-</v>
      </c>
      <c r="AE61" s="31" t="str">
        <f ca="1">IF(SUMIF($C$9:$C$18,$C61,AE10:AE$18)=0,"",SUMIF($C$9:$C$18,$C61,AE$9:AE$18))</f>
        <v/>
      </c>
      <c r="AF61" s="65" t="str">
        <f t="shared" ca="1" si="67"/>
        <v>-</v>
      </c>
      <c r="AG61" s="31" t="str">
        <f ca="1">IF(SUMIF($C$9:$C$18,$C61,AG10:AG$18)=0,"",SUMIF($C$9:$C$18,$C61,AG$9:AG$18))</f>
        <v/>
      </c>
      <c r="AH61" s="65" t="str">
        <f t="shared" ca="1" si="68"/>
        <v>-</v>
      </c>
      <c r="AI61" s="31" t="str">
        <f ca="1">IF(SUMIF($C$9:$C$18,$C61,AI10:AI$18)=0,"",SUMIF($C$9:$C$18,$C61,AI$9:AI$18))</f>
        <v/>
      </c>
      <c r="AJ61" s="65" t="str">
        <f t="shared" ca="1" si="69"/>
        <v>-</v>
      </c>
      <c r="AK61" s="31" t="str">
        <f ca="1">IF(SUMIF($C$9:$C$18,$C61,AK10:AK$18)=0,"",SUMIF($C$9:$C$18,$C61,AK$9:AK$18))</f>
        <v/>
      </c>
      <c r="AL61" s="65" t="str">
        <f t="shared" ca="1" si="70"/>
        <v>-</v>
      </c>
      <c r="AM61" s="31" t="str">
        <f ca="1">IF(SUMIF($C$9:$C$18,$C61,AM10:AM$18)=0,"",SUMIF($C$9:$C$18,$C61,AM$9:AM$18))</f>
        <v/>
      </c>
      <c r="AN61" s="65" t="str">
        <f t="shared" ca="1" si="71"/>
        <v>-</v>
      </c>
    </row>
    <row r="62" spans="2:40" ht="11.25" customHeight="1" thickBot="1" x14ac:dyDescent="0.2">
      <c r="B62" s="213"/>
      <c r="C62" s="18" t="s">
        <v>66</v>
      </c>
      <c r="D62" s="18"/>
      <c r="E62" s="13">
        <f>Summary!$N$13</f>
        <v>54</v>
      </c>
      <c r="F62" s="18">
        <v>0</v>
      </c>
      <c r="G62" s="14">
        <f t="shared" si="72"/>
        <v>0</v>
      </c>
      <c r="H62" s="34" t="s">
        <v>6</v>
      </c>
      <c r="I62" s="94">
        <f>SUMIF(C11:$C$46,C62,I11:$I$46)</f>
        <v>0</v>
      </c>
      <c r="J62" s="65">
        <f t="shared" si="73"/>
        <v>0</v>
      </c>
      <c r="K62" s="31" t="str">
        <f>IF(SUMIF($C$9:$C$18,$C62,K9:K$18)=0,"",SUMIF($C$9:$C$18,$C62,K$9:K$18))</f>
        <v/>
      </c>
      <c r="L62" s="65" t="str">
        <f t="shared" si="57"/>
        <v>-</v>
      </c>
      <c r="M62" s="8"/>
      <c r="N62" s="65" t="str">
        <f t="shared" si="58"/>
        <v>-</v>
      </c>
      <c r="O62" s="31" t="str">
        <f ca="1">IF(SUMIF($C$9:$C$18,$C62,O11:O$18)=0,"",SUMIF($C$9:$C$18,$C62,O$9:O$18))</f>
        <v/>
      </c>
      <c r="P62" s="65" t="str">
        <f t="shared" ca="1" si="59"/>
        <v>-</v>
      </c>
      <c r="Q62" s="31" t="str">
        <f ca="1">IF(SUMIF($C$9:$C$18,$C62,Q11:Q$18)=0,"",SUMIF($C$9:$C$18,$C62,Q$9:Q$18))</f>
        <v/>
      </c>
      <c r="R62" s="65" t="str">
        <f t="shared" ca="1" si="60"/>
        <v>-</v>
      </c>
      <c r="S62" s="31" t="str">
        <f ca="1">IF(SUMIF($C$9:$C$18,$C62,S11:S$18)=0,"",SUMIF($C$9:$C$18,$C62,S$9:S$18))</f>
        <v/>
      </c>
      <c r="T62" s="65" t="str">
        <f t="shared" ca="1" si="61"/>
        <v>-</v>
      </c>
      <c r="U62" s="31" t="str">
        <f ca="1">IF(SUMIF($C$9:$C$18,$C62,U11:U$18)=0,"",SUMIF($C$9:$C$18,$C62,U$9:U$18))</f>
        <v/>
      </c>
      <c r="V62" s="65" t="str">
        <f t="shared" ca="1" si="62"/>
        <v>-</v>
      </c>
      <c r="W62" s="31" t="str">
        <f ca="1">IF(SUMIF($C$9:$C$18,$C62,W11:W$18)=0,"",SUMIF($C$9:$C$18,$C62,W$9:W$18))</f>
        <v/>
      </c>
      <c r="X62" s="65" t="str">
        <f t="shared" ca="1" si="63"/>
        <v>-</v>
      </c>
      <c r="Y62" s="31" t="str">
        <f ca="1">IF(SUMIF($C$9:$C$18,$C62,Y11:Y$18)=0,"",SUMIF($C$9:$C$18,$C62,Y$9:Y$18))</f>
        <v/>
      </c>
      <c r="Z62" s="65" t="str">
        <f t="shared" ca="1" si="64"/>
        <v>-</v>
      </c>
      <c r="AA62" s="31" t="str">
        <f ca="1">IF(SUMIF($C$9:$C$18,$C62,AA11:AA$18)=0,"",SUMIF($C$9:$C$18,$C62,AA$9:AA$18))</f>
        <v/>
      </c>
      <c r="AB62" s="65" t="str">
        <f t="shared" ca="1" si="65"/>
        <v>-</v>
      </c>
      <c r="AC62" s="31" t="str">
        <f ca="1">IF(SUMIF($C$9:$C$18,$C62,AC11:AC$18)=0,"",SUMIF($C$9:$C$18,$C62,AC$9:AC$18))</f>
        <v/>
      </c>
      <c r="AD62" s="65" t="str">
        <f t="shared" ca="1" si="66"/>
        <v>-</v>
      </c>
      <c r="AE62" s="31" t="str">
        <f ca="1">IF(SUMIF($C$9:$C$18,$C62,AE11:AE$18)=0,"",SUMIF($C$9:$C$18,$C62,AE$9:AE$18))</f>
        <v/>
      </c>
      <c r="AF62" s="65" t="str">
        <f t="shared" ca="1" si="67"/>
        <v>-</v>
      </c>
      <c r="AG62" s="31" t="str">
        <f ca="1">IF(SUMIF($C$9:$C$18,$C62,AG11:AG$18)=0,"",SUMIF($C$9:$C$18,$C62,AG$9:AG$18))</f>
        <v/>
      </c>
      <c r="AH62" s="65" t="str">
        <f t="shared" ca="1" si="68"/>
        <v>-</v>
      </c>
      <c r="AI62" s="31" t="str">
        <f ca="1">IF(SUMIF($C$9:$C$18,$C62,AI11:AI$18)=0,"",SUMIF($C$9:$C$18,$C62,AI$9:AI$18))</f>
        <v/>
      </c>
      <c r="AJ62" s="65" t="str">
        <f t="shared" ca="1" si="69"/>
        <v>-</v>
      </c>
      <c r="AK62" s="31" t="str">
        <f ca="1">IF(SUMIF($C$9:$C$18,$C62,AK11:AK$18)=0,"",SUMIF($C$9:$C$18,$C62,AK$9:AK$18))</f>
        <v/>
      </c>
      <c r="AL62" s="65" t="str">
        <f t="shared" ca="1" si="70"/>
        <v>-</v>
      </c>
      <c r="AM62" s="31" t="str">
        <f ca="1">IF(SUMIF($C$9:$C$18,$C62,AM11:AM$18)=0,"",SUMIF($C$9:$C$18,$C62,AM$9:AM$18))</f>
        <v/>
      </c>
      <c r="AN62" s="65" t="str">
        <f t="shared" ca="1" si="71"/>
        <v>-</v>
      </c>
    </row>
    <row r="63" spans="2:40" ht="11.25" customHeight="1" thickBot="1" x14ac:dyDescent="0.2">
      <c r="B63" s="212" t="s">
        <v>37</v>
      </c>
      <c r="C63" s="13" t="s">
        <v>33</v>
      </c>
      <c r="D63" s="13"/>
      <c r="E63" s="13">
        <f>Summary!$N$13</f>
        <v>54</v>
      </c>
      <c r="F63" s="14">
        <f>INDEX(Summary!$F$19:$F$30,MATCH('Unit 2 b'!C63,Summary!$D$19:$D$30,0))</f>
        <v>0.5</v>
      </c>
      <c r="G63" s="14">
        <f t="shared" si="72"/>
        <v>27</v>
      </c>
      <c r="H63" s="32" t="s">
        <v>6</v>
      </c>
      <c r="I63" s="94">
        <f>SUMIF(C12:$C$46,C63,I12:$I$46)</f>
        <v>0</v>
      </c>
      <c r="J63" s="65">
        <f t="shared" si="73"/>
        <v>0</v>
      </c>
      <c r="K63" s="31" t="str">
        <f>IF(SUMIF($C$19:$C$20,$C$63,K$19:K$20)=0,"",SUMIF($C$19:$C$20,$C$63,K$19:K$20))</f>
        <v/>
      </c>
      <c r="L63" s="65" t="str">
        <f t="shared" si="57"/>
        <v>-</v>
      </c>
      <c r="M63" s="31" t="str">
        <f>IF(SUMIF($C$19:$C$20,$C$63,M$19:M$20)=0,"",SUMIF($C$19:$C$20,$C$63,M$19:M$20))</f>
        <v/>
      </c>
      <c r="N63" s="65" t="str">
        <f t="shared" si="58"/>
        <v>-</v>
      </c>
      <c r="O63" s="31" t="str">
        <f>IF(SUMIF($C$19:$C$20,$C$63,O$19:O$20)=0,"",SUMIF($C$19:$C$20,$C$63,O$19:O$20))</f>
        <v/>
      </c>
      <c r="P63" s="65" t="str">
        <f t="shared" si="59"/>
        <v>-</v>
      </c>
      <c r="Q63" s="31" t="str">
        <f>IF(SUMIF($C$19:$C$20,$C$63,Q$19:Q$20)=0,"",SUMIF($C$19:$C$20,$C$63,Q$19:Q$20))</f>
        <v/>
      </c>
      <c r="R63" s="65" t="str">
        <f>IF(Q63="","-",Q63*$G63)</f>
        <v>-</v>
      </c>
      <c r="S63" s="31" t="str">
        <f>IF(SUMIF($C$19:$C$20,$C$63,S$19:S$20)=0,"",SUMIF($C$19:$C$20,$C$63,S$19:S$20))</f>
        <v/>
      </c>
      <c r="T63" s="65" t="str">
        <f>IF(S63="","-",S63*$G63)</f>
        <v>-</v>
      </c>
      <c r="U63" s="31" t="str">
        <f>IF(SUMIF($C$19:$C$20,$C$63,U$19:U$20)=0,"",SUMIF($C$19:$C$20,$C$63,U$19:U$20))</f>
        <v/>
      </c>
      <c r="V63" s="65" t="str">
        <f>IF(U63="","-",U63*$G63)</f>
        <v>-</v>
      </c>
      <c r="W63" s="31" t="str">
        <f>IF(SUMIF($C$19:$C$20,$C$63,W$19:W$20)=0,"",SUMIF($C$19:$C$20,$C$63,W$19:W$20))</f>
        <v/>
      </c>
      <c r="X63" s="65" t="str">
        <f>IF(W63="","-",W63*$G63)</f>
        <v>-</v>
      </c>
      <c r="Y63" s="31" t="str">
        <f>IF(SUMIF($C$19:$C$20,$C$63,Y$19:Y$20)=0,"",SUMIF($C$19:$C$20,$C$63,Y$19:Y$20))</f>
        <v/>
      </c>
      <c r="Z63" s="65" t="str">
        <f>IF(Y63="","-",Y63*$G63)</f>
        <v>-</v>
      </c>
      <c r="AA63" s="31" t="str">
        <f>IF(SUMIF($C$19:$C$20,$C$63,AA$19:AA$20)=0,"",SUMIF($C$19:$C$20,$C$63,AA$19:AA$20))</f>
        <v/>
      </c>
      <c r="AB63" s="65" t="str">
        <f>IF(AA63="","-",AA63*$G63)</f>
        <v>-</v>
      </c>
      <c r="AC63" s="31" t="str">
        <f>IF(SUMIF($C$19:$C$20,$C$63,AC$19:AC$20)=0,"",SUMIF($C$19:$C$20,$C$63,AC$19:AC$20))</f>
        <v/>
      </c>
      <c r="AD63" s="65" t="str">
        <f>IF(AC63="","-",AC63*$G63)</f>
        <v>-</v>
      </c>
      <c r="AE63" s="31" t="str">
        <f>IF(SUMIF($C$19:$C$20,$C$63,AE$19:AE$20)=0,"",SUMIF($C$19:$C$20,$C$63,AE$19:AE$20))</f>
        <v/>
      </c>
      <c r="AF63" s="65" t="str">
        <f>IF(AE63="","-",AE63*$G63)</f>
        <v>-</v>
      </c>
      <c r="AG63" s="31" t="str">
        <f>IF(SUMIF($C$19:$C$20,$C$63,AG$19:AG$20)=0,"",SUMIF($C$19:$C$20,$C$63,AG$19:AG$20))</f>
        <v/>
      </c>
      <c r="AH63" s="65" t="str">
        <f>IF(AG63="","-",AG63*$G63)</f>
        <v>-</v>
      </c>
      <c r="AI63" s="31" t="str">
        <f>IF(SUMIF($C$19:$C$20,$C$63,AI$19:AI$20)=0,"",SUMIF($C$19:$C$20,$C$63,AI$19:AI$20))</f>
        <v/>
      </c>
      <c r="AJ63" s="65" t="str">
        <f>IF(AI63="","-",AI63*$G63)</f>
        <v>-</v>
      </c>
      <c r="AK63" s="31" t="str">
        <f>IF(SUMIF($C$19:$C$20,$C$63,AK$19:AK$20)=0,"",SUMIF($C$19:$C$20,$C$63,AK$19:AK$20))</f>
        <v/>
      </c>
      <c r="AL63" s="65" t="str">
        <f>IF(AK63="","-",AK63*$G63)</f>
        <v>-</v>
      </c>
      <c r="AM63" s="31" t="str">
        <f>IF(SUMIF($C$19:$C$20,$C$63,AM$19:AM$20)=0,"",SUMIF($C$19:$C$20,$C$63,AM$19:AM$20))</f>
        <v/>
      </c>
      <c r="AN63" s="65" t="str">
        <f>IF(AM63="","-",AM63*$G63)</f>
        <v>-</v>
      </c>
    </row>
    <row r="64" spans="2:40" ht="11.25" customHeight="1" thickBot="1" x14ac:dyDescent="0.2">
      <c r="B64" s="213"/>
      <c r="C64" s="18" t="s">
        <v>34</v>
      </c>
      <c r="D64" s="18"/>
      <c r="E64" s="13">
        <f>Summary!$N$13</f>
        <v>54</v>
      </c>
      <c r="F64" s="14">
        <f>INDEX(Summary!$F$19:$F$30,MATCH('Unit 2 b'!C64,Summary!$D$19:$D$30,0))</f>
        <v>0.5</v>
      </c>
      <c r="G64" s="14">
        <f t="shared" si="72"/>
        <v>27</v>
      </c>
      <c r="H64" s="34" t="s">
        <v>6</v>
      </c>
      <c r="I64" s="94">
        <f>SUMIF(C13:$C$46,C64,I13:$I$46)</f>
        <v>0</v>
      </c>
      <c r="J64" s="65">
        <f t="shared" si="73"/>
        <v>0</v>
      </c>
      <c r="K64" s="31" t="str">
        <f>IF(SUMIF($C$19:$C$20,$C$64,K$19:K$20)=0,"",SUMIF($C$19:$C$20,$C$64,K$19:K$20))</f>
        <v/>
      </c>
      <c r="L64" s="65" t="str">
        <f t="shared" si="57"/>
        <v>-</v>
      </c>
      <c r="M64" s="31" t="str">
        <f>IF(SUMIF($C$19:$C$20,$C$64,M$19:M$20)=0,"",SUMIF($C$19:$C$20,$C$64,M$19:M$20))</f>
        <v/>
      </c>
      <c r="N64" s="65" t="str">
        <f t="shared" si="58"/>
        <v>-</v>
      </c>
      <c r="O64" s="31" t="str">
        <f>IF(SUMIF($C$19:$C$20,$C$64,O$19:O$20)=0,"",SUMIF($C$19:$C$20,$C$64,O$19:O$20))</f>
        <v/>
      </c>
      <c r="P64" s="65" t="str">
        <f t="shared" si="59"/>
        <v>-</v>
      </c>
      <c r="Q64" s="31" t="str">
        <f>IF(SUMIF($C$19:$C$20,$C$64,Q$19:Q$20)=0,"",SUMIF($C$19:$C$20,$C$64,Q$19:Q$20))</f>
        <v/>
      </c>
      <c r="R64" s="65" t="str">
        <f>IF(Q64="","-",Q64*$G64)</f>
        <v>-</v>
      </c>
      <c r="S64" s="31" t="str">
        <f>IF(SUMIF($C$19:$C$20,$C$64,S$19:S$20)=0,"",SUMIF($C$19:$C$20,$C$64,S$19:S$20))</f>
        <v/>
      </c>
      <c r="T64" s="65" t="str">
        <f>IF(S64="","-",S64*$G64)</f>
        <v>-</v>
      </c>
      <c r="U64" s="31" t="str">
        <f>IF(SUMIF($C$19:$C$20,$C$64,U$19:U$20)=0,"",SUMIF($C$19:$C$20,$C$64,U$19:U$20))</f>
        <v/>
      </c>
      <c r="V64" s="65" t="str">
        <f>IF(U64="","-",U64*$G64)</f>
        <v>-</v>
      </c>
      <c r="W64" s="31" t="str">
        <f>IF(SUMIF($C$19:$C$20,$C$64,W$19:W$20)=0,"",SUMIF($C$19:$C$20,$C$64,W$19:W$20))</f>
        <v/>
      </c>
      <c r="X64" s="65" t="str">
        <f>IF(W64="","-",W64*$G64)</f>
        <v>-</v>
      </c>
      <c r="Y64" s="31" t="str">
        <f>IF(SUMIF($C$19:$C$20,$C$64,Y$19:Y$20)=0,"",SUMIF($C$19:$C$20,$C$64,Y$19:Y$20))</f>
        <v/>
      </c>
      <c r="Z64" s="65" t="str">
        <f>IF(Y64="","-",Y64*$G64)</f>
        <v>-</v>
      </c>
      <c r="AA64" s="31" t="str">
        <f>IF(SUMIF($C$19:$C$20,$C$64,AA$19:AA$20)=0,"",SUMIF($C$19:$C$20,$C$64,AA$19:AA$20))</f>
        <v/>
      </c>
      <c r="AB64" s="65" t="str">
        <f>IF(AA64="","-",AA64*$G64)</f>
        <v>-</v>
      </c>
      <c r="AC64" s="31" t="str">
        <f>IF(SUMIF($C$19:$C$20,$C$64,AC$19:AC$20)=0,"",SUMIF($C$19:$C$20,$C$64,AC$19:AC$20))</f>
        <v/>
      </c>
      <c r="AD64" s="65" t="str">
        <f>IF(AC64="","-",AC64*$G64)</f>
        <v>-</v>
      </c>
      <c r="AE64" s="31" t="str">
        <f>IF(SUMIF($C$19:$C$20,$C$64,AE$19:AE$20)=0,"",SUMIF($C$19:$C$20,$C$64,AE$19:AE$20))</f>
        <v/>
      </c>
      <c r="AF64" s="65" t="str">
        <f>IF(AE64="","-",AE64*$G64)</f>
        <v>-</v>
      </c>
      <c r="AG64" s="31" t="str">
        <f>IF(SUMIF($C$19:$C$20,$C$64,AG$19:AG$20)=0,"",SUMIF($C$19:$C$20,$C$64,AG$19:AG$20))</f>
        <v/>
      </c>
      <c r="AH64" s="65" t="str">
        <f>IF(AG64="","-",AG64*$G64)</f>
        <v>-</v>
      </c>
      <c r="AI64" s="31" t="str">
        <f>IF(SUMIF($C$19:$C$20,$C$64,AI$19:AI$20)=0,"",SUMIF($C$19:$C$20,$C$64,AI$19:AI$20))</f>
        <v/>
      </c>
      <c r="AJ64" s="65" t="str">
        <f>IF(AI64="","-",AI64*$G64)</f>
        <v>-</v>
      </c>
      <c r="AK64" s="31" t="str">
        <f>IF(SUMIF($C$19:$C$20,$C$64,AK$19:AK$20)=0,"",SUMIF($C$19:$C$20,$C$64,AK$19:AK$20))</f>
        <v/>
      </c>
      <c r="AL64" s="65" t="str">
        <f>IF(AK64="","-",AK64*$G64)</f>
        <v>-</v>
      </c>
      <c r="AM64" s="31" t="str">
        <f>IF(SUMIF($C$19:$C$20,$C$64,AM$19:AM$20)=0,"",SUMIF($C$19:$C$20,$C$64,AM$19:AM$20))</f>
        <v/>
      </c>
      <c r="AN64" s="65" t="str">
        <f>IF(AM64="","-",AM64*$G64)</f>
        <v>-</v>
      </c>
    </row>
    <row r="65" spans="2:40" ht="11.25" customHeight="1" thickBot="1" x14ac:dyDescent="0.2">
      <c r="B65" s="212" t="s">
        <v>83</v>
      </c>
      <c r="C65" s="13" t="s">
        <v>38</v>
      </c>
      <c r="D65" s="13"/>
      <c r="E65" s="13">
        <f>Summary!$N$13</f>
        <v>54</v>
      </c>
      <c r="F65" s="14">
        <f>INDEX(Summary!$F$19:$F$30,MATCH('Unit 2 b'!C65,Summary!$D$19:$D$30,0))</f>
        <v>7.6999999999999999E-2</v>
      </c>
      <c r="G65" s="14">
        <f t="shared" si="72"/>
        <v>4.1580000000000004</v>
      </c>
      <c r="H65" s="32" t="s">
        <v>6</v>
      </c>
      <c r="I65" s="94">
        <f>SUMIF(C21:$C$36,C65,I21:$I$36)</f>
        <v>0</v>
      </c>
      <c r="J65" s="65">
        <f t="shared" si="73"/>
        <v>0</v>
      </c>
      <c r="K65" s="31" t="str">
        <f>IF(SUMIF($C$19:$C$36,$C65,K$19:K$36)=0,"",SUMIF($C$19:$C$36,$C65,K$19:K$36))</f>
        <v/>
      </c>
      <c r="L65" s="65" t="str">
        <f t="shared" si="57"/>
        <v>-</v>
      </c>
      <c r="M65" s="31" t="str">
        <f>IF(SUMIF($C$19:$C$36,$C65,M$19:M$36)=0,"",SUMIF($C$19:$C$36,$C65,M$19:M$36))</f>
        <v/>
      </c>
      <c r="N65" s="65" t="str">
        <f t="shared" si="58"/>
        <v>-</v>
      </c>
      <c r="O65" s="31" t="str">
        <f>IF(SUMIF($C$19:$C$36,$C65,O$19:O$36)=0,"",SUMIF($C$19:$C$36,$C65,O$19:O$36))</f>
        <v/>
      </c>
      <c r="P65" s="65" t="str">
        <f t="shared" si="59"/>
        <v>-</v>
      </c>
      <c r="Q65" s="31" t="str">
        <f>IF(SUMIF($C$19:$C$36,$C65,Q$19:Q$36)=0,"",SUMIF($C$19:$C$36,$C65,Q$19:Q$36))</f>
        <v/>
      </c>
      <c r="R65" s="65" t="str">
        <f>IF(Q65="","-",Q65*$G65)</f>
        <v>-</v>
      </c>
      <c r="S65" s="31" t="str">
        <f>IF(SUMIF($C$19:$C$36,$C65,S$19:S$36)=0,"",SUMIF($C$19:$C$36,$C65,S$19:S$36))</f>
        <v/>
      </c>
      <c r="T65" s="65" t="str">
        <f>IF(S65="","-",S65*$G65)</f>
        <v>-</v>
      </c>
      <c r="U65" s="31" t="str">
        <f>IF(SUMIF($C$19:$C$36,$C65,U$19:U$36)=0,"",SUMIF($C$19:$C$36,$C65,U$19:U$36))</f>
        <v/>
      </c>
      <c r="V65" s="65" t="str">
        <f>IF(U65="","-",U65*$G65)</f>
        <v>-</v>
      </c>
      <c r="W65" s="31" t="str">
        <f>IF(SUMIF($C$19:$C$36,$C65,W$19:W$36)=0,"",SUMIF($C$19:$C$36,$C65,W$19:W$36))</f>
        <v/>
      </c>
      <c r="X65" s="65" t="str">
        <f>IF(W65="","-",W65*$G65)</f>
        <v>-</v>
      </c>
      <c r="Y65" s="31" t="str">
        <f>IF(SUMIF($C$19:$C$36,$C65,Y$19:Y$36)=0,"",SUMIF($C$19:$C$36,$C65,Y$19:Y$36))</f>
        <v/>
      </c>
      <c r="Z65" s="65" t="str">
        <f>IF(Y65="","-",Y65*$G65)</f>
        <v>-</v>
      </c>
      <c r="AA65" s="31" t="str">
        <f>IF(SUMIF($C$19:$C$36,$C65,AA$19:AA$36)=0,"",SUMIF($C$19:$C$36,$C65,AA$19:AA$36))</f>
        <v/>
      </c>
      <c r="AB65" s="65" t="str">
        <f>IF(AA65="","-",AA65*$G65)</f>
        <v>-</v>
      </c>
      <c r="AC65" s="31" t="str">
        <f>IF(SUMIF($C$19:$C$36,$C65,AC$19:AC$36)=0,"",SUMIF($C$19:$C$36,$C65,AC$19:AC$36))</f>
        <v/>
      </c>
      <c r="AD65" s="65" t="str">
        <f>IF(AC65="","-",AC65*$G65)</f>
        <v>-</v>
      </c>
      <c r="AE65" s="31" t="str">
        <f>IF(SUMIF($C$19:$C$36,$C65,AE$19:AE$36)=0,"",SUMIF($C$19:$C$36,$C65,AE$19:AE$36))</f>
        <v/>
      </c>
      <c r="AF65" s="65" t="str">
        <f>IF(AE65="","-",AE65*$G65)</f>
        <v>-</v>
      </c>
      <c r="AG65" s="31" t="str">
        <f>IF(SUMIF($C$19:$C$36,$C65,AG$19:AG$36)=0,"",SUMIF($C$19:$C$36,$C65,AG$19:AG$36))</f>
        <v/>
      </c>
      <c r="AH65" s="65" t="str">
        <f>IF(AG65="","-",AG65*$G65)</f>
        <v>-</v>
      </c>
      <c r="AI65" s="31" t="str">
        <f>IF(SUMIF($C$19:$C$36,$C65,AI$19:AI$36)=0,"",SUMIF($C$19:$C$36,$C65,AI$19:AI$36))</f>
        <v/>
      </c>
      <c r="AJ65" s="65" t="str">
        <f>IF(AI65="","-",AI65*$G65)</f>
        <v>-</v>
      </c>
      <c r="AK65" s="31" t="str">
        <f>IF(SUMIF($C$19:$C$36,$C65,AK$19:AK$36)=0,"",SUMIF($C$19:$C$36,$C65,AK$19:AK$36))</f>
        <v/>
      </c>
      <c r="AL65" s="65" t="str">
        <f>IF(AK65="","-",AK65*$G65)</f>
        <v>-</v>
      </c>
      <c r="AM65" s="31" t="str">
        <f>IF(SUMIF($C$19:$C$36,$C65,AM$19:AM$36)=0,"",SUMIF($C$19:$C$36,$C65,AM$19:AM$36))</f>
        <v/>
      </c>
      <c r="AN65" s="65" t="str">
        <f>IF(AM65="","-",AM65*$G65)</f>
        <v>-</v>
      </c>
    </row>
    <row r="66" spans="2:40" ht="11.25" customHeight="1" thickBot="1" x14ac:dyDescent="0.2">
      <c r="B66" s="214"/>
      <c r="C66" s="16" t="s">
        <v>39</v>
      </c>
      <c r="D66" s="16"/>
      <c r="E66" s="13">
        <f>Summary!$N$13</f>
        <v>54</v>
      </c>
      <c r="F66" s="14">
        <f>INDEX(Summary!$F$19:$F$30,MATCH('Unit 2 b'!C66,Summary!$D$19:$D$30,0))</f>
        <v>6.7000000000000004E-2</v>
      </c>
      <c r="G66" s="14">
        <f t="shared" si="72"/>
        <v>3.6180000000000003</v>
      </c>
      <c r="H66" s="33" t="s">
        <v>6</v>
      </c>
      <c r="I66" s="94">
        <f>SUMIF(C15:$C$46,C66,I15:$I$46)</f>
        <v>0</v>
      </c>
      <c r="J66" s="65">
        <f t="shared" si="73"/>
        <v>0</v>
      </c>
      <c r="K66" s="31" t="str">
        <f t="shared" ref="K66:AM66" si="74">IF(SUMIF($C$19:$C$36,$C66,K$19:K$36)=0,"",SUMIF($C$19:$C$36,$C66,K$19:K$36))</f>
        <v/>
      </c>
      <c r="L66" s="65" t="str">
        <f t="shared" ref="L66:AN69" si="75">IF(K66="","-",K66*$G66)</f>
        <v>-</v>
      </c>
      <c r="M66" s="31" t="str">
        <f t="shared" si="74"/>
        <v/>
      </c>
      <c r="N66" s="65" t="str">
        <f t="shared" ref="N66:N67" si="76">IF(M66="","-",M66*$G66)</f>
        <v>-</v>
      </c>
      <c r="O66" s="31" t="str">
        <f t="shared" si="74"/>
        <v/>
      </c>
      <c r="P66" s="65" t="str">
        <f t="shared" ref="P66:P67" si="77">IF(O66="","-",O66*$G66)</f>
        <v>-</v>
      </c>
      <c r="Q66" s="31" t="str">
        <f t="shared" si="74"/>
        <v/>
      </c>
      <c r="R66" s="65" t="str">
        <f t="shared" ref="R66:R67" si="78">IF(Q66="","-",Q66*$G66)</f>
        <v>-</v>
      </c>
      <c r="S66" s="31" t="str">
        <f t="shared" si="74"/>
        <v/>
      </c>
      <c r="T66" s="65" t="str">
        <f t="shared" ref="T66:T67" si="79">IF(S66="","-",S66*$G66)</f>
        <v>-</v>
      </c>
      <c r="U66" s="31" t="str">
        <f t="shared" si="74"/>
        <v/>
      </c>
      <c r="V66" s="65" t="str">
        <f t="shared" ref="V66:V67" si="80">IF(U66="","-",U66*$G66)</f>
        <v>-</v>
      </c>
      <c r="W66" s="31" t="str">
        <f t="shared" si="74"/>
        <v/>
      </c>
      <c r="X66" s="65" t="str">
        <f t="shared" ref="X66:X67" si="81">IF(W66="","-",W66*$G66)</f>
        <v>-</v>
      </c>
      <c r="Y66" s="31" t="str">
        <f t="shared" si="74"/>
        <v/>
      </c>
      <c r="Z66" s="65" t="str">
        <f t="shared" ref="Z66:Z67" si="82">IF(Y66="","-",Y66*$G66)</f>
        <v>-</v>
      </c>
      <c r="AA66" s="31" t="str">
        <f t="shared" si="74"/>
        <v/>
      </c>
      <c r="AB66" s="65" t="str">
        <f t="shared" ref="AB66:AB67" si="83">IF(AA66="","-",AA66*$G66)</f>
        <v>-</v>
      </c>
      <c r="AC66" s="31" t="str">
        <f t="shared" si="74"/>
        <v/>
      </c>
      <c r="AD66" s="65" t="str">
        <f t="shared" ref="AD66:AD67" si="84">IF(AC66="","-",AC66*$G66)</f>
        <v>-</v>
      </c>
      <c r="AE66" s="31" t="str">
        <f t="shared" si="74"/>
        <v/>
      </c>
      <c r="AF66" s="65" t="str">
        <f t="shared" ref="AF66:AF67" si="85">IF(AE66="","-",AE66*$G66)</f>
        <v>-</v>
      </c>
      <c r="AG66" s="31" t="str">
        <f t="shared" si="74"/>
        <v/>
      </c>
      <c r="AH66" s="65" t="str">
        <f t="shared" ref="AH66:AH67" si="86">IF(AG66="","-",AG66*$G66)</f>
        <v>-</v>
      </c>
      <c r="AI66" s="31" t="str">
        <f t="shared" si="74"/>
        <v/>
      </c>
      <c r="AJ66" s="65" t="str">
        <f t="shared" ref="AJ66:AJ67" si="87">IF(AI66="","-",AI66*$G66)</f>
        <v>-</v>
      </c>
      <c r="AK66" s="31" t="str">
        <f t="shared" si="74"/>
        <v/>
      </c>
      <c r="AL66" s="65" t="str">
        <f t="shared" ref="AL66:AL67" si="88">IF(AK66="","-",AK66*$G66)</f>
        <v>-</v>
      </c>
      <c r="AM66" s="31" t="str">
        <f t="shared" si="74"/>
        <v/>
      </c>
      <c r="AN66" s="65" t="str">
        <f t="shared" ref="AN66:AN67" si="89">IF(AM66="","-",AM66*$G66)</f>
        <v>-</v>
      </c>
    </row>
    <row r="67" spans="2:40" ht="11.25" customHeight="1" thickBot="1" x14ac:dyDescent="0.2">
      <c r="B67" s="214"/>
      <c r="C67" s="16" t="s">
        <v>40</v>
      </c>
      <c r="D67" s="16"/>
      <c r="E67" s="13">
        <f>Summary!$N$13</f>
        <v>54</v>
      </c>
      <c r="F67" s="14">
        <f>INDEX(Summary!$F$19:$F$30,MATCH('Unit 2 b'!C67,Summary!$D$19:$D$30,0))</f>
        <v>5.2999999999999999E-2</v>
      </c>
      <c r="G67" s="14">
        <f t="shared" si="72"/>
        <v>2.8620000000000001</v>
      </c>
      <c r="H67" s="33" t="s">
        <v>6</v>
      </c>
      <c r="I67" s="94">
        <f>SUMIF(C16:$C$46,C67,I16:$I$46)</f>
        <v>0</v>
      </c>
      <c r="J67" s="65">
        <f t="shared" si="73"/>
        <v>0</v>
      </c>
      <c r="K67" s="31" t="str">
        <f>IF(SUMIF($C$19:$C$41,$C67,K$19:K$41)=0,"",SUMIF($C$19:$C$41,$C67,K$19:K$41))</f>
        <v/>
      </c>
      <c r="L67" s="65" t="str">
        <f t="shared" si="75"/>
        <v>-</v>
      </c>
      <c r="M67" s="31" t="str">
        <f>IF(SUMIF($C$19:$C$41,$C67,M$19:M$41)=0,"",SUMIF($C$19:$C$41,$C67,M$19:M$41))</f>
        <v/>
      </c>
      <c r="N67" s="65" t="str">
        <f t="shared" si="76"/>
        <v>-</v>
      </c>
      <c r="O67" s="31" t="str">
        <f>IF(SUMIF($C$19:$C$41,$C67,O$19:O$41)=0,"",SUMIF($C$19:$C$41,$C67,O$19:O$41))</f>
        <v/>
      </c>
      <c r="P67" s="65" t="str">
        <f t="shared" si="77"/>
        <v>-</v>
      </c>
      <c r="Q67" s="31" t="str">
        <f>IF(SUMIF($C$19:$C$41,$C67,Q$19:Q$41)=0,"",SUMIF($C$19:$C$41,$C67,Q$19:Q$41))</f>
        <v/>
      </c>
      <c r="R67" s="65" t="str">
        <f t="shared" si="78"/>
        <v>-</v>
      </c>
      <c r="S67" s="31" t="str">
        <f>IF(SUMIF($C$19:$C$41,$C67,S$19:S$41)=0,"",SUMIF($C$19:$C$41,$C67,S$19:S$41))</f>
        <v/>
      </c>
      <c r="T67" s="65" t="str">
        <f t="shared" si="79"/>
        <v>-</v>
      </c>
      <c r="U67" s="31" t="str">
        <f>IF(SUMIF($C$19:$C$41,$C67,U$19:U$41)=0,"",SUMIF($C$19:$C$41,$C67,U$19:U$41))</f>
        <v/>
      </c>
      <c r="V67" s="65" t="str">
        <f t="shared" si="80"/>
        <v>-</v>
      </c>
      <c r="W67" s="31" t="str">
        <f>IF(SUMIF($C$19:$C$41,$C67,W$19:W$41)=0,"",SUMIF($C$19:$C$41,$C67,W$19:W$41))</f>
        <v/>
      </c>
      <c r="X67" s="65" t="str">
        <f t="shared" si="81"/>
        <v>-</v>
      </c>
      <c r="Y67" s="31" t="str">
        <f>IF(SUMIF($C$19:$C$41,$C67,Y$19:Y$41)=0,"",SUMIF($C$19:$C$41,$C67,Y$19:Y$41))</f>
        <v/>
      </c>
      <c r="Z67" s="65" t="str">
        <f t="shared" si="82"/>
        <v>-</v>
      </c>
      <c r="AA67" s="31" t="str">
        <f>IF(SUMIF($C$19:$C$41,$C67,AA$19:AA$41)=0,"",SUMIF($C$19:$C$41,$C67,AA$19:AA$41))</f>
        <v/>
      </c>
      <c r="AB67" s="65" t="str">
        <f t="shared" si="83"/>
        <v>-</v>
      </c>
      <c r="AC67" s="31" t="str">
        <f>IF(SUMIF($C$19:$C$41,$C67,AC$19:AC$41)=0,"",SUMIF($C$19:$C$41,$C67,AC$19:AC$41))</f>
        <v/>
      </c>
      <c r="AD67" s="65" t="str">
        <f t="shared" si="84"/>
        <v>-</v>
      </c>
      <c r="AE67" s="31" t="str">
        <f>IF(SUMIF($C$19:$C$41,$C67,AE$19:AE$41)=0,"",SUMIF($C$19:$C$41,$C67,AE$19:AE$41))</f>
        <v/>
      </c>
      <c r="AF67" s="65" t="str">
        <f t="shared" si="85"/>
        <v>-</v>
      </c>
      <c r="AG67" s="31" t="str">
        <f>IF(SUMIF($C$19:$C$41,$C67,AG$19:AG$41)=0,"",SUMIF($C$19:$C$41,$C67,AG$19:AG$41))</f>
        <v/>
      </c>
      <c r="AH67" s="65" t="str">
        <f t="shared" si="86"/>
        <v>-</v>
      </c>
      <c r="AI67" s="31" t="str">
        <f>IF(SUMIF($C$19:$C$41,$C67,AI$19:AI$41)=0,"",SUMIF($C$19:$C$41,$C67,AI$19:AI$41))</f>
        <v/>
      </c>
      <c r="AJ67" s="65" t="str">
        <f t="shared" si="87"/>
        <v>-</v>
      </c>
      <c r="AK67" s="31" t="str">
        <f>IF(SUMIF($C$19:$C$41,$C67,AK$19:AK$41)=0,"",SUMIF($C$19:$C$41,$C67,AK$19:AK$41))</f>
        <v/>
      </c>
      <c r="AL67" s="65" t="str">
        <f t="shared" si="88"/>
        <v>-</v>
      </c>
      <c r="AM67" s="31" t="str">
        <f>IF(SUMIF($C$19:$C$41,$C67,AM$19:AM$41)=0,"",SUMIF($C$19:$C$41,$C67,AM$19:AM$41))</f>
        <v/>
      </c>
      <c r="AN67" s="65" t="str">
        <f t="shared" si="89"/>
        <v>-</v>
      </c>
    </row>
    <row r="68" spans="2:40" ht="11.25" customHeight="1" thickBot="1" x14ac:dyDescent="0.2">
      <c r="B68" s="214"/>
      <c r="C68" s="16" t="s">
        <v>38</v>
      </c>
      <c r="D68" s="16" t="s">
        <v>46</v>
      </c>
      <c r="E68" s="16">
        <v>27</v>
      </c>
      <c r="F68" s="14">
        <f>INDEX(Summary!$F$19:$F$30,MATCH('Unit 2 b'!C68,Summary!$D$19:$D$30,0))</f>
        <v>7.6999999999999999E-2</v>
      </c>
      <c r="G68" s="14">
        <f t="shared" si="72"/>
        <v>2.0790000000000002</v>
      </c>
      <c r="H68" s="33" t="s">
        <v>6</v>
      </c>
      <c r="I68" s="94">
        <f>SUMIF(C38:$C$39,C68,I38:$I$39)</f>
        <v>0</v>
      </c>
      <c r="J68" s="65">
        <f t="shared" si="73"/>
        <v>0</v>
      </c>
      <c r="K68" s="31" t="str">
        <f>IF(SUM(K38:K39)=0,"",SUM(K38:K39))</f>
        <v/>
      </c>
      <c r="L68" s="65" t="str">
        <f t="shared" si="75"/>
        <v>-</v>
      </c>
      <c r="M68" s="31" t="str">
        <f>IF(SUM(M38:M39)=0,"",SUM(M38:M39))</f>
        <v/>
      </c>
      <c r="N68" s="65" t="str">
        <f t="shared" si="75"/>
        <v>-</v>
      </c>
      <c r="O68" s="31" t="str">
        <f>IF(SUM(O38:O39)=0,"",SUM(O38:O39))</f>
        <v/>
      </c>
      <c r="P68" s="65" t="str">
        <f t="shared" si="75"/>
        <v>-</v>
      </c>
      <c r="Q68" s="31" t="str">
        <f>IF(SUM(Q38:Q39)=0,"",SUM(Q38:Q39))</f>
        <v/>
      </c>
      <c r="R68" s="65" t="str">
        <f t="shared" si="75"/>
        <v>-</v>
      </c>
      <c r="S68" s="31" t="str">
        <f>IF(SUM(S38:S39)=0,"",SUM(S38:S39))</f>
        <v/>
      </c>
      <c r="T68" s="65" t="str">
        <f t="shared" si="75"/>
        <v>-</v>
      </c>
      <c r="U68" s="31" t="str">
        <f>IF(SUM(U38:U39)=0,"",SUM(U38:U39))</f>
        <v/>
      </c>
      <c r="V68" s="65" t="str">
        <f t="shared" si="75"/>
        <v>-</v>
      </c>
      <c r="W68" s="31" t="str">
        <f>IF(SUM(W38:W39)=0,"",SUM(W38:W39))</f>
        <v/>
      </c>
      <c r="X68" s="65" t="str">
        <f t="shared" si="75"/>
        <v>-</v>
      </c>
      <c r="Y68" s="31" t="str">
        <f>IF(SUM(Y38:Y39)=0,"",SUM(Y38:Y39))</f>
        <v/>
      </c>
      <c r="Z68" s="65" t="str">
        <f t="shared" si="75"/>
        <v>-</v>
      </c>
      <c r="AA68" s="31" t="str">
        <f>IF(SUM(AA38:AA39)=0,"",SUM(AA38:AA39))</f>
        <v/>
      </c>
      <c r="AB68" s="65" t="str">
        <f t="shared" si="75"/>
        <v>-</v>
      </c>
      <c r="AC68" s="31" t="str">
        <f>IF(SUM(AC38:AC39)=0,"",SUM(AC38:AC39))</f>
        <v/>
      </c>
      <c r="AD68" s="65" t="str">
        <f t="shared" si="75"/>
        <v>-</v>
      </c>
      <c r="AE68" s="31" t="str">
        <f>IF(SUM(AE38:AE39)=0,"",SUM(AE38:AE39))</f>
        <v/>
      </c>
      <c r="AF68" s="65" t="str">
        <f t="shared" si="75"/>
        <v>-</v>
      </c>
      <c r="AG68" s="31" t="str">
        <f>IF(SUM(AG38:AG39)=0,"",SUM(AG38:AG39))</f>
        <v/>
      </c>
      <c r="AH68" s="65" t="str">
        <f t="shared" si="75"/>
        <v>-</v>
      </c>
      <c r="AI68" s="31" t="str">
        <f>IF(SUM(AI38:AI39)=0,"",SUM(AI38:AI39))</f>
        <v/>
      </c>
      <c r="AJ68" s="65" t="str">
        <f t="shared" si="75"/>
        <v>-</v>
      </c>
      <c r="AK68" s="31" t="str">
        <f>IF(SUM(AK38:AK39)=0,"",SUM(AK38:AK39))</f>
        <v/>
      </c>
      <c r="AL68" s="65" t="str">
        <f t="shared" si="75"/>
        <v>-</v>
      </c>
      <c r="AM68" s="31" t="str">
        <f>IF(SUM(AM38:AM39)=0,"",SUM(AM38:AM39))</f>
        <v/>
      </c>
      <c r="AN68" s="65" t="str">
        <f t="shared" si="75"/>
        <v>-</v>
      </c>
    </row>
    <row r="69" spans="2:40" ht="11.25" customHeight="1" thickBot="1" x14ac:dyDescent="0.2">
      <c r="B69" s="213"/>
      <c r="C69" s="18" t="s">
        <v>39</v>
      </c>
      <c r="D69" s="18" t="s">
        <v>45</v>
      </c>
      <c r="E69" s="18">
        <v>27</v>
      </c>
      <c r="F69" s="14">
        <f>INDEX(Summary!$F$19:$F$30,MATCH('Unit 2 b'!C69,Summary!$D$19:$D$30,0))</f>
        <v>6.7000000000000004E-2</v>
      </c>
      <c r="G69" s="14">
        <f t="shared" si="72"/>
        <v>1.8090000000000002</v>
      </c>
      <c r="H69" s="34" t="s">
        <v>6</v>
      </c>
      <c r="I69" s="94">
        <f>SUMIF(C37:$C$41,C69,I37:$I$41)</f>
        <v>0</v>
      </c>
      <c r="J69" s="65">
        <f t="shared" si="73"/>
        <v>0</v>
      </c>
      <c r="K69" s="31" t="str">
        <f>IF(K37="","",K37)</f>
        <v/>
      </c>
      <c r="L69" s="65" t="str">
        <f t="shared" si="75"/>
        <v>-</v>
      </c>
      <c r="M69" s="31" t="str">
        <f>IF(M37="","",M37)</f>
        <v/>
      </c>
      <c r="N69" s="65" t="str">
        <f t="shared" si="75"/>
        <v>-</v>
      </c>
      <c r="O69" s="31" t="str">
        <f>IF(O37="","",O37)</f>
        <v/>
      </c>
      <c r="P69" s="65" t="str">
        <f t="shared" si="75"/>
        <v>-</v>
      </c>
      <c r="Q69" s="31" t="str">
        <f>IF(Q37="","",Q37)</f>
        <v/>
      </c>
      <c r="R69" s="65" t="str">
        <f t="shared" si="75"/>
        <v>-</v>
      </c>
      <c r="S69" s="31" t="str">
        <f>IF(S37="","",S37)</f>
        <v/>
      </c>
      <c r="T69" s="65" t="str">
        <f t="shared" si="75"/>
        <v>-</v>
      </c>
      <c r="U69" s="31" t="str">
        <f>IF(U37="","",U37)</f>
        <v/>
      </c>
      <c r="V69" s="65" t="str">
        <f t="shared" si="75"/>
        <v>-</v>
      </c>
      <c r="W69" s="31" t="str">
        <f>IF(W37="","",W37)</f>
        <v/>
      </c>
      <c r="X69" s="65" t="str">
        <f t="shared" si="75"/>
        <v>-</v>
      </c>
      <c r="Y69" s="31" t="str">
        <f>IF(Y37="","",Y37)</f>
        <v/>
      </c>
      <c r="Z69" s="65" t="str">
        <f t="shared" si="75"/>
        <v>-</v>
      </c>
      <c r="AA69" s="31" t="str">
        <f>IF(AA37="","",AA37)</f>
        <v/>
      </c>
      <c r="AB69" s="65" t="str">
        <f t="shared" si="75"/>
        <v>-</v>
      </c>
      <c r="AC69" s="31" t="str">
        <f>IF(AC37="","",AC37)</f>
        <v/>
      </c>
      <c r="AD69" s="65" t="str">
        <f t="shared" si="75"/>
        <v>-</v>
      </c>
      <c r="AE69" s="31" t="str">
        <f>IF(AE37="","",AE37)</f>
        <v/>
      </c>
      <c r="AF69" s="65" t="str">
        <f t="shared" si="75"/>
        <v>-</v>
      </c>
      <c r="AG69" s="31" t="str">
        <f>IF(AG37="","",AG37)</f>
        <v/>
      </c>
      <c r="AH69" s="65" t="str">
        <f t="shared" si="75"/>
        <v>-</v>
      </c>
      <c r="AI69" s="31" t="str">
        <f>IF(AI37="","",AI37)</f>
        <v/>
      </c>
      <c r="AJ69" s="65" t="str">
        <f t="shared" si="75"/>
        <v>-</v>
      </c>
      <c r="AK69" s="31" t="str">
        <f>IF(AK37="","",AK37)</f>
        <v/>
      </c>
      <c r="AL69" s="65" t="str">
        <f t="shared" si="75"/>
        <v>-</v>
      </c>
      <c r="AM69" s="31" t="str">
        <f>IF(AM37="","",AM37)</f>
        <v/>
      </c>
      <c r="AN69" s="65" t="str">
        <f t="shared" si="75"/>
        <v>-</v>
      </c>
    </row>
    <row r="70" spans="2:40" ht="11.25" customHeight="1" thickBot="1" x14ac:dyDescent="0.2">
      <c r="B70" s="212" t="s">
        <v>81</v>
      </c>
      <c r="C70" s="13" t="s">
        <v>41</v>
      </c>
      <c r="D70" s="13"/>
      <c r="E70" s="13">
        <f>Summary!$N$13</f>
        <v>54</v>
      </c>
      <c r="F70" s="14">
        <f>INDEX(Summary!$F$19:$F$30,MATCH('Unit 2 b'!C70,Summary!$D$19:$D$30,0))</f>
        <v>2.5999999999999999E-2</v>
      </c>
      <c r="G70" s="14">
        <f t="shared" si="72"/>
        <v>1.4039999999999999</v>
      </c>
      <c r="H70" s="32" t="s">
        <v>6</v>
      </c>
      <c r="I70" s="94">
        <f>SUMIF(C19:$C$46,C70,I19:$I$46)</f>
        <v>0</v>
      </c>
      <c r="J70" s="65">
        <f t="shared" si="73"/>
        <v>0</v>
      </c>
      <c r="K70" s="31" t="str">
        <f>IF(SUMIF($C$9:$C$46,$C70,K$9:K$46)=0,"",SUMIF($C$9:$C$46,$C70,K$9:K$46))</f>
        <v/>
      </c>
      <c r="L70" s="65" t="str">
        <f>IF(K70="","-",K70*$G70)</f>
        <v>-</v>
      </c>
      <c r="M70" s="31" t="str">
        <f>IF(SUMIF($C$9:$C$46,$C70,M$9:M$46)=0,"",SUMIF($C$9:$C$46,$C70,M$9:M$46))</f>
        <v/>
      </c>
      <c r="N70" s="65" t="str">
        <f>IF(M70="","-",M70*$G70)</f>
        <v>-</v>
      </c>
      <c r="O70" s="31" t="str">
        <f>IF(SUMIF($C$9:$C$46,$C70,O$9:O$46)=0,"",SUMIF($C$9:$C$46,$C70,O$9:O$46))</f>
        <v/>
      </c>
      <c r="P70" s="65" t="str">
        <f>IF(O70="","-",O70*$G70)</f>
        <v>-</v>
      </c>
      <c r="Q70" s="31" t="str">
        <f>IF(SUMIF($C$9:$C$46,$C70,Q$9:Q$46)=0,"",SUMIF($C$9:$C$46,$C70,Q$9:Q$46))</f>
        <v/>
      </c>
      <c r="R70" s="65" t="str">
        <f>IF(Q70="","-",Q70*$G70)</f>
        <v>-</v>
      </c>
      <c r="S70" s="31" t="str">
        <f>IF(SUMIF($C$9:$C$46,$C70,S$9:S$46)=0,"",SUMIF($C$9:$C$46,$C70,S$9:S$46))</f>
        <v/>
      </c>
      <c r="T70" s="65" t="str">
        <f>IF(S70="","-",S70*$G70)</f>
        <v>-</v>
      </c>
      <c r="U70" s="31" t="str">
        <f>IF(SUMIF($C$9:$C$46,$C70,U$9:U$46)=0,"",SUMIF($C$9:$C$46,$C70,U$9:U$46))</f>
        <v/>
      </c>
      <c r="V70" s="65" t="str">
        <f>IF(U70="","-",U70*$G70)</f>
        <v>-</v>
      </c>
      <c r="W70" s="31" t="str">
        <f>IF(SUMIF($C$9:$C$46,$C70,W$9:W$46)=0,"",SUMIF($C$9:$C$46,$C70,W$9:W$46))</f>
        <v/>
      </c>
      <c r="X70" s="65" t="str">
        <f>IF(W70="","-",W70*$G70)</f>
        <v>-</v>
      </c>
      <c r="Y70" s="31" t="str">
        <f>IF(SUMIF($C$9:$C$46,$C70,Y$9:Y$46)=0,"",SUMIF($C$9:$C$46,$C70,Y$9:Y$46))</f>
        <v/>
      </c>
      <c r="Z70" s="65" t="str">
        <f>IF(Y70="","-",Y70*$G70)</f>
        <v>-</v>
      </c>
      <c r="AA70" s="31" t="str">
        <f>IF(SUMIF($C$9:$C$46,$C70,AA$9:AA$46)=0,"",SUMIF($C$9:$C$46,$C70,AA$9:AA$46))</f>
        <v/>
      </c>
      <c r="AB70" s="65" t="str">
        <f>IF(AA70="","-",AA70*$G70)</f>
        <v>-</v>
      </c>
      <c r="AC70" s="31" t="str">
        <f>IF(SUMIF($C$9:$C$46,$C70,AC$9:AC$46)=0,"",SUMIF($C$9:$C$46,$C70,AC$9:AC$46))</f>
        <v/>
      </c>
      <c r="AD70" s="65" t="str">
        <f>IF(AC70="","-",AC70*$G70)</f>
        <v>-</v>
      </c>
      <c r="AE70" s="31" t="str">
        <f>IF(SUMIF($C$9:$C$46,$C70,AE$9:AE$46)=0,"",SUMIF($C$9:$C$46,$C70,AE$9:AE$46))</f>
        <v/>
      </c>
      <c r="AF70" s="65" t="str">
        <f>IF(AE70="","-",AE70*$G70)</f>
        <v>-</v>
      </c>
      <c r="AG70" s="31" t="str">
        <f>IF(SUMIF($C$9:$C$46,$C70,AG$9:AG$46)=0,"",SUMIF($C$9:$C$46,$C70,AG$9:AG$46))</f>
        <v/>
      </c>
      <c r="AH70" s="65" t="str">
        <f>IF(AG70="","-",AG70*$G70)</f>
        <v>-</v>
      </c>
      <c r="AI70" s="31" t="str">
        <f>IF(SUMIF($C$9:$C$46,$C70,AI$9:AI$46)=0,"",SUMIF($C$9:$C$46,$C70,AI$9:AI$46))</f>
        <v/>
      </c>
      <c r="AJ70" s="65" t="str">
        <f>IF(AI70="","-",AI70*$G70)</f>
        <v>-</v>
      </c>
      <c r="AK70" s="31" t="str">
        <f>IF(SUMIF($C$9:$C$46,$C70,AK$9:AK$46)=0,"",SUMIF($C$9:$C$46,$C70,AK$9:AK$46))</f>
        <v/>
      </c>
      <c r="AL70" s="65" t="str">
        <f>IF(AK70="","-",AK70*$G70)</f>
        <v>-</v>
      </c>
      <c r="AM70" s="31" t="str">
        <f>IF(SUMIF($C$9:$C$46,$C70,AM$9:AM$46)=0,"",SUMIF($C$9:$C$46,$C70,AM$9:AM$46))</f>
        <v/>
      </c>
      <c r="AN70" s="65" t="str">
        <f>IF(AM70="","-",AM70*$G70)</f>
        <v>-</v>
      </c>
    </row>
    <row r="71" spans="2:40" ht="11.25" customHeight="1" thickBot="1" x14ac:dyDescent="0.2">
      <c r="B71" s="213"/>
      <c r="C71" s="18" t="s">
        <v>42</v>
      </c>
      <c r="D71" s="18"/>
      <c r="E71" s="13">
        <f>Summary!$N$13</f>
        <v>54</v>
      </c>
      <c r="F71" s="14">
        <f>INDEX(Summary!$F$19:$F$30,MATCH('Unit 2 b'!C71,Summary!$D$19:$D$30,0))</f>
        <v>0.26</v>
      </c>
      <c r="G71" s="14">
        <f t="shared" si="72"/>
        <v>14.040000000000001</v>
      </c>
      <c r="H71" s="34" t="s">
        <v>6</v>
      </c>
      <c r="I71" s="94">
        <f>SUMIF(C20:$C$46,C71,I20:$I$46)</f>
        <v>0</v>
      </c>
      <c r="J71" s="65">
        <f t="shared" si="73"/>
        <v>0</v>
      </c>
      <c r="K71" s="31" t="str">
        <f t="shared" ref="K71:K73" si="90">IF(SUMIF($C$9:$C$46,$C71,K$9:K$46)=0,"",SUMIF($C$9:$C$46,$C71,K$9:K$46))</f>
        <v/>
      </c>
      <c r="L71" s="65" t="str">
        <f t="shared" ref="L71:N73" si="91">IF(K71="","-",K71*$G71)</f>
        <v>-</v>
      </c>
      <c r="M71" s="31" t="str">
        <f t="shared" ref="M71:AM73" si="92">IF(SUMIF($C$9:$C$46,$C71,M$9:M$46)=0,"",SUMIF($C$9:$C$46,$C71,M$9:M$46))</f>
        <v/>
      </c>
      <c r="N71" s="65" t="str">
        <f t="shared" si="91"/>
        <v>-</v>
      </c>
      <c r="O71" s="31" t="str">
        <f t="shared" si="92"/>
        <v/>
      </c>
      <c r="P71" s="65" t="str">
        <f t="shared" ref="P71:P73" si="93">IF(O71="","-",O71*$G71)</f>
        <v>-</v>
      </c>
      <c r="Q71" s="31" t="str">
        <f t="shared" si="92"/>
        <v/>
      </c>
      <c r="R71" s="65" t="str">
        <f t="shared" ref="R71:R73" si="94">IF(Q71="","-",Q71*$G71)</f>
        <v>-</v>
      </c>
      <c r="S71" s="31" t="str">
        <f t="shared" si="92"/>
        <v/>
      </c>
      <c r="T71" s="65" t="str">
        <f t="shared" ref="T71:T73" si="95">IF(S71="","-",S71*$G71)</f>
        <v>-</v>
      </c>
      <c r="U71" s="31" t="str">
        <f t="shared" si="92"/>
        <v/>
      </c>
      <c r="V71" s="65" t="str">
        <f t="shared" ref="V71:V73" si="96">IF(U71="","-",U71*$G71)</f>
        <v>-</v>
      </c>
      <c r="W71" s="31" t="str">
        <f t="shared" si="92"/>
        <v/>
      </c>
      <c r="X71" s="65" t="str">
        <f t="shared" ref="X71:X73" si="97">IF(W71="","-",W71*$G71)</f>
        <v>-</v>
      </c>
      <c r="Y71" s="31" t="str">
        <f t="shared" si="92"/>
        <v/>
      </c>
      <c r="Z71" s="65" t="str">
        <f t="shared" ref="Z71:Z73" si="98">IF(Y71="","-",Y71*$G71)</f>
        <v>-</v>
      </c>
      <c r="AA71" s="31" t="str">
        <f t="shared" si="92"/>
        <v/>
      </c>
      <c r="AB71" s="65" t="str">
        <f t="shared" ref="AB71:AB73" si="99">IF(AA71="","-",AA71*$G71)</f>
        <v>-</v>
      </c>
      <c r="AC71" s="31" t="str">
        <f t="shared" si="92"/>
        <v/>
      </c>
      <c r="AD71" s="65" t="str">
        <f t="shared" ref="AD71:AD73" si="100">IF(AC71="","-",AC71*$G71)</f>
        <v>-</v>
      </c>
      <c r="AE71" s="31" t="str">
        <f t="shared" si="92"/>
        <v/>
      </c>
      <c r="AF71" s="65" t="str">
        <f t="shared" ref="AF71:AF73" si="101">IF(AE71="","-",AE71*$G71)</f>
        <v>-</v>
      </c>
      <c r="AG71" s="31" t="str">
        <f t="shared" si="92"/>
        <v/>
      </c>
      <c r="AH71" s="65" t="str">
        <f t="shared" ref="AH71:AH73" si="102">IF(AG71="","-",AG71*$G71)</f>
        <v>-</v>
      </c>
      <c r="AI71" s="31" t="str">
        <f t="shared" si="92"/>
        <v/>
      </c>
      <c r="AJ71" s="65" t="str">
        <f t="shared" ref="AJ71:AJ73" si="103">IF(AI71="","-",AI71*$G71)</f>
        <v>-</v>
      </c>
      <c r="AK71" s="31" t="str">
        <f t="shared" si="92"/>
        <v/>
      </c>
      <c r="AL71" s="65" t="str">
        <f t="shared" ref="AL71:AL73" si="104">IF(AK71="","-",AK71*$G71)</f>
        <v>-</v>
      </c>
      <c r="AM71" s="31" t="str">
        <f t="shared" si="92"/>
        <v/>
      </c>
      <c r="AN71" s="65" t="str">
        <f t="shared" ref="AN71:AN73" si="105">IF(AM71="","-",AM71*$G71)</f>
        <v>-</v>
      </c>
    </row>
    <row r="72" spans="2:40" ht="11.25" customHeight="1" thickBot="1" x14ac:dyDescent="0.2">
      <c r="B72" s="212" t="s">
        <v>82</v>
      </c>
      <c r="C72" s="13" t="s">
        <v>43</v>
      </c>
      <c r="D72" s="13"/>
      <c r="E72" s="13">
        <f>Summary!$N$13</f>
        <v>54</v>
      </c>
      <c r="F72" s="14">
        <f>INDEX(Summary!$F$19:$F$30,MATCH('Unit 2 b'!C72,Summary!$D$19:$D$30,0))</f>
        <v>5.2999999999999999E-2</v>
      </c>
      <c r="G72" s="14">
        <f t="shared" si="72"/>
        <v>2.8620000000000001</v>
      </c>
      <c r="H72" s="32" t="s">
        <v>6</v>
      </c>
      <c r="I72" s="94">
        <f>SUMIF(C21:$C$46,C72,I21:$I$46)</f>
        <v>0</v>
      </c>
      <c r="J72" s="65">
        <f t="shared" si="73"/>
        <v>0</v>
      </c>
      <c r="K72" s="31" t="str">
        <f t="shared" si="90"/>
        <v/>
      </c>
      <c r="L72" s="65" t="str">
        <f t="shared" si="91"/>
        <v>-</v>
      </c>
      <c r="M72" s="31" t="str">
        <f t="shared" si="92"/>
        <v/>
      </c>
      <c r="N72" s="65" t="str">
        <f t="shared" si="91"/>
        <v>-</v>
      </c>
      <c r="O72" s="31" t="str">
        <f t="shared" si="92"/>
        <v/>
      </c>
      <c r="P72" s="65" t="str">
        <f t="shared" si="93"/>
        <v>-</v>
      </c>
      <c r="Q72" s="31" t="str">
        <f t="shared" si="92"/>
        <v/>
      </c>
      <c r="R72" s="65" t="str">
        <f t="shared" si="94"/>
        <v>-</v>
      </c>
      <c r="S72" s="31" t="str">
        <f t="shared" si="92"/>
        <v/>
      </c>
      <c r="T72" s="65" t="str">
        <f t="shared" si="95"/>
        <v>-</v>
      </c>
      <c r="U72" s="31" t="str">
        <f t="shared" si="92"/>
        <v/>
      </c>
      <c r="V72" s="65" t="str">
        <f t="shared" si="96"/>
        <v>-</v>
      </c>
      <c r="W72" s="31" t="str">
        <f t="shared" si="92"/>
        <v/>
      </c>
      <c r="X72" s="65" t="str">
        <f t="shared" si="97"/>
        <v>-</v>
      </c>
      <c r="Y72" s="31" t="str">
        <f t="shared" si="92"/>
        <v/>
      </c>
      <c r="Z72" s="65" t="str">
        <f t="shared" si="98"/>
        <v>-</v>
      </c>
      <c r="AA72" s="31" t="str">
        <f t="shared" si="92"/>
        <v/>
      </c>
      <c r="AB72" s="65" t="str">
        <f t="shared" si="99"/>
        <v>-</v>
      </c>
      <c r="AC72" s="31" t="str">
        <f t="shared" si="92"/>
        <v/>
      </c>
      <c r="AD72" s="65" t="str">
        <f t="shared" si="100"/>
        <v>-</v>
      </c>
      <c r="AE72" s="31" t="str">
        <f t="shared" si="92"/>
        <v/>
      </c>
      <c r="AF72" s="65" t="str">
        <f t="shared" si="101"/>
        <v>-</v>
      </c>
      <c r="AG72" s="31" t="str">
        <f t="shared" si="92"/>
        <v/>
      </c>
      <c r="AH72" s="65" t="str">
        <f t="shared" si="102"/>
        <v>-</v>
      </c>
      <c r="AI72" s="31" t="str">
        <f t="shared" si="92"/>
        <v/>
      </c>
      <c r="AJ72" s="65" t="str">
        <f t="shared" si="103"/>
        <v>-</v>
      </c>
      <c r="AK72" s="31" t="str">
        <f t="shared" si="92"/>
        <v/>
      </c>
      <c r="AL72" s="65" t="str">
        <f t="shared" si="104"/>
        <v>-</v>
      </c>
      <c r="AM72" s="31" t="str">
        <f t="shared" si="92"/>
        <v/>
      </c>
      <c r="AN72" s="65" t="str">
        <f t="shared" si="105"/>
        <v>-</v>
      </c>
    </row>
    <row r="73" spans="2:40" ht="11.25" customHeight="1" thickBot="1" x14ac:dyDescent="0.2">
      <c r="B73" s="213"/>
      <c r="C73" s="18" t="s">
        <v>44</v>
      </c>
      <c r="D73" s="18" t="s">
        <v>52</v>
      </c>
      <c r="E73" s="18">
        <v>27</v>
      </c>
      <c r="F73" s="14">
        <f>INDEX(Summary!$F$19:$F$30,MATCH('Unit 2 b'!C73,Summary!$D$19:$D$30,0))</f>
        <v>0.1</v>
      </c>
      <c r="G73" s="14">
        <f t="shared" si="72"/>
        <v>2.7</v>
      </c>
      <c r="H73" s="32" t="s">
        <v>6</v>
      </c>
      <c r="I73" s="94">
        <f>SUMIF(C22:$C$46,C73,I22:$I$46)</f>
        <v>0</v>
      </c>
      <c r="J73" s="65">
        <f t="shared" si="73"/>
        <v>0</v>
      </c>
      <c r="K73" s="31" t="str">
        <f t="shared" si="90"/>
        <v/>
      </c>
      <c r="L73" s="65" t="str">
        <f t="shared" si="91"/>
        <v>-</v>
      </c>
      <c r="M73" s="31" t="str">
        <f t="shared" si="92"/>
        <v/>
      </c>
      <c r="N73" s="65" t="str">
        <f t="shared" si="91"/>
        <v>-</v>
      </c>
      <c r="O73" s="31" t="str">
        <f t="shared" si="92"/>
        <v/>
      </c>
      <c r="P73" s="65" t="str">
        <f t="shared" si="93"/>
        <v>-</v>
      </c>
      <c r="Q73" s="31" t="str">
        <f t="shared" si="92"/>
        <v/>
      </c>
      <c r="R73" s="65" t="str">
        <f t="shared" si="94"/>
        <v>-</v>
      </c>
      <c r="S73" s="31" t="str">
        <f t="shared" si="92"/>
        <v/>
      </c>
      <c r="T73" s="65" t="str">
        <f t="shared" si="95"/>
        <v>-</v>
      </c>
      <c r="U73" s="31" t="str">
        <f t="shared" si="92"/>
        <v/>
      </c>
      <c r="V73" s="65" t="str">
        <f t="shared" si="96"/>
        <v>-</v>
      </c>
      <c r="W73" s="31" t="str">
        <f t="shared" si="92"/>
        <v/>
      </c>
      <c r="X73" s="65" t="str">
        <f t="shared" si="97"/>
        <v>-</v>
      </c>
      <c r="Y73" s="31" t="str">
        <f t="shared" si="92"/>
        <v/>
      </c>
      <c r="Z73" s="65" t="str">
        <f t="shared" si="98"/>
        <v>-</v>
      </c>
      <c r="AA73" s="31" t="str">
        <f t="shared" si="92"/>
        <v/>
      </c>
      <c r="AB73" s="65" t="str">
        <f t="shared" si="99"/>
        <v>-</v>
      </c>
      <c r="AC73" s="31" t="str">
        <f t="shared" si="92"/>
        <v/>
      </c>
      <c r="AD73" s="65" t="str">
        <f t="shared" si="100"/>
        <v>-</v>
      </c>
      <c r="AE73" s="31" t="str">
        <f t="shared" si="92"/>
        <v/>
      </c>
      <c r="AF73" s="65" t="str">
        <f t="shared" si="101"/>
        <v>-</v>
      </c>
      <c r="AG73" s="31" t="str">
        <f t="shared" si="92"/>
        <v/>
      </c>
      <c r="AH73" s="65" t="str">
        <f t="shared" si="102"/>
        <v>-</v>
      </c>
      <c r="AI73" s="31" t="str">
        <f t="shared" si="92"/>
        <v/>
      </c>
      <c r="AJ73" s="65" t="str">
        <f t="shared" si="103"/>
        <v>-</v>
      </c>
      <c r="AK73" s="31" t="str">
        <f t="shared" si="92"/>
        <v/>
      </c>
      <c r="AL73" s="65" t="str">
        <f t="shared" si="104"/>
        <v>-</v>
      </c>
      <c r="AM73" s="31" t="str">
        <f t="shared" si="92"/>
        <v/>
      </c>
      <c r="AN73" s="65" t="str">
        <f t="shared" si="105"/>
        <v>-</v>
      </c>
    </row>
    <row r="74" spans="2:40" ht="11.25" customHeight="1" x14ac:dyDescent="0.15">
      <c r="B74" s="224" t="s">
        <v>67</v>
      </c>
      <c r="C74" s="225"/>
      <c r="D74" s="226"/>
      <c r="E74" s="19">
        <f>Summary!H13</f>
        <v>0.25</v>
      </c>
      <c r="F74" s="19" t="s">
        <v>56</v>
      </c>
      <c r="G74" s="19">
        <f>IF(E74=0.25,0.24,0.35)</f>
        <v>0.24</v>
      </c>
      <c r="H74" s="32" t="s">
        <v>6</v>
      </c>
      <c r="I74" s="95">
        <f>SUM(K74,M74,O74,Q74,S74,U74,W74,Y74,AA74,AC74,AE74,AG74,AI74)</f>
        <v>0</v>
      </c>
      <c r="J74" s="74">
        <f>I50*G74</f>
        <v>0</v>
      </c>
      <c r="K74" s="96">
        <f>SUM(K72:K73)</f>
        <v>0</v>
      </c>
      <c r="L74" s="96">
        <f>$G$74*K$50</f>
        <v>0</v>
      </c>
      <c r="M74" s="96">
        <f>SUM(M72:M73)</f>
        <v>0</v>
      </c>
      <c r="N74" s="96">
        <f>$G$74*M$50</f>
        <v>0</v>
      </c>
      <c r="O74" s="96">
        <f>SUM(O72:O73)</f>
        <v>0</v>
      </c>
      <c r="P74" s="96">
        <f>$G$74*O$50</f>
        <v>0</v>
      </c>
      <c r="Q74" s="96">
        <f>SUM(Q72:Q73)</f>
        <v>0</v>
      </c>
      <c r="R74" s="96">
        <f>$G$74*Q$50</f>
        <v>0</v>
      </c>
      <c r="S74" s="96">
        <f>SUM(S72:S73)</f>
        <v>0</v>
      </c>
      <c r="T74" s="96">
        <f>$G$74*S$50</f>
        <v>0</v>
      </c>
      <c r="U74" s="96">
        <f>SUM(U72:U73)</f>
        <v>0</v>
      </c>
      <c r="V74" s="96">
        <f>$G$74*U$50</f>
        <v>0</v>
      </c>
      <c r="W74" s="96">
        <f>SUM(W72:W73)</f>
        <v>0</v>
      </c>
      <c r="X74" s="96">
        <f>$G$74*W$50</f>
        <v>0</v>
      </c>
      <c r="Y74" s="96">
        <f>SUM(Y72:Y73)</f>
        <v>0</v>
      </c>
      <c r="Z74" s="96">
        <f>$G$74*Y$50</f>
        <v>0</v>
      </c>
      <c r="AA74" s="96">
        <f>SUM(AA72:AA73)</f>
        <v>0</v>
      </c>
      <c r="AB74" s="96">
        <f>$G$74*AA$50</f>
        <v>0</v>
      </c>
      <c r="AC74" s="96">
        <f>SUM(AC72:AC73)</f>
        <v>0</v>
      </c>
      <c r="AD74" s="96">
        <f>$G$74*AC$50</f>
        <v>0</v>
      </c>
      <c r="AE74" s="96">
        <f>SUM(AE72:AE73)</f>
        <v>0</v>
      </c>
      <c r="AF74" s="96">
        <f>$G$74*AE$50</f>
        <v>0</v>
      </c>
      <c r="AG74" s="96">
        <f>SUM(AG72:AG73)</f>
        <v>0</v>
      </c>
      <c r="AH74" s="96">
        <f>$G$74*AG$50</f>
        <v>0</v>
      </c>
      <c r="AI74" s="96">
        <f>SUM(AI72:AI73)</f>
        <v>0</v>
      </c>
      <c r="AJ74" s="96">
        <f>$G$74*AI$50</f>
        <v>0</v>
      </c>
      <c r="AK74" s="96">
        <f>SUM(AK72:AK73)</f>
        <v>0</v>
      </c>
      <c r="AL74" s="96">
        <f>$G$74*AK$50</f>
        <v>0</v>
      </c>
      <c r="AM74" s="96">
        <f>SUM(AM72:AM73)</f>
        <v>0</v>
      </c>
      <c r="AN74" s="96">
        <f>$G$74*AM$50</f>
        <v>0</v>
      </c>
    </row>
    <row r="75" spans="2:40" ht="11.25" customHeight="1" x14ac:dyDescent="0.15">
      <c r="B75" s="219" t="s">
        <v>68</v>
      </c>
      <c r="C75" s="220"/>
      <c r="D75" s="220"/>
      <c r="E75" s="220"/>
      <c r="F75" s="220"/>
      <c r="G75" s="220"/>
      <c r="H75" s="241"/>
      <c r="I75" s="97"/>
      <c r="J75" s="68">
        <f>SUM(J60:J74)</f>
        <v>0</v>
      </c>
      <c r="K75" s="98"/>
      <c r="L75" s="68" t="str">
        <f>IF(SUM(L60:L74)=0,"",SUM(L60:L74))</f>
        <v/>
      </c>
      <c r="M75" s="99"/>
      <c r="N75" s="68" t="str">
        <f>IF(SUM(N60:N74)=0,"",SUM(N60:N74))</f>
        <v/>
      </c>
      <c r="O75" s="99"/>
      <c r="P75" s="68" t="str">
        <f ca="1">IF(SUM(P60:P74)=0,"",SUM(P60:P74))</f>
        <v/>
      </c>
      <c r="Q75" s="99"/>
      <c r="R75" s="68" t="str">
        <f ca="1">IF(SUM(R60:R74)=0,"",SUM(R60:R74))</f>
        <v/>
      </c>
      <c r="S75" s="99"/>
      <c r="T75" s="68" t="str">
        <f ca="1">IF(SUM(T60:T74)=0,"",SUM(T60:T74))</f>
        <v/>
      </c>
      <c r="U75" s="99"/>
      <c r="V75" s="68" t="str">
        <f ca="1">IF(SUM(V60:V74)=0,"",SUM(V60:V74))</f>
        <v/>
      </c>
      <c r="W75" s="99"/>
      <c r="X75" s="68" t="str">
        <f ca="1">IF(SUM(X60:X74)=0,"",SUM(X60:X74))</f>
        <v/>
      </c>
      <c r="Y75" s="99"/>
      <c r="Z75" s="68" t="str">
        <f ca="1">IF(SUM(Z60:Z74)=0,"",SUM(Z60:Z74))</f>
        <v/>
      </c>
      <c r="AA75" s="99"/>
      <c r="AB75" s="68" t="str">
        <f ca="1">IF(SUM(AB60:AB74)=0,"",SUM(AB60:AB74))</f>
        <v/>
      </c>
      <c r="AC75" s="99"/>
      <c r="AD75" s="68" t="str">
        <f ca="1">IF(SUM(AD60:AD74)=0,"",SUM(AD60:AD74))</f>
        <v/>
      </c>
      <c r="AE75" s="99"/>
      <c r="AF75" s="68" t="str">
        <f ca="1">IF(SUM(AF60:AF74)=0,"",SUM(AF60:AF74))</f>
        <v/>
      </c>
      <c r="AG75" s="99"/>
      <c r="AH75" s="68" t="str">
        <f ca="1">IF(SUM(AH60:AH74)=0,"",SUM(AH60:AH74))</f>
        <v/>
      </c>
      <c r="AI75" s="99"/>
      <c r="AJ75" s="68" t="str">
        <f ca="1">IF(SUM(AJ60:AJ74)=0,"",SUM(AJ60:AJ74))</f>
        <v/>
      </c>
      <c r="AK75" s="99"/>
      <c r="AL75" s="68" t="str">
        <f ca="1">IF(SUM(AL60:AL74)=0,"",SUM(AL60:AL74))</f>
        <v/>
      </c>
      <c r="AM75" s="99"/>
      <c r="AN75" s="68" t="str">
        <f ca="1">IF(SUM(AN60:AN74)=0,"",SUM(AN60:AN74))</f>
        <v/>
      </c>
    </row>
    <row r="76" spans="2:40" ht="11.25" customHeight="1" x14ac:dyDescent="0.15">
      <c r="B76" s="242" t="s">
        <v>59</v>
      </c>
      <c r="C76" s="233"/>
      <c r="D76" s="233"/>
      <c r="E76" s="233"/>
      <c r="F76" s="233"/>
      <c r="G76" s="35">
        <v>15</v>
      </c>
      <c r="H76" s="36" t="s">
        <v>73</v>
      </c>
      <c r="I76" s="97"/>
      <c r="J76" s="68">
        <f>J75*G76/100</f>
        <v>0</v>
      </c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</row>
    <row r="77" spans="2:40" ht="11.25" customHeight="1" x14ac:dyDescent="0.15">
      <c r="B77" s="107" t="s">
        <v>69</v>
      </c>
      <c r="C77" s="108"/>
      <c r="D77" s="108"/>
      <c r="E77" s="108" t="s">
        <v>216</v>
      </c>
      <c r="F77" s="108"/>
      <c r="G77" s="110">
        <f>J77/0.95/12000</f>
        <v>0</v>
      </c>
      <c r="H77" s="109" t="s">
        <v>149</v>
      </c>
      <c r="I77" s="97"/>
      <c r="J77" s="68">
        <f>SUM(J75:J76)</f>
        <v>0</v>
      </c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</row>
    <row r="78" spans="2:40" ht="11.25" customHeight="1" x14ac:dyDescent="0.15">
      <c r="B78" s="243" t="s">
        <v>70</v>
      </c>
      <c r="C78" s="244"/>
      <c r="D78" s="244"/>
      <c r="E78" s="244"/>
      <c r="F78" s="244"/>
      <c r="G78" s="244"/>
      <c r="H78" s="245"/>
      <c r="I78" s="97"/>
      <c r="J78" s="100">
        <f>J77/3413</f>
        <v>0</v>
      </c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</row>
    <row r="79" spans="2:40" ht="11.25" customHeight="1" thickBot="1" x14ac:dyDescent="0.2">
      <c r="B79" s="236" t="s">
        <v>62</v>
      </c>
      <c r="C79" s="237"/>
      <c r="D79" s="237"/>
      <c r="E79" s="37">
        <v>5</v>
      </c>
      <c r="F79" s="38" t="s">
        <v>74</v>
      </c>
      <c r="G79" s="246" t="s">
        <v>75</v>
      </c>
      <c r="H79" s="247"/>
      <c r="I79" s="97"/>
      <c r="J79" s="68">
        <f>E56*400</f>
        <v>600</v>
      </c>
      <c r="K79" s="98"/>
      <c r="L79" s="68" t="str">
        <f>IF(L75="","",L75/$J$75*$J$79)</f>
        <v/>
      </c>
      <c r="M79" s="98"/>
      <c r="N79" s="68" t="str">
        <f>IF(N75="","",N75/$J$75*$J$79)</f>
        <v/>
      </c>
      <c r="O79" s="98"/>
      <c r="P79" s="68" t="str">
        <f ca="1">IF(P75="","",P75/$J$75*$J$79)</f>
        <v/>
      </c>
      <c r="Q79" s="98"/>
      <c r="R79" s="68" t="str">
        <f ca="1">IF(R75="","",R75/$J$75*$J$79)</f>
        <v/>
      </c>
      <c r="S79" s="98"/>
      <c r="T79" s="68" t="str">
        <f ca="1">IF(T75="","",T75/$J$75*$J$79)</f>
        <v/>
      </c>
      <c r="U79" s="98"/>
      <c r="V79" s="68" t="str">
        <f ca="1">IF(V75="","",V75/$J$75*$J$79)</f>
        <v/>
      </c>
      <c r="W79" s="98"/>
      <c r="X79" s="68" t="str">
        <f ca="1">IF(X75="","",X75/$J$75*$J$79)</f>
        <v/>
      </c>
      <c r="Y79" s="98"/>
      <c r="Z79" s="68" t="str">
        <f ca="1">IF(Z75="","",Z75/$J$75*$J$79)</f>
        <v/>
      </c>
      <c r="AA79" s="98"/>
      <c r="AB79" s="68" t="str">
        <f ca="1">IF(AB75="","",AB75/$J$75*$J$79)</f>
        <v/>
      </c>
      <c r="AC79" s="98"/>
      <c r="AD79" s="68" t="str">
        <f ca="1">IF(AD75="","",AD75/$J$75*$J$79)</f>
        <v/>
      </c>
      <c r="AE79" s="98"/>
      <c r="AF79" s="68" t="str">
        <f ca="1">IF(AF75="","",AF75/$J$75*$J$79)</f>
        <v/>
      </c>
      <c r="AG79" s="98"/>
      <c r="AH79" s="68" t="str">
        <f ca="1">IF(AH75="","",AH75/$J$75*$J$79)</f>
        <v/>
      </c>
      <c r="AI79" s="98"/>
      <c r="AJ79" s="68" t="str">
        <f ca="1">IF(AJ75="","",AJ75/$J$75*$J$79)</f>
        <v/>
      </c>
      <c r="AK79" s="98"/>
      <c r="AL79" s="68" t="str">
        <f ca="1">IF(AL75="","",AL75/$J$75*$J$79)</f>
        <v/>
      </c>
      <c r="AM79" s="98"/>
      <c r="AN79" s="68" t="str">
        <f ca="1">IF(AN75="","",AN75/$J$75*$J$79)</f>
        <v/>
      </c>
    </row>
    <row r="80" spans="2:40" x14ac:dyDescent="0.15">
      <c r="J80" s="39"/>
    </row>
    <row r="81" spans="10:10" x14ac:dyDescent="0.15">
      <c r="J81" s="39"/>
    </row>
    <row r="82" spans="10:10" x14ac:dyDescent="0.15">
      <c r="J82" s="39"/>
    </row>
    <row r="83" spans="10:10" x14ac:dyDescent="0.15">
      <c r="J83" s="39"/>
    </row>
    <row r="84" spans="10:10" x14ac:dyDescent="0.15">
      <c r="J84" s="39"/>
    </row>
    <row r="85" spans="10:10" x14ac:dyDescent="0.15">
      <c r="J85" s="39"/>
    </row>
    <row r="86" spans="10:10" x14ac:dyDescent="0.15">
      <c r="J86" s="39"/>
    </row>
  </sheetData>
  <mergeCells count="107">
    <mergeCell ref="N1:R1"/>
    <mergeCell ref="T1:V1"/>
    <mergeCell ref="N2:R2"/>
    <mergeCell ref="Q3:R3"/>
    <mergeCell ref="T3:V3"/>
    <mergeCell ref="I6:J6"/>
    <mergeCell ref="K6:L6"/>
    <mergeCell ref="M6:N6"/>
    <mergeCell ref="O6:P6"/>
    <mergeCell ref="Q6:R6"/>
    <mergeCell ref="AE6:AF6"/>
    <mergeCell ref="AG6:AH6"/>
    <mergeCell ref="AI6:AJ6"/>
    <mergeCell ref="AK6:AL6"/>
    <mergeCell ref="AM6:AN6"/>
    <mergeCell ref="B7:D7"/>
    <mergeCell ref="E7:E8"/>
    <mergeCell ref="F7:F8"/>
    <mergeCell ref="G7:H8"/>
    <mergeCell ref="I7:J7"/>
    <mergeCell ref="S6:T6"/>
    <mergeCell ref="U6:V6"/>
    <mergeCell ref="W6:X6"/>
    <mergeCell ref="Y6:Z6"/>
    <mergeCell ref="AA6:AB6"/>
    <mergeCell ref="AC6:AD6"/>
    <mergeCell ref="AK7:AL7"/>
    <mergeCell ref="AM7:AN7"/>
    <mergeCell ref="B29:B36"/>
    <mergeCell ref="B37:B41"/>
    <mergeCell ref="B42:B43"/>
    <mergeCell ref="B44:B46"/>
    <mergeCell ref="B47:B49"/>
    <mergeCell ref="D47:F47"/>
    <mergeCell ref="D48:F48"/>
    <mergeCell ref="D49:F49"/>
    <mergeCell ref="AI7:AJ7"/>
    <mergeCell ref="B9:B18"/>
    <mergeCell ref="B19:B20"/>
    <mergeCell ref="B21:B28"/>
    <mergeCell ref="W7:X7"/>
    <mergeCell ref="Y7:Z7"/>
    <mergeCell ref="AA7:AB7"/>
    <mergeCell ref="AC7:AD7"/>
    <mergeCell ref="AE7:AF7"/>
    <mergeCell ref="AG7:AH7"/>
    <mergeCell ref="K7:L7"/>
    <mergeCell ref="M7:N7"/>
    <mergeCell ref="O7:P7"/>
    <mergeCell ref="Q7:R7"/>
    <mergeCell ref="S7:T7"/>
    <mergeCell ref="U7:V7"/>
    <mergeCell ref="B56:D56"/>
    <mergeCell ref="G56:H56"/>
    <mergeCell ref="I57:J57"/>
    <mergeCell ref="K57:L57"/>
    <mergeCell ref="M57:N57"/>
    <mergeCell ref="O57:P57"/>
    <mergeCell ref="B50:F50"/>
    <mergeCell ref="B51:D51"/>
    <mergeCell ref="B52:H52"/>
    <mergeCell ref="B53:F53"/>
    <mergeCell ref="B54:H54"/>
    <mergeCell ref="B55:H55"/>
    <mergeCell ref="AG57:AH57"/>
    <mergeCell ref="AI57:AJ57"/>
    <mergeCell ref="AK57:AL57"/>
    <mergeCell ref="AM57:AN57"/>
    <mergeCell ref="Q57:R57"/>
    <mergeCell ref="S57:T57"/>
    <mergeCell ref="U57:V57"/>
    <mergeCell ref="W57:X57"/>
    <mergeCell ref="Y57:Z57"/>
    <mergeCell ref="AA57:AB57"/>
    <mergeCell ref="W58:X58"/>
    <mergeCell ref="B58:D58"/>
    <mergeCell ref="E58:E59"/>
    <mergeCell ref="F58:F59"/>
    <mergeCell ref="G58:H59"/>
    <mergeCell ref="I58:J58"/>
    <mergeCell ref="K58:L58"/>
    <mergeCell ref="AC57:AD57"/>
    <mergeCell ref="AE57:AF57"/>
    <mergeCell ref="B72:B73"/>
    <mergeCell ref="B74:D74"/>
    <mergeCell ref="B75:H75"/>
    <mergeCell ref="B76:F76"/>
    <mergeCell ref="B78:H78"/>
    <mergeCell ref="B79:D79"/>
    <mergeCell ref="G79:H79"/>
    <mergeCell ref="AK58:AL58"/>
    <mergeCell ref="AM58:AN58"/>
    <mergeCell ref="B60:B62"/>
    <mergeCell ref="B63:B64"/>
    <mergeCell ref="B65:B69"/>
    <mergeCell ref="B70:B71"/>
    <mergeCell ref="Y58:Z58"/>
    <mergeCell ref="AA58:AB58"/>
    <mergeCell ref="AC58:AD58"/>
    <mergeCell ref="AE58:AF58"/>
    <mergeCell ref="AG58:AH58"/>
    <mergeCell ref="AI58:AJ58"/>
    <mergeCell ref="M58:N58"/>
    <mergeCell ref="O58:P58"/>
    <mergeCell ref="Q58:R58"/>
    <mergeCell ref="S58:T58"/>
    <mergeCell ref="U58:V58"/>
  </mergeCells>
  <pageMargins left="0.7" right="0.7" top="0.75" bottom="0.75" header="0.3" footer="0.3"/>
  <pageSetup scale="5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5010AB-5E2A-4BE4-B40C-2F3CD48AB737}">
          <x14:formula1>
            <xm:f>'Glass CLF Calculation'!$A$41:$A$48</xm:f>
          </x14:formula1>
          <xm:sqref>Q3:R3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8F69-5C19-4B77-AF8C-CF72D861C15B}">
  <sheetPr>
    <pageSetUpPr fitToPage="1"/>
  </sheetPr>
  <dimension ref="B1:AN86"/>
  <sheetViews>
    <sheetView zoomScale="115" zoomScaleNormal="115" workbookViewId="0">
      <pane ySplit="7" topLeftCell="A46" activePane="bottomLeft" state="frozen"/>
      <selection activeCell="J9" sqref="J9:P9"/>
      <selection pane="bottomLeft" activeCell="Q3" sqref="Q3:R3"/>
    </sheetView>
  </sheetViews>
  <sheetFormatPr baseColWidth="10" defaultColWidth="9.1640625" defaultRowHeight="11" x14ac:dyDescent="0.15"/>
  <cols>
    <col min="1" max="1" width="2" style="1" customWidth="1"/>
    <col min="2" max="2" width="2.5" style="1" customWidth="1"/>
    <col min="3" max="3" width="4.5" style="1" bestFit="1" customWidth="1"/>
    <col min="4" max="4" width="7.83203125" style="1" customWidth="1"/>
    <col min="5" max="5" width="4.6640625" style="1" customWidth="1"/>
    <col min="6" max="6" width="5.33203125" style="1" customWidth="1"/>
    <col min="7" max="7" width="6.5" style="1" customWidth="1"/>
    <col min="8" max="8" width="9.1640625" style="1" customWidth="1"/>
    <col min="9" max="9" width="5.5" style="1" customWidth="1"/>
    <col min="10" max="10" width="5.83203125" style="1" customWidth="1"/>
    <col min="11" max="40" width="5.1640625" style="1" customWidth="1"/>
    <col min="41" max="16384" width="9.1640625" style="1"/>
  </cols>
  <sheetData>
    <row r="1" spans="2:40" x14ac:dyDescent="0.15">
      <c r="B1" s="1" t="s">
        <v>85</v>
      </c>
      <c r="E1" s="1" t="str">
        <f>Summary!F3</f>
        <v>Carillon</v>
      </c>
      <c r="M1" s="2" t="s">
        <v>87</v>
      </c>
      <c r="N1" s="235">
        <v>42998</v>
      </c>
      <c r="O1" s="235"/>
      <c r="P1" s="235"/>
      <c r="Q1" s="235"/>
      <c r="R1" s="235"/>
      <c r="T1" s="211" t="s">
        <v>93</v>
      </c>
      <c r="U1" s="211"/>
      <c r="V1" s="211"/>
      <c r="W1" s="5">
        <f>Summary!G10</f>
        <v>8.5</v>
      </c>
    </row>
    <row r="2" spans="2:40" x14ac:dyDescent="0.15">
      <c r="B2" s="1" t="s">
        <v>84</v>
      </c>
      <c r="E2" s="1" t="str">
        <f>Summary!F4</f>
        <v>Lawrenceville, GA</v>
      </c>
      <c r="M2" s="2" t="s">
        <v>88</v>
      </c>
      <c r="N2" s="228"/>
      <c r="O2" s="228"/>
      <c r="P2" s="228"/>
      <c r="Q2" s="228"/>
      <c r="R2" s="228"/>
    </row>
    <row r="3" spans="2:40" x14ac:dyDescent="0.15">
      <c r="B3" s="1" t="s">
        <v>2</v>
      </c>
      <c r="E3" s="1" t="str">
        <f>Summary!F5</f>
        <v>Millhaven GL</v>
      </c>
      <c r="M3" s="2" t="s">
        <v>89</v>
      </c>
      <c r="N3" s="4" t="s">
        <v>91</v>
      </c>
      <c r="O3" s="4"/>
      <c r="P3" s="4"/>
      <c r="Q3" s="230" t="s">
        <v>243</v>
      </c>
      <c r="R3" s="230"/>
      <c r="T3" s="211" t="s">
        <v>94</v>
      </c>
      <c r="U3" s="211"/>
      <c r="V3" s="211"/>
      <c r="W3" s="5">
        <v>1</v>
      </c>
    </row>
    <row r="4" spans="2:40" ht="12" customHeight="1" x14ac:dyDescent="0.15">
      <c r="E4" s="1" t="s">
        <v>86</v>
      </c>
      <c r="F4" s="2"/>
      <c r="G4" s="3">
        <f>SUM(I44:I46)</f>
        <v>0</v>
      </c>
      <c r="H4" s="2" t="s">
        <v>54</v>
      </c>
      <c r="I4" s="3">
        <f>I50</f>
        <v>0</v>
      </c>
      <c r="J4" s="2" t="s">
        <v>92</v>
      </c>
      <c r="K4" s="106">
        <f>G4/E56</f>
        <v>0</v>
      </c>
      <c r="M4" s="2" t="s">
        <v>90</v>
      </c>
      <c r="N4" s="4">
        <v>14</v>
      </c>
    </row>
    <row r="5" spans="2:40" ht="5.25" customHeight="1" thickBot="1" x14ac:dyDescent="0.2"/>
    <row r="6" spans="2:40" ht="13.5" customHeight="1" x14ac:dyDescent="0.15">
      <c r="B6" s="6"/>
      <c r="C6" s="7"/>
      <c r="D6" s="7"/>
      <c r="E6" s="7"/>
      <c r="F6" s="7"/>
      <c r="G6" s="7"/>
      <c r="H6" s="7"/>
      <c r="I6" s="259" t="s">
        <v>32</v>
      </c>
      <c r="J6" s="259"/>
      <c r="K6" s="205">
        <f>$W$1</f>
        <v>8.5</v>
      </c>
      <c r="L6" s="205"/>
      <c r="M6" s="205">
        <f t="shared" ref="M6" si="0">$W$1</f>
        <v>8.5</v>
      </c>
      <c r="N6" s="205"/>
      <c r="O6" s="205">
        <f t="shared" ref="O6" si="1">$W$1</f>
        <v>8.5</v>
      </c>
      <c r="P6" s="205"/>
      <c r="Q6" s="205">
        <f t="shared" ref="Q6" si="2">$W$1</f>
        <v>8.5</v>
      </c>
      <c r="R6" s="205"/>
      <c r="S6" s="205">
        <f t="shared" ref="S6" si="3">$W$1</f>
        <v>8.5</v>
      </c>
      <c r="T6" s="205"/>
      <c r="U6" s="205">
        <f t="shared" ref="U6" si="4">$W$1</f>
        <v>8.5</v>
      </c>
      <c r="V6" s="205"/>
      <c r="W6" s="205">
        <f t="shared" ref="W6" si="5">$W$1</f>
        <v>8.5</v>
      </c>
      <c r="X6" s="205"/>
      <c r="Y6" s="205">
        <f t="shared" ref="Y6" si="6">$W$1</f>
        <v>8.5</v>
      </c>
      <c r="Z6" s="205"/>
      <c r="AA6" s="205">
        <f t="shared" ref="AA6" si="7">$W$1</f>
        <v>8.5</v>
      </c>
      <c r="AB6" s="205"/>
      <c r="AC6" s="205">
        <f t="shared" ref="AC6" si="8">$W$1</f>
        <v>8.5</v>
      </c>
      <c r="AD6" s="205"/>
      <c r="AE6" s="205">
        <f t="shared" ref="AE6" si="9">$W$1</f>
        <v>8.5</v>
      </c>
      <c r="AF6" s="205"/>
      <c r="AG6" s="205">
        <f t="shared" ref="AG6:AK6" si="10">$W$1</f>
        <v>8.5</v>
      </c>
      <c r="AH6" s="205"/>
      <c r="AI6" s="205">
        <f t="shared" ref="AI6" si="11">$W$1</f>
        <v>8.5</v>
      </c>
      <c r="AJ6" s="205"/>
      <c r="AK6" s="205">
        <f t="shared" si="10"/>
        <v>8.5</v>
      </c>
      <c r="AL6" s="205"/>
      <c r="AM6" s="205">
        <f t="shared" ref="AM6" si="12">$W$1</f>
        <v>8.5</v>
      </c>
      <c r="AN6" s="205"/>
    </row>
    <row r="7" spans="2:40" s="9" customFormat="1" ht="36" customHeight="1" x14ac:dyDescent="0.2">
      <c r="B7" s="254" t="s">
        <v>0</v>
      </c>
      <c r="C7" s="255"/>
      <c r="D7" s="255"/>
      <c r="E7" s="256" t="s">
        <v>3</v>
      </c>
      <c r="F7" s="256" t="s">
        <v>4</v>
      </c>
      <c r="G7" s="255" t="s">
        <v>5</v>
      </c>
      <c r="H7" s="206"/>
      <c r="I7" s="255" t="s">
        <v>29</v>
      </c>
      <c r="J7" s="255"/>
      <c r="K7" s="255" t="str" cm="1">
        <f t="array" ref="K7">IFERROR(INDEX('Rooms Walls and Glass'!$D$7:$AB$7,MATCH(0,IF('Unit 3 a'!$Q$3='Rooms Walls and Glass'!$D$2:$AB$2,COUNTIF($E$1:$E1,'Rooms Walls and Glass'!E7:AB$7),""),0)),"")</f>
        <v/>
      </c>
      <c r="L7" s="255"/>
      <c r="M7" s="255" t="str" cm="1">
        <f t="array" ref="M7">IFERROR(INDEX('Rooms Walls and Glass'!$D$7:$AB$7,MATCH(0,IF('Unit 3 a'!$Q$3='Rooms Walls and Glass'!$D$2:$AB$2,COUNTIF(K7,'Rooms Walls and Glass'!D$7:$AB$7),""),0)),"")</f>
        <v/>
      </c>
      <c r="N7" s="255"/>
      <c r="O7" s="206" t="str" cm="1">
        <f t="array" ref="O7">IFERROR(INDEX('Rooms Walls and Glass'!$D$7:$AB$7,MATCH(0,IF('Unit 3 a'!$Q$3='Rooms Walls and Glass'!$D$2:$AB$2,COUNTIF(K7:M7,'Rooms Walls and Glass'!D$7:$AB$7),""),0)),"")</f>
        <v/>
      </c>
      <c r="P7" s="207"/>
      <c r="Q7" s="206" t="str" cm="1">
        <f t="array" ref="Q7">IFERROR(INDEX('Rooms Walls and Glass'!$D$7:$AB$7,MATCH(0,IF('Unit 3 a'!$Q$3='Rooms Walls and Glass'!$D$2:$AB$2,COUNTIF($K$7:O$7,'Rooms Walls and Glass'!D$7:$AB$7),""),0)),"")</f>
        <v/>
      </c>
      <c r="R7" s="207"/>
      <c r="S7" s="206" t="str" cm="1">
        <f t="array" ref="S7">IFERROR(INDEX('Rooms Walls and Glass'!$D$7:$AB$7,MATCH(0,IF('Unit 3 a'!$Q$3='Rooms Walls and Glass'!$D$2:$AB$2,COUNTIF($K$7:R$7,'Rooms Walls and Glass'!$D$7:$AB$7),""),0)),"")</f>
        <v/>
      </c>
      <c r="T7" s="207"/>
      <c r="U7" s="206" t="str" cm="1">
        <f t="array" ref="U7">IFERROR(INDEX('Rooms Walls and Glass'!$D$7:$AB$7,MATCH(0,IF('Unit 3 a'!$Q$3='Rooms Walls and Glass'!$D$2:$AB$2,COUNTIF($K$7:T$7,'Rooms Walls and Glass'!$D$7:$AB$7),""),0)),"")</f>
        <v/>
      </c>
      <c r="V7" s="207"/>
      <c r="W7" s="206" t="str" cm="1">
        <f t="array" ref="W7">IFERROR(INDEX('Rooms Walls and Glass'!$D$7:$AB$7,MATCH(0,IF('Unit 3 a'!$Q$3='Rooms Walls and Glass'!$D$2:$AB$2,COUNTIF($K$7:V$7,'Rooms Walls and Glass'!$D$7:$AB$7),""),0)),"")</f>
        <v/>
      </c>
      <c r="X7" s="207"/>
      <c r="Y7" s="206" t="str" cm="1">
        <f t="array" ref="Y7">IFERROR(INDEX('Rooms Walls and Glass'!$D$7:$AB$7,MATCH(0,IF('Unit 3 a'!$Q$3='Rooms Walls and Glass'!$D$2:$AB$2,COUNTIF($K$7:X$7,'Rooms Walls and Glass'!$D$7:$AB$7),""),0)),"")</f>
        <v/>
      </c>
      <c r="Z7" s="207"/>
      <c r="AA7" s="206" t="str" cm="1">
        <f t="array" ref="AA7">IFERROR(INDEX('Rooms Walls and Glass'!$D$7:$AB$7,MATCH(0,IF('Unit 3 a'!$Q$3='Rooms Walls and Glass'!$D$2:$AB$2,COUNTIF($K$7:Z$7,'Rooms Walls and Glass'!$D$7:$AB$7),""),0)),"")</f>
        <v/>
      </c>
      <c r="AB7" s="207"/>
      <c r="AC7" s="206" t="str" cm="1">
        <f t="array" ref="AC7">IFERROR(INDEX('Rooms Walls and Glass'!$D$7:$AB$7,MATCH(0,IF('Unit 3 a'!$Q$3='Rooms Walls and Glass'!$D$2:$AB$2,COUNTIF($K$7:AB$7,'Rooms Walls and Glass'!$D$7:$AB$7),""),0)),"")</f>
        <v/>
      </c>
      <c r="AD7" s="207"/>
      <c r="AE7" s="206" t="str" cm="1">
        <f t="array" ref="AE7">IFERROR(INDEX('Rooms Walls and Glass'!$D$7:$AB$7,MATCH(0,IF('Unit 3 a'!$Q$3='Rooms Walls and Glass'!$D$2:$AB$2,COUNTIF($K$7:AD$7,'Rooms Walls and Glass'!$D$7:$AB$7),""),0)),"")</f>
        <v/>
      </c>
      <c r="AF7" s="207"/>
      <c r="AG7" s="206" t="str" cm="1">
        <f t="array" ref="AG7">IFERROR(INDEX('Rooms Walls and Glass'!$D$7:$AB$7,MATCH(0,IF('Unit 3 a'!$Q$3='Rooms Walls and Glass'!$D$2:$AB$2,COUNTIF($K$7:AF$7,'Rooms Walls and Glass'!$D$7:$AB$7),""),0)),"")</f>
        <v/>
      </c>
      <c r="AH7" s="207"/>
      <c r="AI7" s="206" t="str" cm="1">
        <f t="array" ref="AI7">IFERROR(INDEX('Rooms Walls and Glass'!$D$7:$AB$7,MATCH(0,IF('Unit 3 a'!$Q$3='Rooms Walls and Glass'!$D$2:$AB$2,COUNTIF($K$7:AH$7,'Rooms Walls and Glass'!$D$7:$AB$7),""),0)),"")</f>
        <v/>
      </c>
      <c r="AJ7" s="207"/>
      <c r="AK7" s="206" t="str" cm="1">
        <f t="array" ref="AK7">IFERROR(INDEX('Rooms Walls and Glass'!$D$7:$AB$7,MATCH(0,IF('Unit 3 a'!$Q$3='Rooms Walls and Glass'!$D$2:$AB$2,COUNTIF($K$7:AJ$7,'Rooms Walls and Glass'!$D$7:$AB$7),""),0)),"")</f>
        <v/>
      </c>
      <c r="AL7" s="207"/>
      <c r="AM7" s="206" t="str" cm="1">
        <f t="array" ref="AM7">IFERROR(INDEX('Rooms Walls and Glass'!$D$7:$AB$7,MATCH(0,IF('Unit 3 a'!$Q$3='Rooms Walls and Glass'!$D$2:$AB$2,COUNTIF($K$7:AL$7,'Rooms Walls and Glass'!$D$7:$AB$7),""),0)),"")</f>
        <v/>
      </c>
      <c r="AN7" s="207"/>
    </row>
    <row r="8" spans="2:40" ht="11.25" customHeight="1" thickBot="1" x14ac:dyDescent="0.2">
      <c r="B8" s="40"/>
      <c r="C8" s="18" t="s">
        <v>1</v>
      </c>
      <c r="D8" s="18" t="s">
        <v>2</v>
      </c>
      <c r="E8" s="257"/>
      <c r="F8" s="257"/>
      <c r="G8" s="258"/>
      <c r="H8" s="258"/>
      <c r="I8" s="18" t="s">
        <v>30</v>
      </c>
      <c r="J8" s="18" t="s">
        <v>31</v>
      </c>
      <c r="K8" s="18" t="s">
        <v>30</v>
      </c>
      <c r="L8" s="18" t="s">
        <v>31</v>
      </c>
      <c r="M8" s="18" t="s">
        <v>30</v>
      </c>
      <c r="N8" s="18" t="s">
        <v>31</v>
      </c>
      <c r="O8" s="18" t="s">
        <v>30</v>
      </c>
      <c r="P8" s="18" t="s">
        <v>31</v>
      </c>
      <c r="Q8" s="18" t="s">
        <v>30</v>
      </c>
      <c r="R8" s="18" t="s">
        <v>31</v>
      </c>
      <c r="S8" s="18" t="s">
        <v>30</v>
      </c>
      <c r="T8" s="18" t="s">
        <v>31</v>
      </c>
      <c r="U8" s="18" t="s">
        <v>30</v>
      </c>
      <c r="V8" s="18" t="s">
        <v>31</v>
      </c>
      <c r="W8" s="18" t="s">
        <v>30</v>
      </c>
      <c r="X8" s="18" t="s">
        <v>31</v>
      </c>
      <c r="Y8" s="18" t="s">
        <v>30</v>
      </c>
      <c r="Z8" s="18" t="s">
        <v>31</v>
      </c>
      <c r="AA8" s="18" t="s">
        <v>30</v>
      </c>
      <c r="AB8" s="18" t="s">
        <v>31</v>
      </c>
      <c r="AC8" s="18" t="s">
        <v>30</v>
      </c>
      <c r="AD8" s="18" t="s">
        <v>31</v>
      </c>
      <c r="AE8" s="18" t="s">
        <v>30</v>
      </c>
      <c r="AF8" s="18" t="s">
        <v>31</v>
      </c>
      <c r="AG8" s="18" t="s">
        <v>30</v>
      </c>
      <c r="AH8" s="18" t="s">
        <v>31</v>
      </c>
      <c r="AI8" s="18" t="s">
        <v>30</v>
      </c>
      <c r="AJ8" s="34" t="s">
        <v>31</v>
      </c>
      <c r="AK8" s="18" t="s">
        <v>30</v>
      </c>
      <c r="AL8" s="18" t="s">
        <v>31</v>
      </c>
      <c r="AM8" s="18" t="s">
        <v>30</v>
      </c>
      <c r="AN8" s="34" t="s">
        <v>31</v>
      </c>
    </row>
    <row r="9" spans="2:40" ht="11.25" customHeight="1" thickBot="1" x14ac:dyDescent="0.2">
      <c r="B9" s="212" t="s">
        <v>77</v>
      </c>
      <c r="C9" s="12" t="s">
        <v>7</v>
      </c>
      <c r="D9" s="13" t="str">
        <f>'Rooms Walls and Glass'!A8</f>
        <v>NorthWest</v>
      </c>
      <c r="E9" s="13" t="s">
        <v>8</v>
      </c>
      <c r="F9" s="13" t="s">
        <v>9</v>
      </c>
      <c r="G9" s="103">
        <f>INDEX('Glass CLF Calculation'!$A$4:$G$11,MATCH('Unit 3 a'!D9,'Glass CLF Calculation'!$A$4:$A$11,0),7)</f>
        <v>18.306648888888887</v>
      </c>
      <c r="H9" s="13" t="s">
        <v>6</v>
      </c>
      <c r="I9" s="65">
        <f>SUM(K9,M9,O9,Q9,U9,W9,Y9,AA9,AC9,AE9,AG9,AI9,S9,AK9,AM9)</f>
        <v>0</v>
      </c>
      <c r="J9" s="65">
        <f>IF(I9="","-",I9*$G9)</f>
        <v>0</v>
      </c>
      <c r="K9" s="66" t="str">
        <f>IF(K$7="","",IF(INDEX('Rooms Walls and Glass'!$D$3:$AB$17, MATCH($D9,'Rooms Walls and Glass'!$A$3:$A$17,0), MATCH('Unit 3 a'!K$7,'Rooms Walls and Glass'!$D$1:$AB$1,0))=0,"",INDEX('Rooms Walls and Glass'!$D$3:$AB$17, MATCH($D9,'Rooms Walls and Glass'!$A$3:$A$17,0), MATCH('Unit 3 a'!K$7,'Rooms Walls and Glass'!$D$1:$AB$1,0))))</f>
        <v/>
      </c>
      <c r="L9" s="65" t="str">
        <f>IF(K9="","-",K9*$G9)</f>
        <v>-</v>
      </c>
      <c r="M9" s="66" t="str">
        <f>IF(M$7="","",IF(INDEX('Rooms Walls and Glass'!$D$3:$AB$17, MATCH($D9,'Rooms Walls and Glass'!$A$3:$A$17,0), MATCH('Unit 3 a'!M$7,'Rooms Walls and Glass'!$D$1:$AB$1,0))=0,"",INDEX('Rooms Walls and Glass'!$D$3:$AB$17, MATCH($D9,'Rooms Walls and Glass'!$A$3:$A$17,0), MATCH('Unit 3 a'!M$7,'Rooms Walls and Glass'!$D$1:$AB$1,0))))</f>
        <v/>
      </c>
      <c r="N9" s="65" t="str">
        <f>IF(M9="","-",M9*$G9)</f>
        <v>-</v>
      </c>
      <c r="O9" s="66" t="str">
        <f>IF(O$7="","",IF(INDEX('Rooms Walls and Glass'!$D$3:$AB$17, MATCH($D9,'Rooms Walls and Glass'!$A$3:$A$17,0), MATCH('Unit 3 a'!O$7,'Rooms Walls and Glass'!$D$1:$AB$1,0))=0,"",INDEX('Rooms Walls and Glass'!$D$3:$AB$17, MATCH($D9,'Rooms Walls and Glass'!$A$3:$A$17,0), MATCH('Unit 3 a'!O$7,'Rooms Walls and Glass'!$D$1:$AB$1,0))))</f>
        <v/>
      </c>
      <c r="P9" s="65" t="str">
        <f>IF(O9="","-",O9*$G9)</f>
        <v>-</v>
      </c>
      <c r="Q9" s="66" t="str">
        <f>IF(Q$7="","",IF(INDEX('Rooms Walls and Glass'!$D$3:$AB$17, MATCH($D9,'Rooms Walls and Glass'!$A$3:$A$17,0), MATCH('Unit 3 a'!Q$7,'Rooms Walls and Glass'!$D$1:$AB$1,0))=0,"",INDEX('Rooms Walls and Glass'!$D$3:$AB$17, MATCH($D9,'Rooms Walls and Glass'!$A$3:$A$17,0), MATCH('Unit 3 a'!Q$7,'Rooms Walls and Glass'!$D$1:$AB$1,0))))</f>
        <v/>
      </c>
      <c r="R9" s="65" t="str">
        <f>IF(Q9="","-",Q9*$G9)</f>
        <v>-</v>
      </c>
      <c r="S9" s="66" t="str">
        <f>IF(S$7="","",IF(INDEX('Rooms Walls and Glass'!$D$3:$AB$17, MATCH($D9,'Rooms Walls and Glass'!$A$3:$A$17,0), MATCH('Unit 3 a'!S$7,'Rooms Walls and Glass'!$D$1:$AB$1,0))=0,"",INDEX('Rooms Walls and Glass'!$D$3:$AB$17, MATCH($D9,'Rooms Walls and Glass'!$A$3:$A$17,0), MATCH('Unit 3 a'!S$7,'Rooms Walls and Glass'!$D$1:$AB$1,0))))</f>
        <v/>
      </c>
      <c r="T9" s="65" t="str">
        <f>IF(S9="","-",S9*$G9)</f>
        <v>-</v>
      </c>
      <c r="U9" s="66" t="str">
        <f>IF(U$7="","",IF(INDEX('Rooms Walls and Glass'!$D$3:$AB$17, MATCH($D9,'Rooms Walls and Glass'!$A$3:$A$17,0), MATCH('Unit 3 a'!U$7,'Rooms Walls and Glass'!$D$1:$AB$1,0))=0,"",INDEX('Rooms Walls and Glass'!$D$3:$AB$17, MATCH($D9,'Rooms Walls and Glass'!$A$3:$A$17,0), MATCH('Unit 3 a'!U$7,'Rooms Walls and Glass'!$D$1:$AB$1,0))))</f>
        <v/>
      </c>
      <c r="V9" s="65" t="str">
        <f>IF(U9="","-",U9*$G9)</f>
        <v>-</v>
      </c>
      <c r="W9" s="66" t="str">
        <f>IF(W$7="","",IF(INDEX('Rooms Walls and Glass'!$D$3:$AB$17, MATCH($D9,'Rooms Walls and Glass'!$A$3:$A$17,0), MATCH('Unit 3 a'!W$7,'Rooms Walls and Glass'!$D$1:$AB$1,0))=0,"",INDEX('Rooms Walls and Glass'!$D$3:$AB$17, MATCH($D9,'Rooms Walls and Glass'!$A$3:$A$17,0), MATCH('Unit 3 a'!W$7,'Rooms Walls and Glass'!$D$1:$AB$1,0))))</f>
        <v/>
      </c>
      <c r="X9" s="65" t="str">
        <f>IF(W9="","-",W9*$G9)</f>
        <v>-</v>
      </c>
      <c r="Y9" s="66" t="str">
        <f>IF(Y$7="","",IF(INDEX('Rooms Walls and Glass'!$D$3:$AB$17, MATCH($D9,'Rooms Walls and Glass'!$A$3:$A$17,0), MATCH('Unit 3 a'!Y$7,'Rooms Walls and Glass'!$D$1:$AB$1,0))=0,"",INDEX('Rooms Walls and Glass'!$D$3:$AB$17, MATCH($D9,'Rooms Walls and Glass'!$A$3:$A$17,0), MATCH('Unit 3 a'!Y$7,'Rooms Walls and Glass'!$D$1:$AB$1,0))))</f>
        <v/>
      </c>
      <c r="Z9" s="65" t="str">
        <f>IF(Y9="","-",Y9*$G9)</f>
        <v>-</v>
      </c>
      <c r="AA9" s="66" t="str">
        <f>IF(AA$7="","",IF(INDEX('Rooms Walls and Glass'!$D$3:$AB$17, MATCH($D9,'Rooms Walls and Glass'!$A$3:$A$17,0), MATCH('Unit 3 a'!AA$7,'Rooms Walls and Glass'!$D$1:$AB$1,0))=0,"",INDEX('Rooms Walls and Glass'!$D$3:$AB$17, MATCH($D9,'Rooms Walls and Glass'!$A$3:$A$17,0), MATCH('Unit 3 a'!AA$7,'Rooms Walls and Glass'!$D$1:$AB$1,0))))</f>
        <v/>
      </c>
      <c r="AB9" s="65" t="str">
        <f>IF(AA9="","-",AA9*$G9)</f>
        <v>-</v>
      </c>
      <c r="AC9" s="66" t="str">
        <f>IF(AC$7="","",IF(INDEX('Rooms Walls and Glass'!$D$3:$AB$17, MATCH($D9,'Rooms Walls and Glass'!$A$3:$A$17,0), MATCH('Unit 3 a'!AC$7,'Rooms Walls and Glass'!$D$1:$AB$1,0))=0,"",INDEX('Rooms Walls and Glass'!$D$3:$AB$17, MATCH($D9,'Rooms Walls and Glass'!$A$3:$A$17,0), MATCH('Unit 3 a'!AC$7,'Rooms Walls and Glass'!$D$1:$AB$1,0))))</f>
        <v/>
      </c>
      <c r="AD9" s="65" t="str">
        <f>IF(AC9="","-",AC9*$G9)</f>
        <v>-</v>
      </c>
      <c r="AE9" s="66" t="str">
        <f>IF(AE$7="","",IF(INDEX('Rooms Walls and Glass'!$D$3:$AB$17, MATCH($D9,'Rooms Walls and Glass'!$A$3:$A$17,0), MATCH('Unit 3 a'!AE$7,'Rooms Walls and Glass'!$D$1:$AB$1,0))=0,"",INDEX('Rooms Walls and Glass'!$D$3:$AB$17, MATCH($D9,'Rooms Walls and Glass'!$A$3:$A$17,0), MATCH('Unit 3 a'!AE$7,'Rooms Walls and Glass'!$D$1:$AB$1,0))))</f>
        <v/>
      </c>
      <c r="AF9" s="65" t="str">
        <f>IF(AE9="","-",AE9*$G9)</f>
        <v>-</v>
      </c>
      <c r="AG9" s="66" t="str">
        <f>IF(AG$7="","",IF(INDEX('Rooms Walls and Glass'!$D$3:$AB$17, MATCH($D9,'Rooms Walls and Glass'!$A$3:$A$17,0), MATCH('Unit 3 a'!AG$7,'Rooms Walls and Glass'!$D$1:$AB$1,0))=0,"",INDEX('Rooms Walls and Glass'!$D$3:$AB$17, MATCH($D9,'Rooms Walls and Glass'!$A$3:$A$17,0), MATCH('Unit 3 a'!AG$7,'Rooms Walls and Glass'!$D$1:$AB$1,0))))</f>
        <v/>
      </c>
      <c r="AH9" s="65" t="str">
        <f>IF(AG9="","-",AG9*$G9)</f>
        <v>-</v>
      </c>
      <c r="AI9" s="66" t="str">
        <f>IF(AI$7="","",IF(INDEX('Rooms Walls and Glass'!$D$3:$AB$17, MATCH($D9,'Rooms Walls and Glass'!$A$3:$A$17,0), MATCH('Unit 3 a'!AI$7,'Rooms Walls and Glass'!$D$1:$AB$1,0))=0,"",INDEX('Rooms Walls and Glass'!$D$3:$AB$17, MATCH($D9,'Rooms Walls and Glass'!$A$3:$A$17,0), MATCH('Unit 3 a'!AI$7,'Rooms Walls and Glass'!$D$1:$AB$1,0))))</f>
        <v/>
      </c>
      <c r="AJ9" s="67" t="str">
        <f>IF(AI9="","-",AI9*$G9)</f>
        <v>-</v>
      </c>
      <c r="AK9" s="66" t="str">
        <f>IF(AK$7="","",IF(INDEX('Rooms Walls and Glass'!$D$3:$AB$17, MATCH($D9,'Rooms Walls and Glass'!$A$3:$A$17,0), MATCH('Unit 3 a'!AK$7,'Rooms Walls and Glass'!$D$1:$AB$1,0))=0,"",INDEX('Rooms Walls and Glass'!$D$3:$AB$17, MATCH($D9,'Rooms Walls and Glass'!$A$3:$A$17,0), MATCH('Unit 3 a'!AK$7,'Rooms Walls and Glass'!$D$1:$AB$1,0))))</f>
        <v/>
      </c>
      <c r="AL9" s="65" t="str">
        <f>IF(AK9="","-",AK9*$G9)</f>
        <v>-</v>
      </c>
      <c r="AM9" s="66" t="str">
        <f>IF(AM$7="","",IF(INDEX('Rooms Walls and Glass'!$D$3:$AB$17, MATCH($D9,'Rooms Walls and Glass'!$A$3:$A$17,0), MATCH('Unit 3 a'!AM$7,'Rooms Walls and Glass'!$D$1:$AB$1,0))=0,"",INDEX('Rooms Walls and Glass'!$D$3:$AB$17, MATCH($D9,'Rooms Walls and Glass'!$A$3:$A$17,0), MATCH('Unit 3 a'!AM$7,'Rooms Walls and Glass'!$D$1:$AB$1,0))))</f>
        <v/>
      </c>
      <c r="AN9" s="67" t="str">
        <f>IF(AM9="","-",AM9*$G9)</f>
        <v>-</v>
      </c>
    </row>
    <row r="10" spans="2:40" ht="11.25" customHeight="1" thickBot="1" x14ac:dyDescent="0.2">
      <c r="B10" s="214"/>
      <c r="C10" s="15" t="s">
        <v>7</v>
      </c>
      <c r="D10" s="13" t="str">
        <f>'Rooms Walls and Glass'!A9</f>
        <v>North</v>
      </c>
      <c r="E10" s="16"/>
      <c r="F10" s="16" t="s">
        <v>10</v>
      </c>
      <c r="G10" s="103">
        <f>INDEX('Glass CLF Calculation'!$A$4:$G$11,MATCH('Unit 3 a'!D10,'Glass CLF Calculation'!$A$4:$A$11,0),7)</f>
        <v>6.2012662222222215</v>
      </c>
      <c r="H10" s="16" t="s">
        <v>6</v>
      </c>
      <c r="I10" s="65">
        <f t="shared" ref="I10:I46" si="13">SUM(K10,M10,O10,Q10,U10,W10,Y10,AA10,AC10,AE10,AG10,AI10,S10,AK10,AM10)</f>
        <v>0</v>
      </c>
      <c r="J10" s="68">
        <f t="shared" ref="J10:J49" si="14">IF(I10="","-",I10*$G10)</f>
        <v>0</v>
      </c>
      <c r="K10" s="66" t="str">
        <f>IF(K$7="","",IF(INDEX('Rooms Walls and Glass'!$D$3:$AB$17, MATCH($D10,'Rooms Walls and Glass'!$A$3:$A$17,0), MATCH('Unit 3 a'!K$7,'Rooms Walls and Glass'!$D$1:$AB$1,0))=0,"",INDEX('Rooms Walls and Glass'!$D$3:$AB$17, MATCH($D10,'Rooms Walls and Glass'!$A$3:$A$17,0), MATCH('Unit 3 a'!K$7,'Rooms Walls and Glass'!$D$1:$AB$1,0))))</f>
        <v/>
      </c>
      <c r="L10" s="68" t="str">
        <f t="shared" ref="L10:L55" si="15">IF(K10="","-",K10*$G10)</f>
        <v>-</v>
      </c>
      <c r="M10" s="66" t="str">
        <f>IF(M$7="","",IF(INDEX('Rooms Walls and Glass'!$D$3:$AB$17, MATCH($D10,'Rooms Walls and Glass'!$A$3:$A$17,0), MATCH('Unit 3 a'!M$7,'Rooms Walls and Glass'!$D$1:$AB$1,0))=0,"",INDEX('Rooms Walls and Glass'!$D$3:$AB$17, MATCH($D10,'Rooms Walls and Glass'!$A$3:$A$17,0), MATCH('Unit 3 a'!M$7,'Rooms Walls and Glass'!$D$1:$AB$1,0))))</f>
        <v/>
      </c>
      <c r="N10" s="68" t="str">
        <f t="shared" ref="N10:N55" si="16">IF(M10="","-",M10*$G10)</f>
        <v>-</v>
      </c>
      <c r="O10" s="66" t="str">
        <f>IF(O$7="","",IF(INDEX('Rooms Walls and Glass'!$D$3:$AB$17, MATCH($D10,'Rooms Walls and Glass'!$A$3:$A$17,0), MATCH('Unit 3 a'!O$7,'Rooms Walls and Glass'!$D$1:$AB$1,0))=0,"",INDEX('Rooms Walls and Glass'!$D$3:$AB$17, MATCH($D10,'Rooms Walls and Glass'!$A$3:$A$17,0), MATCH('Unit 3 a'!O$7,'Rooms Walls and Glass'!$D$1:$AB$1,0))))</f>
        <v/>
      </c>
      <c r="P10" s="68" t="str">
        <f t="shared" ref="P10:P55" si="17">IF(O10="","-",O10*$G10)</f>
        <v>-</v>
      </c>
      <c r="Q10" s="66" t="str">
        <f>IF(Q$7="","",IF(INDEX('Rooms Walls and Glass'!$D$3:$AB$17, MATCH($D10,'Rooms Walls and Glass'!$A$3:$A$17,0), MATCH('Unit 3 a'!Q$7,'Rooms Walls and Glass'!$D$1:$AB$1,0))=0,"",INDEX('Rooms Walls and Glass'!$D$3:$AB$17, MATCH($D10,'Rooms Walls and Glass'!$A$3:$A$17,0), MATCH('Unit 3 a'!Q$7,'Rooms Walls and Glass'!$D$1:$AB$1,0))))</f>
        <v/>
      </c>
      <c r="R10" s="68" t="str">
        <f t="shared" ref="R10:R55" si="18">IF(Q10="","-",Q10*$G10)</f>
        <v>-</v>
      </c>
      <c r="S10" s="66" t="str">
        <f>IF(S$7="","",IF(INDEX('Rooms Walls and Glass'!$D$3:$AB$17, MATCH($D10,'Rooms Walls and Glass'!$A$3:$A$17,0), MATCH('Unit 3 a'!S$7,'Rooms Walls and Glass'!$D$1:$AB$1,0))=0,"",INDEX('Rooms Walls and Glass'!$D$3:$AB$17, MATCH($D10,'Rooms Walls and Glass'!$A$3:$A$17,0), MATCH('Unit 3 a'!S$7,'Rooms Walls and Glass'!$D$1:$AB$1,0))))</f>
        <v/>
      </c>
      <c r="T10" s="68" t="str">
        <f t="shared" ref="T10:T55" si="19">IF(S10="","-",S10*$G10)</f>
        <v>-</v>
      </c>
      <c r="U10" s="66" t="str">
        <f>IF(U$7="","",IF(INDEX('Rooms Walls and Glass'!$D$3:$AB$17, MATCH($D10,'Rooms Walls and Glass'!$A$3:$A$17,0), MATCH('Unit 3 a'!U$7,'Rooms Walls and Glass'!$D$1:$AB$1,0))=0,"",INDEX('Rooms Walls and Glass'!$D$3:$AB$17, MATCH($D10,'Rooms Walls and Glass'!$A$3:$A$17,0), MATCH('Unit 3 a'!U$7,'Rooms Walls and Glass'!$D$1:$AB$1,0))))</f>
        <v/>
      </c>
      <c r="V10" s="68" t="str">
        <f t="shared" ref="V10:V55" si="20">IF(U10="","-",U10*$G10)</f>
        <v>-</v>
      </c>
      <c r="W10" s="66" t="str">
        <f>IF(W$7="","",IF(INDEX('Rooms Walls and Glass'!$D$3:$AB$17, MATCH($D10,'Rooms Walls and Glass'!$A$3:$A$17,0), MATCH('Unit 3 a'!W$7,'Rooms Walls and Glass'!$D$1:$AB$1,0))=0,"",INDEX('Rooms Walls and Glass'!$D$3:$AB$17, MATCH($D10,'Rooms Walls and Glass'!$A$3:$A$17,0), MATCH('Unit 3 a'!W$7,'Rooms Walls and Glass'!$D$1:$AB$1,0))))</f>
        <v/>
      </c>
      <c r="X10" s="68" t="str">
        <f t="shared" ref="X10:X55" si="21">IF(W10="","-",W10*$G10)</f>
        <v>-</v>
      </c>
      <c r="Y10" s="66" t="str">
        <f>IF(Y$7="","",IF(INDEX('Rooms Walls and Glass'!$D$3:$AB$17, MATCH($D10,'Rooms Walls and Glass'!$A$3:$A$17,0), MATCH('Unit 3 a'!Y$7,'Rooms Walls and Glass'!$D$1:$AB$1,0))=0,"",INDEX('Rooms Walls and Glass'!$D$3:$AB$17, MATCH($D10,'Rooms Walls and Glass'!$A$3:$A$17,0), MATCH('Unit 3 a'!Y$7,'Rooms Walls and Glass'!$D$1:$AB$1,0))))</f>
        <v/>
      </c>
      <c r="Z10" s="68" t="str">
        <f t="shared" ref="Z10:Z55" si="22">IF(Y10="","-",Y10*$G10)</f>
        <v>-</v>
      </c>
      <c r="AA10" s="66" t="str">
        <f>IF(AA$7="","",IF(INDEX('Rooms Walls and Glass'!$D$3:$AB$17, MATCH($D10,'Rooms Walls and Glass'!$A$3:$A$17,0), MATCH('Unit 3 a'!AA$7,'Rooms Walls and Glass'!$D$1:$AB$1,0))=0,"",INDEX('Rooms Walls and Glass'!$D$3:$AB$17, MATCH($D10,'Rooms Walls and Glass'!$A$3:$A$17,0), MATCH('Unit 3 a'!AA$7,'Rooms Walls and Glass'!$D$1:$AB$1,0))))</f>
        <v/>
      </c>
      <c r="AB10" s="68" t="str">
        <f t="shared" ref="AB10:AB55" si="23">IF(AA10="","-",AA10*$G10)</f>
        <v>-</v>
      </c>
      <c r="AC10" s="66" t="str">
        <f>IF(AC$7="","",IF(INDEX('Rooms Walls and Glass'!$D$3:$AB$17, MATCH($D10,'Rooms Walls and Glass'!$A$3:$A$17,0), MATCH('Unit 3 a'!AC$7,'Rooms Walls and Glass'!$D$1:$AB$1,0))=0,"",INDEX('Rooms Walls and Glass'!$D$3:$AB$17, MATCH($D10,'Rooms Walls and Glass'!$A$3:$A$17,0), MATCH('Unit 3 a'!AC$7,'Rooms Walls and Glass'!$D$1:$AB$1,0))))</f>
        <v/>
      </c>
      <c r="AD10" s="68" t="str">
        <f t="shared" ref="AD10:AF25" si="24">IF(AC10="","-",AC10*$G10)</f>
        <v>-</v>
      </c>
      <c r="AE10" s="66" t="str">
        <f>IF(AE$7="","",IF(INDEX('Rooms Walls and Glass'!$D$3:$AB$17, MATCH($D10,'Rooms Walls and Glass'!$A$3:$A$17,0), MATCH('Unit 3 a'!AE$7,'Rooms Walls and Glass'!$D$1:$AB$1,0))=0,"",INDEX('Rooms Walls and Glass'!$D$3:$AB$17, MATCH($D10,'Rooms Walls and Glass'!$A$3:$A$17,0), MATCH('Unit 3 a'!AE$7,'Rooms Walls and Glass'!$D$1:$AB$1,0))))</f>
        <v/>
      </c>
      <c r="AF10" s="68" t="str">
        <f t="shared" si="24"/>
        <v>-</v>
      </c>
      <c r="AG10" s="66" t="str">
        <f>IF(AG$7="","",IF(INDEX('Rooms Walls and Glass'!$D$3:$AB$17, MATCH($D10,'Rooms Walls and Glass'!$A$3:$A$17,0), MATCH('Unit 3 a'!AG$7,'Rooms Walls and Glass'!$D$1:$AB$1,0))=0,"",INDEX('Rooms Walls and Glass'!$D$3:$AB$17, MATCH($D10,'Rooms Walls and Glass'!$A$3:$A$17,0), MATCH('Unit 3 a'!AG$7,'Rooms Walls and Glass'!$D$1:$AB$1,0))))</f>
        <v/>
      </c>
      <c r="AH10" s="68" t="str">
        <f t="shared" ref="AH10:AH55" si="25">IF(AG10="","-",AG10*$G10)</f>
        <v>-</v>
      </c>
      <c r="AI10" s="66" t="str">
        <f>IF(AI$7="","",IF(INDEX('Rooms Walls and Glass'!$D$3:$AB$17, MATCH($D10,'Rooms Walls and Glass'!$A$3:$A$17,0), MATCH('Unit 3 a'!AI$7,'Rooms Walls and Glass'!$D$1:$AB$1,0))=0,"",INDEX('Rooms Walls and Glass'!$D$3:$AB$17, MATCH($D10,'Rooms Walls and Glass'!$A$3:$A$17,0), MATCH('Unit 3 a'!AI$7,'Rooms Walls and Glass'!$D$1:$AB$1,0))))</f>
        <v/>
      </c>
      <c r="AJ10" s="69" t="str">
        <f t="shared" ref="AJ10:AJ55" si="26">IF(AI10="","-",AI10*$G10)</f>
        <v>-</v>
      </c>
      <c r="AK10" s="66" t="str">
        <f>IF(AK$7="","",IF(INDEX('Rooms Walls and Glass'!$D$3:$AB$17, MATCH($D10,'Rooms Walls and Glass'!$A$3:$A$17,0), MATCH('Unit 3 a'!AK$7,'Rooms Walls and Glass'!$D$1:$AB$1,0))=0,"",INDEX('Rooms Walls and Glass'!$D$3:$AB$17, MATCH($D10,'Rooms Walls and Glass'!$A$3:$A$17,0), MATCH('Unit 3 a'!AK$7,'Rooms Walls and Glass'!$D$1:$AB$1,0))))</f>
        <v/>
      </c>
      <c r="AL10" s="68" t="str">
        <f t="shared" ref="AL10:AL47" si="27">IF(AK10="","-",AK10*$G10)</f>
        <v>-</v>
      </c>
      <c r="AM10" s="66" t="str">
        <f>IF(AM$7="","",IF(INDEX('Rooms Walls and Glass'!$D$3:$AB$17, MATCH($D10,'Rooms Walls and Glass'!$A$3:$A$17,0), MATCH('Unit 3 a'!AM$7,'Rooms Walls and Glass'!$D$1:$AB$1,0))=0,"",INDEX('Rooms Walls and Glass'!$D$3:$AB$17, MATCH($D10,'Rooms Walls and Glass'!$A$3:$A$17,0), MATCH('Unit 3 a'!AM$7,'Rooms Walls and Glass'!$D$1:$AB$1,0))))</f>
        <v/>
      </c>
      <c r="AN10" s="69" t="str">
        <f t="shared" ref="AN10:AN47" si="28">IF(AM10="","-",AM10*$G10)</f>
        <v>-</v>
      </c>
    </row>
    <row r="11" spans="2:40" ht="11.25" customHeight="1" thickBot="1" x14ac:dyDescent="0.2">
      <c r="B11" s="214"/>
      <c r="C11" s="15" t="s">
        <v>7</v>
      </c>
      <c r="D11" s="13" t="str">
        <f>'Rooms Walls and Glass'!A10</f>
        <v>NorthEast</v>
      </c>
      <c r="E11" s="16" t="s">
        <v>17</v>
      </c>
      <c r="F11" s="16" t="s">
        <v>11</v>
      </c>
      <c r="G11" s="103">
        <f>INDEX('Glass CLF Calculation'!$A$4:$G$11,MATCH('Unit 3 a'!D11,'Glass CLF Calculation'!$A$4:$A$11,0),7)</f>
        <v>7.8267093333333335</v>
      </c>
      <c r="H11" s="16" t="s">
        <v>6</v>
      </c>
      <c r="I11" s="65">
        <f t="shared" si="13"/>
        <v>0</v>
      </c>
      <c r="J11" s="68">
        <f t="shared" si="14"/>
        <v>0</v>
      </c>
      <c r="K11" s="66" t="str">
        <f>IF(K$7="","",IF(INDEX('Rooms Walls and Glass'!$D$3:$AB$17, MATCH($D11,'Rooms Walls and Glass'!$A$3:$A$17,0), MATCH('Unit 3 a'!K$7,'Rooms Walls and Glass'!$D$1:$AB$1,0))=0,"",INDEX('Rooms Walls and Glass'!$D$3:$AB$17, MATCH($D11,'Rooms Walls and Glass'!$A$3:$A$17,0), MATCH('Unit 3 a'!K$7,'Rooms Walls and Glass'!$D$1:$AB$1,0))))</f>
        <v/>
      </c>
      <c r="L11" s="68" t="str">
        <f t="shared" si="15"/>
        <v>-</v>
      </c>
      <c r="M11" s="66" t="str">
        <f>IF(M$7="","",IF(INDEX('Rooms Walls and Glass'!$D$3:$AB$17, MATCH($D11,'Rooms Walls and Glass'!$A$3:$A$17,0), MATCH('Unit 3 a'!M$7,'Rooms Walls and Glass'!$D$1:$AB$1,0))=0,"",INDEX('Rooms Walls and Glass'!$D$3:$AB$17, MATCH($D11,'Rooms Walls and Glass'!$A$3:$A$17,0), MATCH('Unit 3 a'!M$7,'Rooms Walls and Glass'!$D$1:$AB$1,0))))</f>
        <v/>
      </c>
      <c r="N11" s="68" t="str">
        <f t="shared" si="16"/>
        <v>-</v>
      </c>
      <c r="O11" s="66" t="str">
        <f>IF(O$7="","",IF(INDEX('Rooms Walls and Glass'!$D$3:$AB$17, MATCH($D11,'Rooms Walls and Glass'!$A$3:$A$17,0), MATCH('Unit 3 a'!O$7,'Rooms Walls and Glass'!$D$1:$AB$1,0))=0,"",INDEX('Rooms Walls and Glass'!$D$3:$AB$17, MATCH($D11,'Rooms Walls and Glass'!$A$3:$A$17,0), MATCH('Unit 3 a'!O$7,'Rooms Walls and Glass'!$D$1:$AB$1,0))))</f>
        <v/>
      </c>
      <c r="P11" s="68" t="str">
        <f t="shared" si="17"/>
        <v>-</v>
      </c>
      <c r="Q11" s="66" t="str">
        <f>IF(Q$7="","",IF(INDEX('Rooms Walls and Glass'!$D$3:$AB$17, MATCH($D11,'Rooms Walls and Glass'!$A$3:$A$17,0), MATCH('Unit 3 a'!Q$7,'Rooms Walls and Glass'!$D$1:$AB$1,0))=0,"",INDEX('Rooms Walls and Glass'!$D$3:$AB$17, MATCH($D11,'Rooms Walls and Glass'!$A$3:$A$17,0), MATCH('Unit 3 a'!Q$7,'Rooms Walls and Glass'!$D$1:$AB$1,0))))</f>
        <v/>
      </c>
      <c r="R11" s="68" t="str">
        <f t="shared" si="18"/>
        <v>-</v>
      </c>
      <c r="S11" s="66" t="str">
        <f>IF(S$7="","",IF(INDEX('Rooms Walls and Glass'!$D$3:$AB$17, MATCH($D11,'Rooms Walls and Glass'!$A$3:$A$17,0), MATCH('Unit 3 a'!S$7,'Rooms Walls and Glass'!$D$1:$AB$1,0))=0,"",INDEX('Rooms Walls and Glass'!$D$3:$AB$17, MATCH($D11,'Rooms Walls and Glass'!$A$3:$A$17,0), MATCH('Unit 3 a'!S$7,'Rooms Walls and Glass'!$D$1:$AB$1,0))))</f>
        <v/>
      </c>
      <c r="T11" s="68" t="str">
        <f t="shared" si="19"/>
        <v>-</v>
      </c>
      <c r="U11" s="66" t="str">
        <f>IF(U$7="","",IF(INDEX('Rooms Walls and Glass'!$D$3:$AB$17, MATCH($D11,'Rooms Walls and Glass'!$A$3:$A$17,0), MATCH('Unit 3 a'!U$7,'Rooms Walls and Glass'!$D$1:$AB$1,0))=0,"",INDEX('Rooms Walls and Glass'!$D$3:$AB$17, MATCH($D11,'Rooms Walls and Glass'!$A$3:$A$17,0), MATCH('Unit 3 a'!U$7,'Rooms Walls and Glass'!$D$1:$AB$1,0))))</f>
        <v/>
      </c>
      <c r="V11" s="68" t="str">
        <f t="shared" si="20"/>
        <v>-</v>
      </c>
      <c r="W11" s="66" t="str">
        <f>IF(W$7="","",IF(INDEX('Rooms Walls and Glass'!$D$3:$AB$17, MATCH($D11,'Rooms Walls and Glass'!$A$3:$A$17,0), MATCH('Unit 3 a'!W$7,'Rooms Walls and Glass'!$D$1:$AB$1,0))=0,"",INDEX('Rooms Walls and Glass'!$D$3:$AB$17, MATCH($D11,'Rooms Walls and Glass'!$A$3:$A$17,0), MATCH('Unit 3 a'!W$7,'Rooms Walls and Glass'!$D$1:$AB$1,0))))</f>
        <v/>
      </c>
      <c r="X11" s="68" t="str">
        <f t="shared" si="21"/>
        <v>-</v>
      </c>
      <c r="Y11" s="66" t="str">
        <f>IF(Y$7="","",IF(INDEX('Rooms Walls and Glass'!$D$3:$AB$17, MATCH($D11,'Rooms Walls and Glass'!$A$3:$A$17,0), MATCH('Unit 3 a'!Y$7,'Rooms Walls and Glass'!$D$1:$AB$1,0))=0,"",INDEX('Rooms Walls and Glass'!$D$3:$AB$17, MATCH($D11,'Rooms Walls and Glass'!$A$3:$A$17,0), MATCH('Unit 3 a'!Y$7,'Rooms Walls and Glass'!$D$1:$AB$1,0))))</f>
        <v/>
      </c>
      <c r="Z11" s="68" t="str">
        <f t="shared" si="22"/>
        <v>-</v>
      </c>
      <c r="AA11" s="66" t="str">
        <f>IF(AA$7="","",IF(INDEX('Rooms Walls and Glass'!$D$3:$AB$17, MATCH($D11,'Rooms Walls and Glass'!$A$3:$A$17,0), MATCH('Unit 3 a'!AA$7,'Rooms Walls and Glass'!$D$1:$AB$1,0))=0,"",INDEX('Rooms Walls and Glass'!$D$3:$AB$17, MATCH($D11,'Rooms Walls and Glass'!$A$3:$A$17,0), MATCH('Unit 3 a'!AA$7,'Rooms Walls and Glass'!$D$1:$AB$1,0))))</f>
        <v/>
      </c>
      <c r="AB11" s="68" t="str">
        <f t="shared" si="23"/>
        <v>-</v>
      </c>
      <c r="AC11" s="66" t="str">
        <f>IF(AC$7="","",IF(INDEX('Rooms Walls and Glass'!$D$3:$AB$17, MATCH($D11,'Rooms Walls and Glass'!$A$3:$A$17,0), MATCH('Unit 3 a'!AC$7,'Rooms Walls and Glass'!$D$1:$AB$1,0))=0,"",INDEX('Rooms Walls and Glass'!$D$3:$AB$17, MATCH($D11,'Rooms Walls and Glass'!$A$3:$A$17,0), MATCH('Unit 3 a'!AC$7,'Rooms Walls and Glass'!$D$1:$AB$1,0))))</f>
        <v/>
      </c>
      <c r="AD11" s="68" t="str">
        <f t="shared" si="24"/>
        <v>-</v>
      </c>
      <c r="AE11" s="66" t="str">
        <f>IF(AE$7="","",IF(INDEX('Rooms Walls and Glass'!$D$3:$AB$17, MATCH($D11,'Rooms Walls and Glass'!$A$3:$A$17,0), MATCH('Unit 3 a'!AE$7,'Rooms Walls and Glass'!$D$1:$AB$1,0))=0,"",INDEX('Rooms Walls and Glass'!$D$3:$AB$17, MATCH($D11,'Rooms Walls and Glass'!$A$3:$A$17,0), MATCH('Unit 3 a'!AE$7,'Rooms Walls and Glass'!$D$1:$AB$1,0))))</f>
        <v/>
      </c>
      <c r="AF11" s="68" t="str">
        <f t="shared" si="24"/>
        <v>-</v>
      </c>
      <c r="AG11" s="66" t="str">
        <f>IF(AG$7="","",IF(INDEX('Rooms Walls and Glass'!$D$3:$AB$17, MATCH($D11,'Rooms Walls and Glass'!$A$3:$A$17,0), MATCH('Unit 3 a'!AG$7,'Rooms Walls and Glass'!$D$1:$AB$1,0))=0,"",INDEX('Rooms Walls and Glass'!$D$3:$AB$17, MATCH($D11,'Rooms Walls and Glass'!$A$3:$A$17,0), MATCH('Unit 3 a'!AG$7,'Rooms Walls and Glass'!$D$1:$AB$1,0))))</f>
        <v/>
      </c>
      <c r="AH11" s="68" t="str">
        <f t="shared" si="25"/>
        <v>-</v>
      </c>
      <c r="AI11" s="66" t="str">
        <f>IF(AI$7="","",IF(INDEX('Rooms Walls and Glass'!$D$3:$AB$17, MATCH($D11,'Rooms Walls and Glass'!$A$3:$A$17,0), MATCH('Unit 3 a'!AI$7,'Rooms Walls and Glass'!$D$1:$AB$1,0))=0,"",INDEX('Rooms Walls and Glass'!$D$3:$AB$17, MATCH($D11,'Rooms Walls and Glass'!$A$3:$A$17,0), MATCH('Unit 3 a'!AI$7,'Rooms Walls and Glass'!$D$1:$AB$1,0))))</f>
        <v/>
      </c>
      <c r="AJ11" s="69" t="str">
        <f t="shared" si="26"/>
        <v>-</v>
      </c>
      <c r="AK11" s="66" t="str">
        <f>IF(AK$7="","",IF(INDEX('Rooms Walls and Glass'!$D$3:$AB$17, MATCH($D11,'Rooms Walls and Glass'!$A$3:$A$17,0), MATCH('Unit 3 a'!AK$7,'Rooms Walls and Glass'!$D$1:$AB$1,0))=0,"",INDEX('Rooms Walls and Glass'!$D$3:$AB$17, MATCH($D11,'Rooms Walls and Glass'!$A$3:$A$17,0), MATCH('Unit 3 a'!AK$7,'Rooms Walls and Glass'!$D$1:$AB$1,0))))</f>
        <v/>
      </c>
      <c r="AL11" s="68" t="str">
        <f t="shared" si="27"/>
        <v>-</v>
      </c>
      <c r="AM11" s="66" t="str">
        <f>IF(AM$7="","",IF(INDEX('Rooms Walls and Glass'!$D$3:$AB$17, MATCH($D11,'Rooms Walls and Glass'!$A$3:$A$17,0), MATCH('Unit 3 a'!AM$7,'Rooms Walls and Glass'!$D$1:$AB$1,0))=0,"",INDEX('Rooms Walls and Glass'!$D$3:$AB$17, MATCH($D11,'Rooms Walls and Glass'!$A$3:$A$17,0), MATCH('Unit 3 a'!AM$7,'Rooms Walls and Glass'!$D$1:$AB$1,0))))</f>
        <v/>
      </c>
      <c r="AN11" s="69" t="str">
        <f t="shared" si="28"/>
        <v>-</v>
      </c>
    </row>
    <row r="12" spans="2:40" ht="11.25" customHeight="1" thickBot="1" x14ac:dyDescent="0.2">
      <c r="B12" s="214"/>
      <c r="C12" s="15" t="s">
        <v>7</v>
      </c>
      <c r="D12" s="13" t="str">
        <f>'Rooms Walls and Glass'!A11</f>
        <v>East</v>
      </c>
      <c r="E12" s="16"/>
      <c r="F12" s="16" t="s">
        <v>12</v>
      </c>
      <c r="G12" s="103">
        <f>INDEX('Glass CLF Calculation'!$A$4:$G$11,MATCH('Unit 3 a'!D12,'Glass CLF Calculation'!$A$4:$A$11,0),7)</f>
        <v>12.953999999999999</v>
      </c>
      <c r="H12" s="16" t="s">
        <v>6</v>
      </c>
      <c r="I12" s="65">
        <f t="shared" si="13"/>
        <v>0</v>
      </c>
      <c r="J12" s="68">
        <f t="shared" si="14"/>
        <v>0</v>
      </c>
      <c r="K12" s="66" t="str">
        <f>IF(K$7="","",IF(INDEX('Rooms Walls and Glass'!$D$3:$AB$17, MATCH($D12,'Rooms Walls and Glass'!$A$3:$A$17,0), MATCH('Unit 3 a'!K$7,'Rooms Walls and Glass'!$D$1:$AB$1,0))=0,"",INDEX('Rooms Walls and Glass'!$D$3:$AB$17, MATCH($D12,'Rooms Walls and Glass'!$A$3:$A$17,0), MATCH('Unit 3 a'!K$7,'Rooms Walls and Glass'!$D$1:$AB$1,0))))</f>
        <v/>
      </c>
      <c r="L12" s="68" t="str">
        <f t="shared" si="15"/>
        <v>-</v>
      </c>
      <c r="M12" s="66" t="str">
        <f>IF(M$7="","",IF(INDEX('Rooms Walls and Glass'!$D$3:$AB$17, MATCH($D12,'Rooms Walls and Glass'!$A$3:$A$17,0), MATCH('Unit 3 a'!M$7,'Rooms Walls and Glass'!$D$1:$AB$1,0))=0,"",INDEX('Rooms Walls and Glass'!$D$3:$AB$17, MATCH($D12,'Rooms Walls and Glass'!$A$3:$A$17,0), MATCH('Unit 3 a'!M$7,'Rooms Walls and Glass'!$D$1:$AB$1,0))))</f>
        <v/>
      </c>
      <c r="N12" s="68" t="str">
        <f t="shared" si="16"/>
        <v>-</v>
      </c>
      <c r="O12" s="66" t="str">
        <f>IF(O$7="","",IF(INDEX('Rooms Walls and Glass'!$D$3:$AB$17, MATCH($D12,'Rooms Walls and Glass'!$A$3:$A$17,0), MATCH('Unit 3 a'!O$7,'Rooms Walls and Glass'!$D$1:$AB$1,0))=0,"",INDEX('Rooms Walls and Glass'!$D$3:$AB$17, MATCH($D12,'Rooms Walls and Glass'!$A$3:$A$17,0), MATCH('Unit 3 a'!O$7,'Rooms Walls and Glass'!$D$1:$AB$1,0))))</f>
        <v/>
      </c>
      <c r="P12" s="68" t="str">
        <f t="shared" si="17"/>
        <v>-</v>
      </c>
      <c r="Q12" s="66" t="str">
        <f>IF(Q$7="","",IF(INDEX('Rooms Walls and Glass'!$D$3:$AB$17, MATCH($D12,'Rooms Walls and Glass'!$A$3:$A$17,0), MATCH('Unit 3 a'!Q$7,'Rooms Walls and Glass'!$D$1:$AB$1,0))=0,"",INDEX('Rooms Walls and Glass'!$D$3:$AB$17, MATCH($D12,'Rooms Walls and Glass'!$A$3:$A$17,0), MATCH('Unit 3 a'!Q$7,'Rooms Walls and Glass'!$D$1:$AB$1,0))))</f>
        <v/>
      </c>
      <c r="R12" s="68" t="str">
        <f t="shared" si="18"/>
        <v>-</v>
      </c>
      <c r="S12" s="66" t="str">
        <f>IF(S$7="","",IF(INDEX('Rooms Walls and Glass'!$D$3:$AB$17, MATCH($D12,'Rooms Walls and Glass'!$A$3:$A$17,0), MATCH('Unit 3 a'!S$7,'Rooms Walls and Glass'!$D$1:$AB$1,0))=0,"",INDEX('Rooms Walls and Glass'!$D$3:$AB$17, MATCH($D12,'Rooms Walls and Glass'!$A$3:$A$17,0), MATCH('Unit 3 a'!S$7,'Rooms Walls and Glass'!$D$1:$AB$1,0))))</f>
        <v/>
      </c>
      <c r="T12" s="68" t="str">
        <f t="shared" si="19"/>
        <v>-</v>
      </c>
      <c r="U12" s="66" t="str">
        <f>IF(U$7="","",IF(INDEX('Rooms Walls and Glass'!$D$3:$AB$17, MATCH($D12,'Rooms Walls and Glass'!$A$3:$A$17,0), MATCH('Unit 3 a'!U$7,'Rooms Walls and Glass'!$D$1:$AB$1,0))=0,"",INDEX('Rooms Walls and Glass'!$D$3:$AB$17, MATCH($D12,'Rooms Walls and Glass'!$A$3:$A$17,0), MATCH('Unit 3 a'!U$7,'Rooms Walls and Glass'!$D$1:$AB$1,0))))</f>
        <v/>
      </c>
      <c r="V12" s="68" t="str">
        <f t="shared" si="20"/>
        <v>-</v>
      </c>
      <c r="W12" s="66" t="str">
        <f>IF(W$7="","",IF(INDEX('Rooms Walls and Glass'!$D$3:$AB$17, MATCH($D12,'Rooms Walls and Glass'!$A$3:$A$17,0), MATCH('Unit 3 a'!W$7,'Rooms Walls and Glass'!$D$1:$AB$1,0))=0,"",INDEX('Rooms Walls and Glass'!$D$3:$AB$17, MATCH($D12,'Rooms Walls and Glass'!$A$3:$A$17,0), MATCH('Unit 3 a'!W$7,'Rooms Walls and Glass'!$D$1:$AB$1,0))))</f>
        <v/>
      </c>
      <c r="X12" s="68" t="str">
        <f t="shared" si="21"/>
        <v>-</v>
      </c>
      <c r="Y12" s="66" t="str">
        <f>IF(Y$7="","",IF(INDEX('Rooms Walls and Glass'!$D$3:$AB$17, MATCH($D12,'Rooms Walls and Glass'!$A$3:$A$17,0), MATCH('Unit 3 a'!Y$7,'Rooms Walls and Glass'!$D$1:$AB$1,0))=0,"",INDEX('Rooms Walls and Glass'!$D$3:$AB$17, MATCH($D12,'Rooms Walls and Glass'!$A$3:$A$17,0), MATCH('Unit 3 a'!Y$7,'Rooms Walls and Glass'!$D$1:$AB$1,0))))</f>
        <v/>
      </c>
      <c r="Z12" s="68" t="str">
        <f t="shared" si="22"/>
        <v>-</v>
      </c>
      <c r="AA12" s="66" t="str">
        <f>IF(AA$7="","",IF(INDEX('Rooms Walls and Glass'!$D$3:$AB$17, MATCH($D12,'Rooms Walls and Glass'!$A$3:$A$17,0), MATCH('Unit 3 a'!AA$7,'Rooms Walls and Glass'!$D$1:$AB$1,0))=0,"",INDEX('Rooms Walls and Glass'!$D$3:$AB$17, MATCH($D12,'Rooms Walls and Glass'!$A$3:$A$17,0), MATCH('Unit 3 a'!AA$7,'Rooms Walls and Glass'!$D$1:$AB$1,0))))</f>
        <v/>
      </c>
      <c r="AB12" s="68" t="str">
        <f t="shared" si="23"/>
        <v>-</v>
      </c>
      <c r="AC12" s="66" t="str">
        <f>IF(AC$7="","",IF(INDEX('Rooms Walls and Glass'!$D$3:$AB$17, MATCH($D12,'Rooms Walls and Glass'!$A$3:$A$17,0), MATCH('Unit 3 a'!AC$7,'Rooms Walls and Glass'!$D$1:$AB$1,0))=0,"",INDEX('Rooms Walls and Glass'!$D$3:$AB$17, MATCH($D12,'Rooms Walls and Glass'!$A$3:$A$17,0), MATCH('Unit 3 a'!AC$7,'Rooms Walls and Glass'!$D$1:$AB$1,0))))</f>
        <v/>
      </c>
      <c r="AD12" s="68" t="str">
        <f t="shared" si="24"/>
        <v>-</v>
      </c>
      <c r="AE12" s="66" t="str">
        <f>IF(AE$7="","",IF(INDEX('Rooms Walls and Glass'!$D$3:$AB$17, MATCH($D12,'Rooms Walls and Glass'!$A$3:$A$17,0), MATCH('Unit 3 a'!AE$7,'Rooms Walls and Glass'!$D$1:$AB$1,0))=0,"",INDEX('Rooms Walls and Glass'!$D$3:$AB$17, MATCH($D12,'Rooms Walls and Glass'!$A$3:$A$17,0), MATCH('Unit 3 a'!AE$7,'Rooms Walls and Glass'!$D$1:$AB$1,0))))</f>
        <v/>
      </c>
      <c r="AF12" s="68" t="str">
        <f t="shared" si="24"/>
        <v>-</v>
      </c>
      <c r="AG12" s="66" t="str">
        <f>IF(AG$7="","",IF(INDEX('Rooms Walls and Glass'!$D$3:$AB$17, MATCH($D12,'Rooms Walls and Glass'!$A$3:$A$17,0), MATCH('Unit 3 a'!AG$7,'Rooms Walls and Glass'!$D$1:$AB$1,0))=0,"",INDEX('Rooms Walls and Glass'!$D$3:$AB$17, MATCH($D12,'Rooms Walls and Glass'!$A$3:$A$17,0), MATCH('Unit 3 a'!AG$7,'Rooms Walls and Glass'!$D$1:$AB$1,0))))</f>
        <v/>
      </c>
      <c r="AH12" s="68" t="str">
        <f t="shared" si="25"/>
        <v>-</v>
      </c>
      <c r="AI12" s="66" t="str">
        <f>IF(AI$7="","",IF(INDEX('Rooms Walls and Glass'!$D$3:$AB$17, MATCH($D12,'Rooms Walls and Glass'!$A$3:$A$17,0), MATCH('Unit 3 a'!AI$7,'Rooms Walls and Glass'!$D$1:$AB$1,0))=0,"",INDEX('Rooms Walls and Glass'!$D$3:$AB$17, MATCH($D12,'Rooms Walls and Glass'!$A$3:$A$17,0), MATCH('Unit 3 a'!AI$7,'Rooms Walls and Glass'!$D$1:$AB$1,0))))</f>
        <v/>
      </c>
      <c r="AJ12" s="69" t="str">
        <f t="shared" si="26"/>
        <v>-</v>
      </c>
      <c r="AK12" s="66" t="str">
        <f>IF(AK$7="","",IF(INDEX('Rooms Walls and Glass'!$D$3:$AB$17, MATCH($D12,'Rooms Walls and Glass'!$A$3:$A$17,0), MATCH('Unit 3 a'!AK$7,'Rooms Walls and Glass'!$D$1:$AB$1,0))=0,"",INDEX('Rooms Walls and Glass'!$D$3:$AB$17, MATCH($D12,'Rooms Walls and Glass'!$A$3:$A$17,0), MATCH('Unit 3 a'!AK$7,'Rooms Walls and Glass'!$D$1:$AB$1,0))))</f>
        <v/>
      </c>
      <c r="AL12" s="68" t="str">
        <f t="shared" si="27"/>
        <v>-</v>
      </c>
      <c r="AM12" s="66" t="str">
        <f>IF(AM$7="","",IF(INDEX('Rooms Walls and Glass'!$D$3:$AB$17, MATCH($D12,'Rooms Walls and Glass'!$A$3:$A$17,0), MATCH('Unit 3 a'!AM$7,'Rooms Walls and Glass'!$D$1:$AB$1,0))=0,"",INDEX('Rooms Walls and Glass'!$D$3:$AB$17, MATCH($D12,'Rooms Walls and Glass'!$A$3:$A$17,0), MATCH('Unit 3 a'!AM$7,'Rooms Walls and Glass'!$D$1:$AB$1,0))))</f>
        <v/>
      </c>
      <c r="AN12" s="69" t="str">
        <f t="shared" si="28"/>
        <v>-</v>
      </c>
    </row>
    <row r="13" spans="2:40" ht="11.25" customHeight="1" thickBot="1" x14ac:dyDescent="0.2">
      <c r="B13" s="214"/>
      <c r="C13" s="15" t="s">
        <v>7</v>
      </c>
      <c r="D13" s="13" t="str">
        <f>'Rooms Walls and Glass'!A12</f>
        <v>SouthEast</v>
      </c>
      <c r="E13" s="16" t="s">
        <v>18</v>
      </c>
      <c r="F13" s="16" t="s">
        <v>13</v>
      </c>
      <c r="G13" s="103">
        <f>INDEX('Glass CLF Calculation'!$A$4:$G$11,MATCH('Unit 3 a'!D13,'Glass CLF Calculation'!$A$4:$A$11,0),7)</f>
        <v>14.271164444444445</v>
      </c>
      <c r="H13" s="16" t="s">
        <v>6</v>
      </c>
      <c r="I13" s="65">
        <f t="shared" si="13"/>
        <v>0</v>
      </c>
      <c r="J13" s="68">
        <f t="shared" si="14"/>
        <v>0</v>
      </c>
      <c r="K13" s="66" t="str">
        <f>IF(K$7="","",IF(INDEX('Rooms Walls and Glass'!$D$3:$AB$17, MATCH($D13,'Rooms Walls and Glass'!$A$3:$A$17,0), MATCH('Unit 3 a'!K$7,'Rooms Walls and Glass'!$D$1:$AB$1,0))=0,"",INDEX('Rooms Walls and Glass'!$D$3:$AB$17, MATCH($D13,'Rooms Walls and Glass'!$A$3:$A$17,0), MATCH('Unit 3 a'!K$7,'Rooms Walls and Glass'!$D$1:$AB$1,0))))</f>
        <v/>
      </c>
      <c r="L13" s="68" t="str">
        <f t="shared" si="15"/>
        <v>-</v>
      </c>
      <c r="M13" s="66" t="str">
        <f>IF(M$7="","",IF(INDEX('Rooms Walls and Glass'!$D$3:$AB$17, MATCH($D13,'Rooms Walls and Glass'!$A$3:$A$17,0), MATCH('Unit 3 a'!M$7,'Rooms Walls and Glass'!$D$1:$AB$1,0))=0,"",INDEX('Rooms Walls and Glass'!$D$3:$AB$17, MATCH($D13,'Rooms Walls and Glass'!$A$3:$A$17,0), MATCH('Unit 3 a'!M$7,'Rooms Walls and Glass'!$D$1:$AB$1,0))))</f>
        <v/>
      </c>
      <c r="N13" s="68" t="str">
        <f t="shared" si="16"/>
        <v>-</v>
      </c>
      <c r="O13" s="66" t="str">
        <f>IF(O$7="","",IF(INDEX('Rooms Walls and Glass'!$D$3:$AB$17, MATCH($D13,'Rooms Walls and Glass'!$A$3:$A$17,0), MATCH('Unit 3 a'!O$7,'Rooms Walls and Glass'!$D$1:$AB$1,0))=0,"",INDEX('Rooms Walls and Glass'!$D$3:$AB$17, MATCH($D13,'Rooms Walls and Glass'!$A$3:$A$17,0), MATCH('Unit 3 a'!O$7,'Rooms Walls and Glass'!$D$1:$AB$1,0))))</f>
        <v/>
      </c>
      <c r="P13" s="68" t="str">
        <f t="shared" si="17"/>
        <v>-</v>
      </c>
      <c r="Q13" s="66" t="str">
        <f>IF(Q$7="","",IF(INDEX('Rooms Walls and Glass'!$D$3:$AB$17, MATCH($D13,'Rooms Walls and Glass'!$A$3:$A$17,0), MATCH('Unit 3 a'!Q$7,'Rooms Walls and Glass'!$D$1:$AB$1,0))=0,"",INDEX('Rooms Walls and Glass'!$D$3:$AB$17, MATCH($D13,'Rooms Walls and Glass'!$A$3:$A$17,0), MATCH('Unit 3 a'!Q$7,'Rooms Walls and Glass'!$D$1:$AB$1,0))))</f>
        <v/>
      </c>
      <c r="R13" s="68" t="str">
        <f t="shared" si="18"/>
        <v>-</v>
      </c>
      <c r="S13" s="66" t="str">
        <f>IF(S$7="","",IF(INDEX('Rooms Walls and Glass'!$D$3:$AB$17, MATCH($D13,'Rooms Walls and Glass'!$A$3:$A$17,0), MATCH('Unit 3 a'!S$7,'Rooms Walls and Glass'!$D$1:$AB$1,0))=0,"",INDEX('Rooms Walls and Glass'!$D$3:$AB$17, MATCH($D13,'Rooms Walls and Glass'!$A$3:$A$17,0), MATCH('Unit 3 a'!S$7,'Rooms Walls and Glass'!$D$1:$AB$1,0))))</f>
        <v/>
      </c>
      <c r="T13" s="68" t="str">
        <f t="shared" si="19"/>
        <v>-</v>
      </c>
      <c r="U13" s="66" t="str">
        <f>IF(U$7="","",IF(INDEX('Rooms Walls and Glass'!$D$3:$AB$17, MATCH($D13,'Rooms Walls and Glass'!$A$3:$A$17,0), MATCH('Unit 3 a'!U$7,'Rooms Walls and Glass'!$D$1:$AB$1,0))=0,"",INDEX('Rooms Walls and Glass'!$D$3:$AB$17, MATCH($D13,'Rooms Walls and Glass'!$A$3:$A$17,0), MATCH('Unit 3 a'!U$7,'Rooms Walls and Glass'!$D$1:$AB$1,0))))</f>
        <v/>
      </c>
      <c r="V13" s="68" t="str">
        <f t="shared" si="20"/>
        <v>-</v>
      </c>
      <c r="W13" s="66" t="str">
        <f>IF(W$7="","",IF(INDEX('Rooms Walls and Glass'!$D$3:$AB$17, MATCH($D13,'Rooms Walls and Glass'!$A$3:$A$17,0), MATCH('Unit 3 a'!W$7,'Rooms Walls and Glass'!$D$1:$AB$1,0))=0,"",INDEX('Rooms Walls and Glass'!$D$3:$AB$17, MATCH($D13,'Rooms Walls and Glass'!$A$3:$A$17,0), MATCH('Unit 3 a'!W$7,'Rooms Walls and Glass'!$D$1:$AB$1,0))))</f>
        <v/>
      </c>
      <c r="X13" s="68" t="str">
        <f t="shared" si="21"/>
        <v>-</v>
      </c>
      <c r="Y13" s="66" t="str">
        <f>IF(Y$7="","",IF(INDEX('Rooms Walls and Glass'!$D$3:$AB$17, MATCH($D13,'Rooms Walls and Glass'!$A$3:$A$17,0), MATCH('Unit 3 a'!Y$7,'Rooms Walls and Glass'!$D$1:$AB$1,0))=0,"",INDEX('Rooms Walls and Glass'!$D$3:$AB$17, MATCH($D13,'Rooms Walls and Glass'!$A$3:$A$17,0), MATCH('Unit 3 a'!Y$7,'Rooms Walls and Glass'!$D$1:$AB$1,0))))</f>
        <v/>
      </c>
      <c r="Z13" s="68" t="str">
        <f t="shared" si="22"/>
        <v>-</v>
      </c>
      <c r="AA13" s="66" t="str">
        <f>IF(AA$7="","",IF(INDEX('Rooms Walls and Glass'!$D$3:$AB$17, MATCH($D13,'Rooms Walls and Glass'!$A$3:$A$17,0), MATCH('Unit 3 a'!AA$7,'Rooms Walls and Glass'!$D$1:$AB$1,0))=0,"",INDEX('Rooms Walls and Glass'!$D$3:$AB$17, MATCH($D13,'Rooms Walls and Glass'!$A$3:$A$17,0), MATCH('Unit 3 a'!AA$7,'Rooms Walls and Glass'!$D$1:$AB$1,0))))</f>
        <v/>
      </c>
      <c r="AB13" s="68" t="str">
        <f t="shared" si="23"/>
        <v>-</v>
      </c>
      <c r="AC13" s="66" t="str">
        <f>IF(AC$7="","",IF(INDEX('Rooms Walls and Glass'!$D$3:$AB$17, MATCH($D13,'Rooms Walls and Glass'!$A$3:$A$17,0), MATCH('Unit 3 a'!AC$7,'Rooms Walls and Glass'!$D$1:$AB$1,0))=0,"",INDEX('Rooms Walls and Glass'!$D$3:$AB$17, MATCH($D13,'Rooms Walls and Glass'!$A$3:$A$17,0), MATCH('Unit 3 a'!AC$7,'Rooms Walls and Glass'!$D$1:$AB$1,0))))</f>
        <v/>
      </c>
      <c r="AD13" s="68" t="str">
        <f t="shared" si="24"/>
        <v>-</v>
      </c>
      <c r="AE13" s="66" t="str">
        <f>IF(AE$7="","",IF(INDEX('Rooms Walls and Glass'!$D$3:$AB$17, MATCH($D13,'Rooms Walls and Glass'!$A$3:$A$17,0), MATCH('Unit 3 a'!AE$7,'Rooms Walls and Glass'!$D$1:$AB$1,0))=0,"",INDEX('Rooms Walls and Glass'!$D$3:$AB$17, MATCH($D13,'Rooms Walls and Glass'!$A$3:$A$17,0), MATCH('Unit 3 a'!AE$7,'Rooms Walls and Glass'!$D$1:$AB$1,0))))</f>
        <v/>
      </c>
      <c r="AF13" s="68" t="str">
        <f t="shared" si="24"/>
        <v>-</v>
      </c>
      <c r="AG13" s="66" t="str">
        <f>IF(AG$7="","",IF(INDEX('Rooms Walls and Glass'!$D$3:$AB$17, MATCH($D13,'Rooms Walls and Glass'!$A$3:$A$17,0), MATCH('Unit 3 a'!AG$7,'Rooms Walls and Glass'!$D$1:$AB$1,0))=0,"",INDEX('Rooms Walls and Glass'!$D$3:$AB$17, MATCH($D13,'Rooms Walls and Glass'!$A$3:$A$17,0), MATCH('Unit 3 a'!AG$7,'Rooms Walls and Glass'!$D$1:$AB$1,0))))</f>
        <v/>
      </c>
      <c r="AH13" s="68" t="str">
        <f t="shared" si="25"/>
        <v>-</v>
      </c>
      <c r="AI13" s="66" t="str">
        <f>IF(AI$7="","",IF(INDEX('Rooms Walls and Glass'!$D$3:$AB$17, MATCH($D13,'Rooms Walls and Glass'!$A$3:$A$17,0), MATCH('Unit 3 a'!AI$7,'Rooms Walls and Glass'!$D$1:$AB$1,0))=0,"",INDEX('Rooms Walls and Glass'!$D$3:$AB$17, MATCH($D13,'Rooms Walls and Glass'!$A$3:$A$17,0), MATCH('Unit 3 a'!AI$7,'Rooms Walls and Glass'!$D$1:$AB$1,0))))</f>
        <v/>
      </c>
      <c r="AJ13" s="69" t="str">
        <f t="shared" si="26"/>
        <v>-</v>
      </c>
      <c r="AK13" s="66" t="str">
        <f>IF(AK$7="","",IF(INDEX('Rooms Walls and Glass'!$D$3:$AB$17, MATCH($D13,'Rooms Walls and Glass'!$A$3:$A$17,0), MATCH('Unit 3 a'!AK$7,'Rooms Walls and Glass'!$D$1:$AB$1,0))=0,"",INDEX('Rooms Walls and Glass'!$D$3:$AB$17, MATCH($D13,'Rooms Walls and Glass'!$A$3:$A$17,0), MATCH('Unit 3 a'!AK$7,'Rooms Walls and Glass'!$D$1:$AB$1,0))))</f>
        <v/>
      </c>
      <c r="AL13" s="68" t="str">
        <f t="shared" si="27"/>
        <v>-</v>
      </c>
      <c r="AM13" s="66" t="str">
        <f>IF(AM$7="","",IF(INDEX('Rooms Walls and Glass'!$D$3:$AB$17, MATCH($D13,'Rooms Walls and Glass'!$A$3:$A$17,0), MATCH('Unit 3 a'!AM$7,'Rooms Walls and Glass'!$D$1:$AB$1,0))=0,"",INDEX('Rooms Walls and Glass'!$D$3:$AB$17, MATCH($D13,'Rooms Walls and Glass'!$A$3:$A$17,0), MATCH('Unit 3 a'!AM$7,'Rooms Walls and Glass'!$D$1:$AB$1,0))))</f>
        <v/>
      </c>
      <c r="AN13" s="69" t="str">
        <f t="shared" si="28"/>
        <v>-</v>
      </c>
    </row>
    <row r="14" spans="2:40" ht="11.25" customHeight="1" thickBot="1" x14ac:dyDescent="0.2">
      <c r="B14" s="214"/>
      <c r="C14" s="15" t="s">
        <v>7</v>
      </c>
      <c r="D14" s="13" t="str">
        <f>'Rooms Walls and Glass'!A13</f>
        <v>South</v>
      </c>
      <c r="E14" s="16"/>
      <c r="F14" s="16" t="s">
        <v>14</v>
      </c>
      <c r="G14" s="103">
        <f>INDEX('Glass CLF Calculation'!$A$4:$G$11,MATCH('Unit 3 a'!D14,'Glass CLF Calculation'!$A$4:$A$11,0),7)</f>
        <v>15.869088</v>
      </c>
      <c r="H14" s="16" t="s">
        <v>6</v>
      </c>
      <c r="I14" s="65">
        <f t="shared" si="13"/>
        <v>0</v>
      </c>
      <c r="J14" s="68">
        <f t="shared" si="14"/>
        <v>0</v>
      </c>
      <c r="K14" s="66" t="str">
        <f>IF(K$7="","",IF(INDEX('Rooms Walls and Glass'!$D$3:$AB$17, MATCH($D14,'Rooms Walls and Glass'!$A$3:$A$17,0), MATCH('Unit 3 a'!K$7,'Rooms Walls and Glass'!$D$1:$AB$1,0))=0,"",INDEX('Rooms Walls and Glass'!$D$3:$AB$17, MATCH($D14,'Rooms Walls and Glass'!$A$3:$A$17,0), MATCH('Unit 3 a'!K$7,'Rooms Walls and Glass'!$D$1:$AB$1,0))))</f>
        <v/>
      </c>
      <c r="L14" s="68" t="str">
        <f t="shared" si="15"/>
        <v>-</v>
      </c>
      <c r="M14" s="66" t="str">
        <f>IF(M$7="","",IF(INDEX('Rooms Walls and Glass'!$D$3:$AB$17, MATCH($D14,'Rooms Walls and Glass'!$A$3:$A$17,0), MATCH('Unit 3 a'!M$7,'Rooms Walls and Glass'!$D$1:$AB$1,0))=0,"",INDEX('Rooms Walls and Glass'!$D$3:$AB$17, MATCH($D14,'Rooms Walls and Glass'!$A$3:$A$17,0), MATCH('Unit 3 a'!M$7,'Rooms Walls and Glass'!$D$1:$AB$1,0))))</f>
        <v/>
      </c>
      <c r="N14" s="68" t="str">
        <f t="shared" si="16"/>
        <v>-</v>
      </c>
      <c r="O14" s="66" t="str">
        <f>IF(O$7="","",IF(INDEX('Rooms Walls and Glass'!$D$3:$AB$17, MATCH($D14,'Rooms Walls and Glass'!$A$3:$A$17,0), MATCH('Unit 3 a'!O$7,'Rooms Walls and Glass'!$D$1:$AB$1,0))=0,"",INDEX('Rooms Walls and Glass'!$D$3:$AB$17, MATCH($D14,'Rooms Walls and Glass'!$A$3:$A$17,0), MATCH('Unit 3 a'!O$7,'Rooms Walls and Glass'!$D$1:$AB$1,0))))</f>
        <v/>
      </c>
      <c r="P14" s="68" t="str">
        <f t="shared" si="17"/>
        <v>-</v>
      </c>
      <c r="Q14" s="66" t="str">
        <f>IF(Q$7="","",IF(INDEX('Rooms Walls and Glass'!$D$3:$AB$17, MATCH($D14,'Rooms Walls and Glass'!$A$3:$A$17,0), MATCH('Unit 3 a'!Q$7,'Rooms Walls and Glass'!$D$1:$AB$1,0))=0,"",INDEX('Rooms Walls and Glass'!$D$3:$AB$17, MATCH($D14,'Rooms Walls and Glass'!$A$3:$A$17,0), MATCH('Unit 3 a'!Q$7,'Rooms Walls and Glass'!$D$1:$AB$1,0))))</f>
        <v/>
      </c>
      <c r="R14" s="68" t="str">
        <f t="shared" si="18"/>
        <v>-</v>
      </c>
      <c r="S14" s="66" t="str">
        <f>IF(S$7="","",IF(INDEX('Rooms Walls and Glass'!$D$3:$AB$17, MATCH($D14,'Rooms Walls and Glass'!$A$3:$A$17,0), MATCH('Unit 3 a'!S$7,'Rooms Walls and Glass'!$D$1:$AB$1,0))=0,"",INDEX('Rooms Walls and Glass'!$D$3:$AB$17, MATCH($D14,'Rooms Walls and Glass'!$A$3:$A$17,0), MATCH('Unit 3 a'!S$7,'Rooms Walls and Glass'!$D$1:$AB$1,0))))</f>
        <v/>
      </c>
      <c r="T14" s="68" t="str">
        <f t="shared" si="19"/>
        <v>-</v>
      </c>
      <c r="U14" s="66" t="str">
        <f>IF(U$7="","",IF(INDEX('Rooms Walls and Glass'!$D$3:$AB$17, MATCH($D14,'Rooms Walls and Glass'!$A$3:$A$17,0), MATCH('Unit 3 a'!U$7,'Rooms Walls and Glass'!$D$1:$AB$1,0))=0,"",INDEX('Rooms Walls and Glass'!$D$3:$AB$17, MATCH($D14,'Rooms Walls and Glass'!$A$3:$A$17,0), MATCH('Unit 3 a'!U$7,'Rooms Walls and Glass'!$D$1:$AB$1,0))))</f>
        <v/>
      </c>
      <c r="V14" s="68" t="str">
        <f t="shared" si="20"/>
        <v>-</v>
      </c>
      <c r="W14" s="66" t="str">
        <f>IF(W$7="","",IF(INDEX('Rooms Walls and Glass'!$D$3:$AB$17, MATCH($D14,'Rooms Walls and Glass'!$A$3:$A$17,0), MATCH('Unit 3 a'!W$7,'Rooms Walls and Glass'!$D$1:$AB$1,0))=0,"",INDEX('Rooms Walls and Glass'!$D$3:$AB$17, MATCH($D14,'Rooms Walls and Glass'!$A$3:$A$17,0), MATCH('Unit 3 a'!W$7,'Rooms Walls and Glass'!$D$1:$AB$1,0))))</f>
        <v/>
      </c>
      <c r="X14" s="68" t="str">
        <f t="shared" si="21"/>
        <v>-</v>
      </c>
      <c r="Y14" s="66" t="str">
        <f>IF(Y$7="","",IF(INDEX('Rooms Walls and Glass'!$D$3:$AB$17, MATCH($D14,'Rooms Walls and Glass'!$A$3:$A$17,0), MATCH('Unit 3 a'!Y$7,'Rooms Walls and Glass'!$D$1:$AB$1,0))=0,"",INDEX('Rooms Walls and Glass'!$D$3:$AB$17, MATCH($D14,'Rooms Walls and Glass'!$A$3:$A$17,0), MATCH('Unit 3 a'!Y$7,'Rooms Walls and Glass'!$D$1:$AB$1,0))))</f>
        <v/>
      </c>
      <c r="Z14" s="68" t="str">
        <f t="shared" si="22"/>
        <v>-</v>
      </c>
      <c r="AA14" s="66" t="str">
        <f>IF(AA$7="","",IF(INDEX('Rooms Walls and Glass'!$D$3:$AB$17, MATCH($D14,'Rooms Walls and Glass'!$A$3:$A$17,0), MATCH('Unit 3 a'!AA$7,'Rooms Walls and Glass'!$D$1:$AB$1,0))=0,"",INDEX('Rooms Walls and Glass'!$D$3:$AB$17, MATCH($D14,'Rooms Walls and Glass'!$A$3:$A$17,0), MATCH('Unit 3 a'!AA$7,'Rooms Walls and Glass'!$D$1:$AB$1,0))))</f>
        <v/>
      </c>
      <c r="AB14" s="68" t="str">
        <f t="shared" si="23"/>
        <v>-</v>
      </c>
      <c r="AC14" s="66" t="str">
        <f>IF(AC$7="","",IF(INDEX('Rooms Walls and Glass'!$D$3:$AB$17, MATCH($D14,'Rooms Walls and Glass'!$A$3:$A$17,0), MATCH('Unit 3 a'!AC$7,'Rooms Walls and Glass'!$D$1:$AB$1,0))=0,"",INDEX('Rooms Walls and Glass'!$D$3:$AB$17, MATCH($D14,'Rooms Walls and Glass'!$A$3:$A$17,0), MATCH('Unit 3 a'!AC$7,'Rooms Walls and Glass'!$D$1:$AB$1,0))))</f>
        <v/>
      </c>
      <c r="AD14" s="68" t="str">
        <f t="shared" si="24"/>
        <v>-</v>
      </c>
      <c r="AE14" s="66" t="str">
        <f>IF(AE$7="","",IF(INDEX('Rooms Walls and Glass'!$D$3:$AB$17, MATCH($D14,'Rooms Walls and Glass'!$A$3:$A$17,0), MATCH('Unit 3 a'!AE$7,'Rooms Walls and Glass'!$D$1:$AB$1,0))=0,"",INDEX('Rooms Walls and Glass'!$D$3:$AB$17, MATCH($D14,'Rooms Walls and Glass'!$A$3:$A$17,0), MATCH('Unit 3 a'!AE$7,'Rooms Walls and Glass'!$D$1:$AB$1,0))))</f>
        <v/>
      </c>
      <c r="AF14" s="68" t="str">
        <f t="shared" si="24"/>
        <v>-</v>
      </c>
      <c r="AG14" s="66" t="str">
        <f>IF(AG$7="","",IF(INDEX('Rooms Walls and Glass'!$D$3:$AB$17, MATCH($D14,'Rooms Walls and Glass'!$A$3:$A$17,0), MATCH('Unit 3 a'!AG$7,'Rooms Walls and Glass'!$D$1:$AB$1,0))=0,"",INDEX('Rooms Walls and Glass'!$D$3:$AB$17, MATCH($D14,'Rooms Walls and Glass'!$A$3:$A$17,0), MATCH('Unit 3 a'!AG$7,'Rooms Walls and Glass'!$D$1:$AB$1,0))))</f>
        <v/>
      </c>
      <c r="AH14" s="68" t="str">
        <f t="shared" si="25"/>
        <v>-</v>
      </c>
      <c r="AI14" s="66" t="str">
        <f>IF(AI$7="","",IF(INDEX('Rooms Walls and Glass'!$D$3:$AB$17, MATCH($D14,'Rooms Walls and Glass'!$A$3:$A$17,0), MATCH('Unit 3 a'!AI$7,'Rooms Walls and Glass'!$D$1:$AB$1,0))=0,"",INDEX('Rooms Walls and Glass'!$D$3:$AB$17, MATCH($D14,'Rooms Walls and Glass'!$A$3:$A$17,0), MATCH('Unit 3 a'!AI$7,'Rooms Walls and Glass'!$D$1:$AB$1,0))))</f>
        <v/>
      </c>
      <c r="AJ14" s="69" t="str">
        <f t="shared" si="26"/>
        <v>-</v>
      </c>
      <c r="AK14" s="66" t="str">
        <f>IF(AK$7="","",IF(INDEX('Rooms Walls and Glass'!$D$3:$AB$17, MATCH($D14,'Rooms Walls and Glass'!$A$3:$A$17,0), MATCH('Unit 3 a'!AK$7,'Rooms Walls and Glass'!$D$1:$AB$1,0))=0,"",INDEX('Rooms Walls and Glass'!$D$3:$AB$17, MATCH($D14,'Rooms Walls and Glass'!$A$3:$A$17,0), MATCH('Unit 3 a'!AK$7,'Rooms Walls and Glass'!$D$1:$AB$1,0))))</f>
        <v/>
      </c>
      <c r="AL14" s="68" t="str">
        <f t="shared" si="27"/>
        <v>-</v>
      </c>
      <c r="AM14" s="66" t="str">
        <f>IF(AM$7="","",IF(INDEX('Rooms Walls and Glass'!$D$3:$AB$17, MATCH($D14,'Rooms Walls and Glass'!$A$3:$A$17,0), MATCH('Unit 3 a'!AM$7,'Rooms Walls and Glass'!$D$1:$AB$1,0))=0,"",INDEX('Rooms Walls and Glass'!$D$3:$AB$17, MATCH($D14,'Rooms Walls and Glass'!$A$3:$A$17,0), MATCH('Unit 3 a'!AM$7,'Rooms Walls and Glass'!$D$1:$AB$1,0))))</f>
        <v/>
      </c>
      <c r="AN14" s="69" t="str">
        <f t="shared" si="28"/>
        <v>-</v>
      </c>
    </row>
    <row r="15" spans="2:40" ht="11.25" customHeight="1" thickBot="1" x14ac:dyDescent="0.2">
      <c r="B15" s="214"/>
      <c r="C15" s="15" t="s">
        <v>7</v>
      </c>
      <c r="D15" s="13" t="str">
        <f>'Rooms Walls and Glass'!A14</f>
        <v>SouthWest</v>
      </c>
      <c r="E15" s="16" t="s">
        <v>19</v>
      </c>
      <c r="F15" s="16" t="s">
        <v>15</v>
      </c>
      <c r="G15" s="103">
        <f>INDEX('Glass CLF Calculation'!$A$4:$G$11,MATCH('Unit 3 a'!D15,'Glass CLF Calculation'!$A$4:$A$11,0),7)</f>
        <v>26.22</v>
      </c>
      <c r="H15" s="16" t="s">
        <v>6</v>
      </c>
      <c r="I15" s="65">
        <f t="shared" si="13"/>
        <v>0</v>
      </c>
      <c r="J15" s="68">
        <f t="shared" si="14"/>
        <v>0</v>
      </c>
      <c r="K15" s="66" t="str">
        <f>IF(K$7="","",IF(INDEX('Rooms Walls and Glass'!$D$3:$AB$17, MATCH($D15,'Rooms Walls and Glass'!$A$3:$A$17,0), MATCH('Unit 3 a'!K$7,'Rooms Walls and Glass'!$D$1:$AB$1,0))=0,"",INDEX('Rooms Walls and Glass'!$D$3:$AB$17, MATCH($D15,'Rooms Walls and Glass'!$A$3:$A$17,0), MATCH('Unit 3 a'!K$7,'Rooms Walls and Glass'!$D$1:$AB$1,0))))</f>
        <v/>
      </c>
      <c r="L15" s="68" t="str">
        <f t="shared" si="15"/>
        <v>-</v>
      </c>
      <c r="M15" s="66" t="str">
        <f>IF(M$7="","",IF(INDEX('Rooms Walls and Glass'!$D$3:$AB$17, MATCH($D15,'Rooms Walls and Glass'!$A$3:$A$17,0), MATCH('Unit 3 a'!M$7,'Rooms Walls and Glass'!$D$1:$AB$1,0))=0,"",INDEX('Rooms Walls and Glass'!$D$3:$AB$17, MATCH($D15,'Rooms Walls and Glass'!$A$3:$A$17,0), MATCH('Unit 3 a'!M$7,'Rooms Walls and Glass'!$D$1:$AB$1,0))))</f>
        <v/>
      </c>
      <c r="N15" s="68" t="str">
        <f t="shared" si="16"/>
        <v>-</v>
      </c>
      <c r="O15" s="66" t="str">
        <f>IF(O$7="","",IF(INDEX('Rooms Walls and Glass'!$D$3:$AB$17, MATCH($D15,'Rooms Walls and Glass'!$A$3:$A$17,0), MATCH('Unit 3 a'!O$7,'Rooms Walls and Glass'!$D$1:$AB$1,0))=0,"",INDEX('Rooms Walls and Glass'!$D$3:$AB$17, MATCH($D15,'Rooms Walls and Glass'!$A$3:$A$17,0), MATCH('Unit 3 a'!O$7,'Rooms Walls and Glass'!$D$1:$AB$1,0))))</f>
        <v/>
      </c>
      <c r="P15" s="68" t="str">
        <f t="shared" si="17"/>
        <v>-</v>
      </c>
      <c r="Q15" s="66" t="str">
        <f>IF(Q$7="","",IF(INDEX('Rooms Walls and Glass'!$D$3:$AB$17, MATCH($D15,'Rooms Walls and Glass'!$A$3:$A$17,0), MATCH('Unit 3 a'!Q$7,'Rooms Walls and Glass'!$D$1:$AB$1,0))=0,"",INDEX('Rooms Walls and Glass'!$D$3:$AB$17, MATCH($D15,'Rooms Walls and Glass'!$A$3:$A$17,0), MATCH('Unit 3 a'!Q$7,'Rooms Walls and Glass'!$D$1:$AB$1,0))))</f>
        <v/>
      </c>
      <c r="R15" s="68" t="str">
        <f t="shared" si="18"/>
        <v>-</v>
      </c>
      <c r="S15" s="66" t="str">
        <f>IF(S$7="","",IF(INDEX('Rooms Walls and Glass'!$D$3:$AB$17, MATCH($D15,'Rooms Walls and Glass'!$A$3:$A$17,0), MATCH('Unit 3 a'!S$7,'Rooms Walls and Glass'!$D$1:$AB$1,0))=0,"",INDEX('Rooms Walls and Glass'!$D$3:$AB$17, MATCH($D15,'Rooms Walls and Glass'!$A$3:$A$17,0), MATCH('Unit 3 a'!S$7,'Rooms Walls and Glass'!$D$1:$AB$1,0))))</f>
        <v/>
      </c>
      <c r="T15" s="68" t="str">
        <f t="shared" si="19"/>
        <v>-</v>
      </c>
      <c r="U15" s="66" t="str">
        <f>IF(U$7="","",IF(INDEX('Rooms Walls and Glass'!$D$3:$AB$17, MATCH($D15,'Rooms Walls and Glass'!$A$3:$A$17,0), MATCH('Unit 3 a'!U$7,'Rooms Walls and Glass'!$D$1:$AB$1,0))=0,"",INDEX('Rooms Walls and Glass'!$D$3:$AB$17, MATCH($D15,'Rooms Walls and Glass'!$A$3:$A$17,0), MATCH('Unit 3 a'!U$7,'Rooms Walls and Glass'!$D$1:$AB$1,0))))</f>
        <v/>
      </c>
      <c r="V15" s="68" t="str">
        <f t="shared" si="20"/>
        <v>-</v>
      </c>
      <c r="W15" s="66" t="str">
        <f>IF(W$7="","",IF(INDEX('Rooms Walls and Glass'!$D$3:$AB$17, MATCH($D15,'Rooms Walls and Glass'!$A$3:$A$17,0), MATCH('Unit 3 a'!W$7,'Rooms Walls and Glass'!$D$1:$AB$1,0))=0,"",INDEX('Rooms Walls and Glass'!$D$3:$AB$17, MATCH($D15,'Rooms Walls and Glass'!$A$3:$A$17,0), MATCH('Unit 3 a'!W$7,'Rooms Walls and Glass'!$D$1:$AB$1,0))))</f>
        <v/>
      </c>
      <c r="X15" s="68" t="str">
        <f t="shared" si="21"/>
        <v>-</v>
      </c>
      <c r="Y15" s="66" t="str">
        <f>IF(Y$7="","",IF(INDEX('Rooms Walls and Glass'!$D$3:$AB$17, MATCH($D15,'Rooms Walls and Glass'!$A$3:$A$17,0), MATCH('Unit 3 a'!Y$7,'Rooms Walls and Glass'!$D$1:$AB$1,0))=0,"",INDEX('Rooms Walls and Glass'!$D$3:$AB$17, MATCH($D15,'Rooms Walls and Glass'!$A$3:$A$17,0), MATCH('Unit 3 a'!Y$7,'Rooms Walls and Glass'!$D$1:$AB$1,0))))</f>
        <v/>
      </c>
      <c r="Z15" s="68" t="str">
        <f t="shared" si="22"/>
        <v>-</v>
      </c>
      <c r="AA15" s="66" t="str">
        <f>IF(AA$7="","",IF(INDEX('Rooms Walls and Glass'!$D$3:$AB$17, MATCH($D15,'Rooms Walls and Glass'!$A$3:$A$17,0), MATCH('Unit 3 a'!AA$7,'Rooms Walls and Glass'!$D$1:$AB$1,0))=0,"",INDEX('Rooms Walls and Glass'!$D$3:$AB$17, MATCH($D15,'Rooms Walls and Glass'!$A$3:$A$17,0), MATCH('Unit 3 a'!AA$7,'Rooms Walls and Glass'!$D$1:$AB$1,0))))</f>
        <v/>
      </c>
      <c r="AB15" s="68" t="str">
        <f t="shared" si="23"/>
        <v>-</v>
      </c>
      <c r="AC15" s="66" t="str">
        <f>IF(AC$7="","",IF(INDEX('Rooms Walls and Glass'!$D$3:$AB$17, MATCH($D15,'Rooms Walls and Glass'!$A$3:$A$17,0), MATCH('Unit 3 a'!AC$7,'Rooms Walls and Glass'!$D$1:$AB$1,0))=0,"",INDEX('Rooms Walls and Glass'!$D$3:$AB$17, MATCH($D15,'Rooms Walls and Glass'!$A$3:$A$17,0), MATCH('Unit 3 a'!AC$7,'Rooms Walls and Glass'!$D$1:$AB$1,0))))</f>
        <v/>
      </c>
      <c r="AD15" s="68" t="str">
        <f t="shared" si="24"/>
        <v>-</v>
      </c>
      <c r="AE15" s="66" t="str">
        <f>IF(AE$7="","",IF(INDEX('Rooms Walls and Glass'!$D$3:$AB$17, MATCH($D15,'Rooms Walls and Glass'!$A$3:$A$17,0), MATCH('Unit 3 a'!AE$7,'Rooms Walls and Glass'!$D$1:$AB$1,0))=0,"",INDEX('Rooms Walls and Glass'!$D$3:$AB$17, MATCH($D15,'Rooms Walls and Glass'!$A$3:$A$17,0), MATCH('Unit 3 a'!AE$7,'Rooms Walls and Glass'!$D$1:$AB$1,0))))</f>
        <v/>
      </c>
      <c r="AF15" s="68" t="str">
        <f t="shared" si="24"/>
        <v>-</v>
      </c>
      <c r="AG15" s="66" t="str">
        <f>IF(AG$7="","",IF(INDEX('Rooms Walls and Glass'!$D$3:$AB$17, MATCH($D15,'Rooms Walls and Glass'!$A$3:$A$17,0), MATCH('Unit 3 a'!AG$7,'Rooms Walls and Glass'!$D$1:$AB$1,0))=0,"",INDEX('Rooms Walls and Glass'!$D$3:$AB$17, MATCH($D15,'Rooms Walls and Glass'!$A$3:$A$17,0), MATCH('Unit 3 a'!AG$7,'Rooms Walls and Glass'!$D$1:$AB$1,0))))</f>
        <v/>
      </c>
      <c r="AH15" s="68" t="str">
        <f t="shared" si="25"/>
        <v>-</v>
      </c>
      <c r="AI15" s="66" t="str">
        <f>IF(AI$7="","",IF(INDEX('Rooms Walls and Glass'!$D$3:$AB$17, MATCH($D15,'Rooms Walls and Glass'!$A$3:$A$17,0), MATCH('Unit 3 a'!AI$7,'Rooms Walls and Glass'!$D$1:$AB$1,0))=0,"",INDEX('Rooms Walls and Glass'!$D$3:$AB$17, MATCH($D15,'Rooms Walls and Glass'!$A$3:$A$17,0), MATCH('Unit 3 a'!AI$7,'Rooms Walls and Glass'!$D$1:$AB$1,0))))</f>
        <v/>
      </c>
      <c r="AJ15" s="69" t="str">
        <f t="shared" si="26"/>
        <v>-</v>
      </c>
      <c r="AK15" s="66" t="str">
        <f>IF(AK$7="","",IF(INDEX('Rooms Walls and Glass'!$D$3:$AB$17, MATCH($D15,'Rooms Walls and Glass'!$A$3:$A$17,0), MATCH('Unit 3 a'!AK$7,'Rooms Walls and Glass'!$D$1:$AB$1,0))=0,"",INDEX('Rooms Walls and Glass'!$D$3:$AB$17, MATCH($D15,'Rooms Walls and Glass'!$A$3:$A$17,0), MATCH('Unit 3 a'!AK$7,'Rooms Walls and Glass'!$D$1:$AB$1,0))))</f>
        <v/>
      </c>
      <c r="AL15" s="68" t="str">
        <f t="shared" si="27"/>
        <v>-</v>
      </c>
      <c r="AM15" s="66" t="str">
        <f>IF(AM$7="","",IF(INDEX('Rooms Walls and Glass'!$D$3:$AB$17, MATCH($D15,'Rooms Walls and Glass'!$A$3:$A$17,0), MATCH('Unit 3 a'!AM$7,'Rooms Walls and Glass'!$D$1:$AB$1,0))=0,"",INDEX('Rooms Walls and Glass'!$D$3:$AB$17, MATCH($D15,'Rooms Walls and Glass'!$A$3:$A$17,0), MATCH('Unit 3 a'!AM$7,'Rooms Walls and Glass'!$D$1:$AB$1,0))))</f>
        <v/>
      </c>
      <c r="AN15" s="69" t="str">
        <f t="shared" si="28"/>
        <v>-</v>
      </c>
    </row>
    <row r="16" spans="2:40" ht="11.25" customHeight="1" thickBot="1" x14ac:dyDescent="0.2">
      <c r="B16" s="214"/>
      <c r="C16" s="15" t="s">
        <v>7</v>
      </c>
      <c r="D16" s="13" t="str">
        <f>'Rooms Walls and Glass'!A15</f>
        <v>West</v>
      </c>
      <c r="E16" s="16"/>
      <c r="F16" s="16" t="s">
        <v>16</v>
      </c>
      <c r="G16" s="103">
        <f>INDEX('Glass CLF Calculation'!$A$4:$G$11,MATCH('Unit 3 a'!D16,'Glass CLF Calculation'!$A$4:$A$11,0),7)</f>
        <v>29.197724444444443</v>
      </c>
      <c r="H16" s="16" t="s">
        <v>6</v>
      </c>
      <c r="I16" s="65">
        <f t="shared" si="13"/>
        <v>0</v>
      </c>
      <c r="J16" s="68">
        <f t="shared" si="14"/>
        <v>0</v>
      </c>
      <c r="K16" s="66" t="str">
        <f>IF(K$7="","",IF(INDEX('Rooms Walls and Glass'!$D$3:$AB$17, MATCH($D16,'Rooms Walls and Glass'!$A$3:$A$17,0), MATCH('Unit 3 a'!K$7,'Rooms Walls and Glass'!$D$1:$AB$1,0))=0,"",INDEX('Rooms Walls and Glass'!$D$3:$AB$17, MATCH($D16,'Rooms Walls and Glass'!$A$3:$A$17,0), MATCH('Unit 3 a'!K$7,'Rooms Walls and Glass'!$D$1:$AB$1,0))))</f>
        <v/>
      </c>
      <c r="L16" s="68" t="str">
        <f t="shared" si="15"/>
        <v>-</v>
      </c>
      <c r="M16" s="66" t="str">
        <f>IF(M$7="","",IF(INDEX('Rooms Walls and Glass'!$D$3:$AB$17, MATCH($D16,'Rooms Walls and Glass'!$A$3:$A$17,0), MATCH('Unit 3 a'!M$7,'Rooms Walls and Glass'!$D$1:$AB$1,0))=0,"",INDEX('Rooms Walls and Glass'!$D$3:$AB$17, MATCH($D16,'Rooms Walls and Glass'!$A$3:$A$17,0), MATCH('Unit 3 a'!M$7,'Rooms Walls and Glass'!$D$1:$AB$1,0))))</f>
        <v/>
      </c>
      <c r="N16" s="68" t="str">
        <f t="shared" si="16"/>
        <v>-</v>
      </c>
      <c r="O16" s="66" t="str">
        <f>IF(O$7="","",IF(INDEX('Rooms Walls and Glass'!$D$3:$AB$17, MATCH($D16,'Rooms Walls and Glass'!$A$3:$A$17,0), MATCH('Unit 3 a'!O$7,'Rooms Walls and Glass'!$D$1:$AB$1,0))=0,"",INDEX('Rooms Walls and Glass'!$D$3:$AB$17, MATCH($D16,'Rooms Walls and Glass'!$A$3:$A$17,0), MATCH('Unit 3 a'!O$7,'Rooms Walls and Glass'!$D$1:$AB$1,0))))</f>
        <v/>
      </c>
      <c r="P16" s="68" t="str">
        <f t="shared" si="17"/>
        <v>-</v>
      </c>
      <c r="Q16" s="66" t="str">
        <f>IF(Q$7="","",IF(INDEX('Rooms Walls and Glass'!$D$3:$AB$17, MATCH($D16,'Rooms Walls and Glass'!$A$3:$A$17,0), MATCH('Unit 3 a'!Q$7,'Rooms Walls and Glass'!$D$1:$AB$1,0))=0,"",INDEX('Rooms Walls and Glass'!$D$3:$AB$17, MATCH($D16,'Rooms Walls and Glass'!$A$3:$A$17,0), MATCH('Unit 3 a'!Q$7,'Rooms Walls and Glass'!$D$1:$AB$1,0))))</f>
        <v/>
      </c>
      <c r="R16" s="68" t="str">
        <f t="shared" si="18"/>
        <v>-</v>
      </c>
      <c r="S16" s="66" t="str">
        <f>IF(S$7="","",IF(INDEX('Rooms Walls and Glass'!$D$3:$AB$17, MATCH($D16,'Rooms Walls and Glass'!$A$3:$A$17,0), MATCH('Unit 3 a'!S$7,'Rooms Walls and Glass'!$D$1:$AB$1,0))=0,"",INDEX('Rooms Walls and Glass'!$D$3:$AB$17, MATCH($D16,'Rooms Walls and Glass'!$A$3:$A$17,0), MATCH('Unit 3 a'!S$7,'Rooms Walls and Glass'!$D$1:$AB$1,0))))</f>
        <v/>
      </c>
      <c r="T16" s="68" t="str">
        <f t="shared" si="19"/>
        <v>-</v>
      </c>
      <c r="U16" s="66" t="str">
        <f>IF(U$7="","",IF(INDEX('Rooms Walls and Glass'!$D$3:$AB$17, MATCH($D16,'Rooms Walls and Glass'!$A$3:$A$17,0), MATCH('Unit 3 a'!U$7,'Rooms Walls and Glass'!$D$1:$AB$1,0))=0,"",INDEX('Rooms Walls and Glass'!$D$3:$AB$17, MATCH($D16,'Rooms Walls and Glass'!$A$3:$A$17,0), MATCH('Unit 3 a'!U$7,'Rooms Walls and Glass'!$D$1:$AB$1,0))))</f>
        <v/>
      </c>
      <c r="V16" s="68" t="str">
        <f t="shared" si="20"/>
        <v>-</v>
      </c>
      <c r="W16" s="66" t="str">
        <f>IF(W$7="","",IF(INDEX('Rooms Walls and Glass'!$D$3:$AB$17, MATCH($D16,'Rooms Walls and Glass'!$A$3:$A$17,0), MATCH('Unit 3 a'!W$7,'Rooms Walls and Glass'!$D$1:$AB$1,0))=0,"",INDEX('Rooms Walls and Glass'!$D$3:$AB$17, MATCH($D16,'Rooms Walls and Glass'!$A$3:$A$17,0), MATCH('Unit 3 a'!W$7,'Rooms Walls and Glass'!$D$1:$AB$1,0))))</f>
        <v/>
      </c>
      <c r="X16" s="68" t="str">
        <f t="shared" si="21"/>
        <v>-</v>
      </c>
      <c r="Y16" s="66" t="str">
        <f>IF(Y$7="","",IF(INDEX('Rooms Walls and Glass'!$D$3:$AB$17, MATCH($D16,'Rooms Walls and Glass'!$A$3:$A$17,0), MATCH('Unit 3 a'!Y$7,'Rooms Walls and Glass'!$D$1:$AB$1,0))=0,"",INDEX('Rooms Walls and Glass'!$D$3:$AB$17, MATCH($D16,'Rooms Walls and Glass'!$A$3:$A$17,0), MATCH('Unit 3 a'!Y$7,'Rooms Walls and Glass'!$D$1:$AB$1,0))))</f>
        <v/>
      </c>
      <c r="Z16" s="68" t="str">
        <f t="shared" si="22"/>
        <v>-</v>
      </c>
      <c r="AA16" s="66" t="str">
        <f>IF(AA$7="","",IF(INDEX('Rooms Walls and Glass'!$D$3:$AB$17, MATCH($D16,'Rooms Walls and Glass'!$A$3:$A$17,0), MATCH('Unit 3 a'!AA$7,'Rooms Walls and Glass'!$D$1:$AB$1,0))=0,"",INDEX('Rooms Walls and Glass'!$D$3:$AB$17, MATCH($D16,'Rooms Walls and Glass'!$A$3:$A$17,0), MATCH('Unit 3 a'!AA$7,'Rooms Walls and Glass'!$D$1:$AB$1,0))))</f>
        <v/>
      </c>
      <c r="AB16" s="68" t="str">
        <f t="shared" si="23"/>
        <v>-</v>
      </c>
      <c r="AC16" s="66" t="str">
        <f>IF(AC$7="","",IF(INDEX('Rooms Walls and Glass'!$D$3:$AB$17, MATCH($D16,'Rooms Walls and Glass'!$A$3:$A$17,0), MATCH('Unit 3 a'!AC$7,'Rooms Walls and Glass'!$D$1:$AB$1,0))=0,"",INDEX('Rooms Walls and Glass'!$D$3:$AB$17, MATCH($D16,'Rooms Walls and Glass'!$A$3:$A$17,0), MATCH('Unit 3 a'!AC$7,'Rooms Walls and Glass'!$D$1:$AB$1,0))))</f>
        <v/>
      </c>
      <c r="AD16" s="68" t="str">
        <f t="shared" si="24"/>
        <v>-</v>
      </c>
      <c r="AE16" s="66" t="str">
        <f>IF(AE$7="","",IF(INDEX('Rooms Walls and Glass'!$D$3:$AB$17, MATCH($D16,'Rooms Walls and Glass'!$A$3:$A$17,0), MATCH('Unit 3 a'!AE$7,'Rooms Walls and Glass'!$D$1:$AB$1,0))=0,"",INDEX('Rooms Walls and Glass'!$D$3:$AB$17, MATCH($D16,'Rooms Walls and Glass'!$A$3:$A$17,0), MATCH('Unit 3 a'!AE$7,'Rooms Walls and Glass'!$D$1:$AB$1,0))))</f>
        <v/>
      </c>
      <c r="AF16" s="68" t="str">
        <f t="shared" si="24"/>
        <v>-</v>
      </c>
      <c r="AG16" s="66" t="str">
        <f>IF(AG$7="","",IF(INDEX('Rooms Walls and Glass'!$D$3:$AB$17, MATCH($D16,'Rooms Walls and Glass'!$A$3:$A$17,0), MATCH('Unit 3 a'!AG$7,'Rooms Walls and Glass'!$D$1:$AB$1,0))=0,"",INDEX('Rooms Walls and Glass'!$D$3:$AB$17, MATCH($D16,'Rooms Walls and Glass'!$A$3:$A$17,0), MATCH('Unit 3 a'!AG$7,'Rooms Walls and Glass'!$D$1:$AB$1,0))))</f>
        <v/>
      </c>
      <c r="AH16" s="68" t="str">
        <f t="shared" si="25"/>
        <v>-</v>
      </c>
      <c r="AI16" s="66" t="str">
        <f>IF(AI$7="","",IF(INDEX('Rooms Walls and Glass'!$D$3:$AB$17, MATCH($D16,'Rooms Walls and Glass'!$A$3:$A$17,0), MATCH('Unit 3 a'!AI$7,'Rooms Walls and Glass'!$D$1:$AB$1,0))=0,"",INDEX('Rooms Walls and Glass'!$D$3:$AB$17, MATCH($D16,'Rooms Walls and Glass'!$A$3:$A$17,0), MATCH('Unit 3 a'!AI$7,'Rooms Walls and Glass'!$D$1:$AB$1,0))))</f>
        <v/>
      </c>
      <c r="AJ16" s="69" t="str">
        <f t="shared" si="26"/>
        <v>-</v>
      </c>
      <c r="AK16" s="66" t="str">
        <f>IF(AK$7="","",IF(INDEX('Rooms Walls and Glass'!$D$3:$AB$17, MATCH($D16,'Rooms Walls and Glass'!$A$3:$A$17,0), MATCH('Unit 3 a'!AK$7,'Rooms Walls and Glass'!$D$1:$AB$1,0))=0,"",INDEX('Rooms Walls and Glass'!$D$3:$AB$17, MATCH($D16,'Rooms Walls and Glass'!$A$3:$A$17,0), MATCH('Unit 3 a'!AK$7,'Rooms Walls and Glass'!$D$1:$AB$1,0))))</f>
        <v/>
      </c>
      <c r="AL16" s="68" t="str">
        <f t="shared" si="27"/>
        <v>-</v>
      </c>
      <c r="AM16" s="66" t="str">
        <f>IF(AM$7="","",IF(INDEX('Rooms Walls and Glass'!$D$3:$AB$17, MATCH($D16,'Rooms Walls and Glass'!$A$3:$A$17,0), MATCH('Unit 3 a'!AM$7,'Rooms Walls and Glass'!$D$1:$AB$1,0))=0,"",INDEX('Rooms Walls and Glass'!$D$3:$AB$17, MATCH($D16,'Rooms Walls and Glass'!$A$3:$A$17,0), MATCH('Unit 3 a'!AM$7,'Rooms Walls and Glass'!$D$1:$AB$1,0))))</f>
        <v/>
      </c>
      <c r="AN16" s="69" t="str">
        <f t="shared" si="28"/>
        <v>-</v>
      </c>
    </row>
    <row r="17" spans="2:40" ht="11.25" customHeight="1" thickBot="1" x14ac:dyDescent="0.2">
      <c r="B17" s="214"/>
      <c r="C17" s="15" t="s">
        <v>7</v>
      </c>
      <c r="D17" s="13" t="str">
        <f>'Rooms Walls and Glass'!A16</f>
        <v>Sky Light</v>
      </c>
      <c r="E17" s="16"/>
      <c r="F17" s="16"/>
      <c r="G17" s="105">
        <v>55</v>
      </c>
      <c r="H17" s="16" t="s">
        <v>6</v>
      </c>
      <c r="I17" s="65">
        <f t="shared" si="13"/>
        <v>0</v>
      </c>
      <c r="J17" s="68">
        <f t="shared" si="14"/>
        <v>0</v>
      </c>
      <c r="K17" s="66" t="str">
        <f>IF(K$7="","",IF(INDEX('Rooms Walls and Glass'!$D$3:$AB$17, MATCH($D17,'Rooms Walls and Glass'!$A$3:$A$17,0), MATCH('Unit 3 a'!K$7,'Rooms Walls and Glass'!$D$1:$AB$1,0))=0,"",INDEX('Rooms Walls and Glass'!$D$3:$AB$17, MATCH($D17,'Rooms Walls and Glass'!$A$3:$A$17,0), MATCH('Unit 3 a'!K$7,'Rooms Walls and Glass'!$D$1:$AB$1,0))))</f>
        <v/>
      </c>
      <c r="L17" s="68" t="str">
        <f t="shared" si="15"/>
        <v>-</v>
      </c>
      <c r="M17" s="66" t="str">
        <f>IF(M$7="","",IF(INDEX('Rooms Walls and Glass'!$D$3:$AB$17, MATCH($D17,'Rooms Walls and Glass'!$A$3:$A$17,0), MATCH('Unit 3 a'!M$7,'Rooms Walls and Glass'!$D$1:$AB$1,0))=0,"",INDEX('Rooms Walls and Glass'!$D$3:$AB$17, MATCH($D17,'Rooms Walls and Glass'!$A$3:$A$17,0), MATCH('Unit 3 a'!M$7,'Rooms Walls and Glass'!$D$1:$AB$1,0))))</f>
        <v/>
      </c>
      <c r="N17" s="68" t="str">
        <f t="shared" si="16"/>
        <v>-</v>
      </c>
      <c r="O17" s="66" t="str">
        <f>IF(O$7="","",IF(INDEX('Rooms Walls and Glass'!$D$3:$AB$17, MATCH($D17,'Rooms Walls and Glass'!$A$3:$A$17,0), MATCH('Unit 3 a'!O$7,'Rooms Walls and Glass'!$D$1:$AB$1,0))=0,"",INDEX('Rooms Walls and Glass'!$D$3:$AB$17, MATCH($D17,'Rooms Walls and Glass'!$A$3:$A$17,0), MATCH('Unit 3 a'!O$7,'Rooms Walls and Glass'!$D$1:$AB$1,0))))</f>
        <v/>
      </c>
      <c r="P17" s="68" t="str">
        <f t="shared" si="17"/>
        <v>-</v>
      </c>
      <c r="Q17" s="66" t="str">
        <f>IF(Q$7="","",IF(INDEX('Rooms Walls and Glass'!$D$3:$AB$17, MATCH($D17,'Rooms Walls and Glass'!$A$3:$A$17,0), MATCH('Unit 3 a'!Q$7,'Rooms Walls and Glass'!$D$1:$AB$1,0))=0,"",INDEX('Rooms Walls and Glass'!$D$3:$AB$17, MATCH($D17,'Rooms Walls and Glass'!$A$3:$A$17,0), MATCH('Unit 3 a'!Q$7,'Rooms Walls and Glass'!$D$1:$AB$1,0))))</f>
        <v/>
      </c>
      <c r="R17" s="68" t="str">
        <f t="shared" si="18"/>
        <v>-</v>
      </c>
      <c r="S17" s="66" t="str">
        <f>IF(S$7="","",IF(INDEX('Rooms Walls and Glass'!$D$3:$AB$17, MATCH($D17,'Rooms Walls and Glass'!$A$3:$A$17,0), MATCH('Unit 3 a'!S$7,'Rooms Walls and Glass'!$D$1:$AB$1,0))=0,"",INDEX('Rooms Walls and Glass'!$D$3:$AB$17, MATCH($D17,'Rooms Walls and Glass'!$A$3:$A$17,0), MATCH('Unit 3 a'!S$7,'Rooms Walls and Glass'!$D$1:$AB$1,0))))</f>
        <v/>
      </c>
      <c r="T17" s="68" t="str">
        <f t="shared" si="19"/>
        <v>-</v>
      </c>
      <c r="U17" s="66" t="str">
        <f>IF(U$7="","",IF(INDEX('Rooms Walls and Glass'!$D$3:$AB$17, MATCH($D17,'Rooms Walls and Glass'!$A$3:$A$17,0), MATCH('Unit 3 a'!U$7,'Rooms Walls and Glass'!$D$1:$AB$1,0))=0,"",INDEX('Rooms Walls and Glass'!$D$3:$AB$17, MATCH($D17,'Rooms Walls and Glass'!$A$3:$A$17,0), MATCH('Unit 3 a'!U$7,'Rooms Walls and Glass'!$D$1:$AB$1,0))))</f>
        <v/>
      </c>
      <c r="V17" s="68" t="str">
        <f t="shared" si="20"/>
        <v>-</v>
      </c>
      <c r="W17" s="66" t="str">
        <f>IF(W$7="","",IF(INDEX('Rooms Walls and Glass'!$D$3:$AB$17, MATCH($D17,'Rooms Walls and Glass'!$A$3:$A$17,0), MATCH('Unit 3 a'!W$7,'Rooms Walls and Glass'!$D$1:$AB$1,0))=0,"",INDEX('Rooms Walls and Glass'!$D$3:$AB$17, MATCH($D17,'Rooms Walls and Glass'!$A$3:$A$17,0), MATCH('Unit 3 a'!W$7,'Rooms Walls and Glass'!$D$1:$AB$1,0))))</f>
        <v/>
      </c>
      <c r="X17" s="68" t="str">
        <f t="shared" si="21"/>
        <v>-</v>
      </c>
      <c r="Y17" s="66" t="str">
        <f>IF(Y$7="","",IF(INDEX('Rooms Walls and Glass'!$D$3:$AB$17, MATCH($D17,'Rooms Walls and Glass'!$A$3:$A$17,0), MATCH('Unit 3 a'!Y$7,'Rooms Walls and Glass'!$D$1:$AB$1,0))=0,"",INDEX('Rooms Walls and Glass'!$D$3:$AB$17, MATCH($D17,'Rooms Walls and Glass'!$A$3:$A$17,0), MATCH('Unit 3 a'!Y$7,'Rooms Walls and Glass'!$D$1:$AB$1,0))))</f>
        <v/>
      </c>
      <c r="Z17" s="68" t="str">
        <f t="shared" si="22"/>
        <v>-</v>
      </c>
      <c r="AA17" s="66" t="str">
        <f>IF(AA$7="","",IF(INDEX('Rooms Walls and Glass'!$D$3:$AB$17, MATCH($D17,'Rooms Walls and Glass'!$A$3:$A$17,0), MATCH('Unit 3 a'!AA$7,'Rooms Walls and Glass'!$D$1:$AB$1,0))=0,"",INDEX('Rooms Walls and Glass'!$D$3:$AB$17, MATCH($D17,'Rooms Walls and Glass'!$A$3:$A$17,0), MATCH('Unit 3 a'!AA$7,'Rooms Walls and Glass'!$D$1:$AB$1,0))))</f>
        <v/>
      </c>
      <c r="AB17" s="68" t="str">
        <f t="shared" si="23"/>
        <v>-</v>
      </c>
      <c r="AC17" s="66" t="str">
        <f>IF(AC$7="","",IF(INDEX('Rooms Walls and Glass'!$D$3:$AB$17, MATCH($D17,'Rooms Walls and Glass'!$A$3:$A$17,0), MATCH('Unit 3 a'!AC$7,'Rooms Walls and Glass'!$D$1:$AB$1,0))=0,"",INDEX('Rooms Walls and Glass'!$D$3:$AB$17, MATCH($D17,'Rooms Walls and Glass'!$A$3:$A$17,0), MATCH('Unit 3 a'!AC$7,'Rooms Walls and Glass'!$D$1:$AB$1,0))))</f>
        <v/>
      </c>
      <c r="AD17" s="68" t="str">
        <f t="shared" si="24"/>
        <v>-</v>
      </c>
      <c r="AE17" s="66" t="str">
        <f>IF(AE$7="","",IF(INDEX('Rooms Walls and Glass'!$D$3:$AB$17, MATCH($D17,'Rooms Walls and Glass'!$A$3:$A$17,0), MATCH('Unit 3 a'!AE$7,'Rooms Walls and Glass'!$D$1:$AB$1,0))=0,"",INDEX('Rooms Walls and Glass'!$D$3:$AB$17, MATCH($D17,'Rooms Walls and Glass'!$A$3:$A$17,0), MATCH('Unit 3 a'!AE$7,'Rooms Walls and Glass'!$D$1:$AB$1,0))))</f>
        <v/>
      </c>
      <c r="AF17" s="68" t="str">
        <f t="shared" si="24"/>
        <v>-</v>
      </c>
      <c r="AG17" s="66" t="str">
        <f>IF(AG$7="","",IF(INDEX('Rooms Walls and Glass'!$D$3:$AB$17, MATCH($D17,'Rooms Walls and Glass'!$A$3:$A$17,0), MATCH('Unit 3 a'!AG$7,'Rooms Walls and Glass'!$D$1:$AB$1,0))=0,"",INDEX('Rooms Walls and Glass'!$D$3:$AB$17, MATCH($D17,'Rooms Walls and Glass'!$A$3:$A$17,0), MATCH('Unit 3 a'!AG$7,'Rooms Walls and Glass'!$D$1:$AB$1,0))))</f>
        <v/>
      </c>
      <c r="AH17" s="68" t="str">
        <f t="shared" si="25"/>
        <v>-</v>
      </c>
      <c r="AI17" s="66" t="str">
        <f>IF(AI$7="","",IF(INDEX('Rooms Walls and Glass'!$D$3:$AB$17, MATCH($D17,'Rooms Walls and Glass'!$A$3:$A$17,0), MATCH('Unit 3 a'!AI$7,'Rooms Walls and Glass'!$D$1:$AB$1,0))=0,"",INDEX('Rooms Walls and Glass'!$D$3:$AB$17, MATCH($D17,'Rooms Walls and Glass'!$A$3:$A$17,0), MATCH('Unit 3 a'!AI$7,'Rooms Walls and Glass'!$D$1:$AB$1,0))))</f>
        <v/>
      </c>
      <c r="AJ17" s="69" t="str">
        <f t="shared" si="26"/>
        <v>-</v>
      </c>
      <c r="AK17" s="66" t="str">
        <f>IF(AK$7="","",IF(INDEX('Rooms Walls and Glass'!$D$3:$AB$17, MATCH($D17,'Rooms Walls and Glass'!$A$3:$A$17,0), MATCH('Unit 3 a'!AK$7,'Rooms Walls and Glass'!$D$1:$AB$1,0))=0,"",INDEX('Rooms Walls and Glass'!$D$3:$AB$17, MATCH($D17,'Rooms Walls and Glass'!$A$3:$A$17,0), MATCH('Unit 3 a'!AK$7,'Rooms Walls and Glass'!$D$1:$AB$1,0))))</f>
        <v/>
      </c>
      <c r="AL17" s="68" t="str">
        <f t="shared" si="27"/>
        <v>-</v>
      </c>
      <c r="AM17" s="66" t="str">
        <f>IF(AM$7="","",IF(INDEX('Rooms Walls and Glass'!$D$3:$AB$17, MATCH($D17,'Rooms Walls and Glass'!$A$3:$A$17,0), MATCH('Unit 3 a'!AM$7,'Rooms Walls and Glass'!$D$1:$AB$1,0))=0,"",INDEX('Rooms Walls and Glass'!$D$3:$AB$17, MATCH($D17,'Rooms Walls and Glass'!$A$3:$A$17,0), MATCH('Unit 3 a'!AM$7,'Rooms Walls and Glass'!$D$1:$AB$1,0))))</f>
        <v/>
      </c>
      <c r="AN17" s="69" t="str">
        <f t="shared" si="28"/>
        <v>-</v>
      </c>
    </row>
    <row r="18" spans="2:40" ht="11.25" customHeight="1" thickBot="1" x14ac:dyDescent="0.2">
      <c r="B18" s="213"/>
      <c r="C18" s="17" t="s">
        <v>7</v>
      </c>
      <c r="D18" s="13" t="str">
        <f>'Rooms Walls and Glass'!A17</f>
        <v>Shaded</v>
      </c>
      <c r="E18" s="18"/>
      <c r="F18" s="18"/>
      <c r="G18" s="104">
        <f>'Glass CLF Calculation'!G5</f>
        <v>6.2012662222222215</v>
      </c>
      <c r="H18" s="18" t="s">
        <v>6</v>
      </c>
      <c r="I18" s="65">
        <f t="shared" si="13"/>
        <v>0</v>
      </c>
      <c r="J18" s="70">
        <f t="shared" si="14"/>
        <v>0</v>
      </c>
      <c r="K18" s="66" t="str">
        <f>IF(K$7="","",IF(INDEX('Rooms Walls and Glass'!$D$3:$AB$17, MATCH($D18,'Rooms Walls and Glass'!$A$3:$A$17,0), MATCH('Unit 3 a'!K$7,'Rooms Walls and Glass'!$D$1:$AB$1,0))=0,"",INDEX('Rooms Walls and Glass'!$D$3:$AB$17, MATCH($D18,'Rooms Walls and Glass'!$A$3:$A$17,0), MATCH('Unit 3 a'!K$7,'Rooms Walls and Glass'!$D$1:$AB$1,0))))</f>
        <v/>
      </c>
      <c r="L18" s="70" t="str">
        <f t="shared" si="15"/>
        <v>-</v>
      </c>
      <c r="M18" s="66" t="str">
        <f>IF(M$7="","",IF(INDEX('Rooms Walls and Glass'!$D$3:$AB$17, MATCH($D18,'Rooms Walls and Glass'!$A$3:$A$17,0), MATCH('Unit 3 a'!M$7,'Rooms Walls and Glass'!$D$1:$AB$1,0))=0,"",INDEX('Rooms Walls and Glass'!$D$3:$AB$17, MATCH($D18,'Rooms Walls and Glass'!$A$3:$A$17,0), MATCH('Unit 3 a'!M$7,'Rooms Walls and Glass'!$D$1:$AB$1,0))))</f>
        <v/>
      </c>
      <c r="N18" s="70" t="str">
        <f t="shared" si="16"/>
        <v>-</v>
      </c>
      <c r="O18" s="66" t="str">
        <f>IF(O$7="","",IF(INDEX('Rooms Walls and Glass'!$D$3:$AB$17, MATCH($D18,'Rooms Walls and Glass'!$A$3:$A$17,0), MATCH('Unit 3 a'!O$7,'Rooms Walls and Glass'!$D$1:$AB$1,0))=0,"",INDEX('Rooms Walls and Glass'!$D$3:$AB$17, MATCH($D18,'Rooms Walls and Glass'!$A$3:$A$17,0), MATCH('Unit 3 a'!O$7,'Rooms Walls and Glass'!$D$1:$AB$1,0))))</f>
        <v/>
      </c>
      <c r="P18" s="70" t="str">
        <f t="shared" si="17"/>
        <v>-</v>
      </c>
      <c r="Q18" s="66" t="str">
        <f>IF(Q$7="","",IF(INDEX('Rooms Walls and Glass'!$D$3:$AB$17, MATCH($D18,'Rooms Walls and Glass'!$A$3:$A$17,0), MATCH('Unit 3 a'!Q$7,'Rooms Walls and Glass'!$D$1:$AB$1,0))=0,"",INDEX('Rooms Walls and Glass'!$D$3:$AB$17, MATCH($D18,'Rooms Walls and Glass'!$A$3:$A$17,0), MATCH('Unit 3 a'!Q$7,'Rooms Walls and Glass'!$D$1:$AB$1,0))))</f>
        <v/>
      </c>
      <c r="R18" s="70" t="str">
        <f t="shared" si="18"/>
        <v>-</v>
      </c>
      <c r="S18" s="66" t="str">
        <f>IF(S$7="","",IF(INDEX('Rooms Walls and Glass'!$D$3:$AB$17, MATCH($D18,'Rooms Walls and Glass'!$A$3:$A$17,0), MATCH('Unit 3 a'!S$7,'Rooms Walls and Glass'!$D$1:$AB$1,0))=0,"",INDEX('Rooms Walls and Glass'!$D$3:$AB$17, MATCH($D18,'Rooms Walls and Glass'!$A$3:$A$17,0), MATCH('Unit 3 a'!S$7,'Rooms Walls and Glass'!$D$1:$AB$1,0))))</f>
        <v/>
      </c>
      <c r="T18" s="70" t="str">
        <f t="shared" si="19"/>
        <v>-</v>
      </c>
      <c r="U18" s="66" t="str">
        <f>IF(U$7="","",IF(INDEX('Rooms Walls and Glass'!$D$3:$AB$17, MATCH($D18,'Rooms Walls and Glass'!$A$3:$A$17,0), MATCH('Unit 3 a'!U$7,'Rooms Walls and Glass'!$D$1:$AB$1,0))=0,"",INDEX('Rooms Walls and Glass'!$D$3:$AB$17, MATCH($D18,'Rooms Walls and Glass'!$A$3:$A$17,0), MATCH('Unit 3 a'!U$7,'Rooms Walls and Glass'!$D$1:$AB$1,0))))</f>
        <v/>
      </c>
      <c r="V18" s="70" t="str">
        <f t="shared" si="20"/>
        <v>-</v>
      </c>
      <c r="W18" s="66" t="str">
        <f>IF(W$7="","",IF(INDEX('Rooms Walls and Glass'!$D$3:$AB$17, MATCH($D18,'Rooms Walls and Glass'!$A$3:$A$17,0), MATCH('Unit 3 a'!W$7,'Rooms Walls and Glass'!$D$1:$AB$1,0))=0,"",INDEX('Rooms Walls and Glass'!$D$3:$AB$17, MATCH($D18,'Rooms Walls and Glass'!$A$3:$A$17,0), MATCH('Unit 3 a'!W$7,'Rooms Walls and Glass'!$D$1:$AB$1,0))))</f>
        <v/>
      </c>
      <c r="X18" s="70" t="str">
        <f t="shared" si="21"/>
        <v>-</v>
      </c>
      <c r="Y18" s="66" t="str">
        <f>IF(Y$7="","",IF(INDEX('Rooms Walls and Glass'!$D$3:$AB$17, MATCH($D18,'Rooms Walls and Glass'!$A$3:$A$17,0), MATCH('Unit 3 a'!Y$7,'Rooms Walls and Glass'!$D$1:$AB$1,0))=0,"",INDEX('Rooms Walls and Glass'!$D$3:$AB$17, MATCH($D18,'Rooms Walls and Glass'!$A$3:$A$17,0), MATCH('Unit 3 a'!Y$7,'Rooms Walls and Glass'!$D$1:$AB$1,0))))</f>
        <v/>
      </c>
      <c r="Z18" s="70" t="str">
        <f t="shared" si="22"/>
        <v>-</v>
      </c>
      <c r="AA18" s="66" t="str">
        <f>IF(AA$7="","",IF(INDEX('Rooms Walls and Glass'!$D$3:$AB$17, MATCH($D18,'Rooms Walls and Glass'!$A$3:$A$17,0), MATCH('Unit 3 a'!AA$7,'Rooms Walls and Glass'!$D$1:$AB$1,0))=0,"",INDEX('Rooms Walls and Glass'!$D$3:$AB$17, MATCH($D18,'Rooms Walls and Glass'!$A$3:$A$17,0), MATCH('Unit 3 a'!AA$7,'Rooms Walls and Glass'!$D$1:$AB$1,0))))</f>
        <v/>
      </c>
      <c r="AB18" s="70" t="str">
        <f t="shared" si="23"/>
        <v>-</v>
      </c>
      <c r="AC18" s="66" t="str">
        <f>IF(AC$7="","",IF(INDEX('Rooms Walls and Glass'!$D$3:$AB$17, MATCH($D18,'Rooms Walls and Glass'!$A$3:$A$17,0), MATCH('Unit 3 a'!AC$7,'Rooms Walls and Glass'!$D$1:$AB$1,0))=0,"",INDEX('Rooms Walls and Glass'!$D$3:$AB$17, MATCH($D18,'Rooms Walls and Glass'!$A$3:$A$17,0), MATCH('Unit 3 a'!AC$7,'Rooms Walls and Glass'!$D$1:$AB$1,0))))</f>
        <v/>
      </c>
      <c r="AD18" s="70" t="str">
        <f t="shared" si="24"/>
        <v>-</v>
      </c>
      <c r="AE18" s="66" t="str">
        <f>IF(AE$7="","",IF(INDEX('Rooms Walls and Glass'!$D$3:$AB$17, MATCH($D18,'Rooms Walls and Glass'!$A$3:$A$17,0), MATCH('Unit 3 a'!AE$7,'Rooms Walls and Glass'!$D$1:$AB$1,0))=0,"",INDEX('Rooms Walls and Glass'!$D$3:$AB$17, MATCH($D18,'Rooms Walls and Glass'!$A$3:$A$17,0), MATCH('Unit 3 a'!AE$7,'Rooms Walls and Glass'!$D$1:$AB$1,0))))</f>
        <v/>
      </c>
      <c r="AF18" s="70" t="str">
        <f t="shared" si="24"/>
        <v>-</v>
      </c>
      <c r="AG18" s="66" t="str">
        <f>IF(AG$7="","",IF(INDEX('Rooms Walls and Glass'!$D$3:$AB$17, MATCH($D18,'Rooms Walls and Glass'!$A$3:$A$17,0), MATCH('Unit 3 a'!AG$7,'Rooms Walls and Glass'!$D$1:$AB$1,0))=0,"",INDEX('Rooms Walls and Glass'!$D$3:$AB$17, MATCH($D18,'Rooms Walls and Glass'!$A$3:$A$17,0), MATCH('Unit 3 a'!AG$7,'Rooms Walls and Glass'!$D$1:$AB$1,0))))</f>
        <v/>
      </c>
      <c r="AH18" s="70" t="str">
        <f t="shared" si="25"/>
        <v>-</v>
      </c>
      <c r="AI18" s="66" t="str">
        <f>IF(AI$7="","",IF(INDEX('Rooms Walls and Glass'!$D$3:$AB$17, MATCH($D18,'Rooms Walls and Glass'!$A$3:$A$17,0), MATCH('Unit 3 a'!AI$7,'Rooms Walls and Glass'!$D$1:$AB$1,0))=0,"",INDEX('Rooms Walls and Glass'!$D$3:$AB$17, MATCH($D18,'Rooms Walls and Glass'!$A$3:$A$17,0), MATCH('Unit 3 a'!AI$7,'Rooms Walls and Glass'!$D$1:$AB$1,0))))</f>
        <v/>
      </c>
      <c r="AJ18" s="71" t="str">
        <f t="shared" si="26"/>
        <v>-</v>
      </c>
      <c r="AK18" s="66" t="str">
        <f>IF(AK$7="","",IF(INDEX('Rooms Walls and Glass'!$D$3:$AB$17, MATCH($D18,'Rooms Walls and Glass'!$A$3:$A$17,0), MATCH('Unit 3 a'!AK$7,'Rooms Walls and Glass'!$D$1:$AB$1,0))=0,"",INDEX('Rooms Walls and Glass'!$D$3:$AB$17, MATCH($D18,'Rooms Walls and Glass'!$A$3:$A$17,0), MATCH('Unit 3 a'!AK$7,'Rooms Walls and Glass'!$D$1:$AB$1,0))))</f>
        <v/>
      </c>
      <c r="AL18" s="70" t="str">
        <f t="shared" si="27"/>
        <v>-</v>
      </c>
      <c r="AM18" s="66" t="str">
        <f>IF(AM$7="","",IF(INDEX('Rooms Walls and Glass'!$D$3:$AB$17, MATCH($D18,'Rooms Walls and Glass'!$A$3:$A$17,0), MATCH('Unit 3 a'!AM$7,'Rooms Walls and Glass'!$D$1:$AB$1,0))=0,"",INDEX('Rooms Walls and Glass'!$D$3:$AB$17, MATCH($D18,'Rooms Walls and Glass'!$A$3:$A$17,0), MATCH('Unit 3 a'!AM$7,'Rooms Walls and Glass'!$D$1:$AB$1,0))))</f>
        <v/>
      </c>
      <c r="AN18" s="71" t="str">
        <f t="shared" si="28"/>
        <v>-</v>
      </c>
    </row>
    <row r="19" spans="2:40" ht="11.25" customHeight="1" thickBot="1" x14ac:dyDescent="0.2">
      <c r="B19" s="212" t="s">
        <v>37</v>
      </c>
      <c r="C19" s="12" t="s">
        <v>33</v>
      </c>
      <c r="D19" s="13" t="s">
        <v>237</v>
      </c>
      <c r="E19" s="13">
        <f>INDEX('Glass CLF Calculation'!$A$17:$G$18,MATCH('Unit 3 a'!C19,'Glass CLF Calculation'!$A$17:$A$18,0),7)</f>
        <v>21</v>
      </c>
      <c r="F19" s="14">
        <f>INDEX(Summary!$F$19:$F$30,MATCH('Unit 3 a'!C19,Summary!$D$19:$D$30,0))</f>
        <v>0.5</v>
      </c>
      <c r="G19" s="14">
        <f>F19*E19</f>
        <v>10.5</v>
      </c>
      <c r="H19" s="13" t="s">
        <v>6</v>
      </c>
      <c r="I19" s="65">
        <f t="shared" si="13"/>
        <v>0</v>
      </c>
      <c r="J19" s="65">
        <f t="shared" si="14"/>
        <v>0</v>
      </c>
      <c r="K19" s="66" t="str">
        <f>IF(K$7="","",IF(INDEX('Rooms Walls and Glass'!$D$8:$AB$19, MATCH($D19,'Rooms Walls and Glass'!$A$8:$A$19,0), MATCH('Unit 3 a'!K$7,'Rooms Walls and Glass'!$D$1:$AB$1,0))=0,"",INDEX('Rooms Walls and Glass'!$D$8:$AB$19, MATCH($D19,'Rooms Walls and Glass'!$A$8:$A$19,0), MATCH('Unit 3 a'!K$7,'Rooms Walls and Glass'!$D$1:$AB$1,0))))</f>
        <v/>
      </c>
      <c r="L19" s="65" t="str">
        <f t="shared" si="15"/>
        <v>-</v>
      </c>
      <c r="M19" s="66" t="str">
        <f>IF(M$7="","",IF(INDEX('Rooms Walls and Glass'!$D$8:$AB$19, MATCH($D19,'Rooms Walls and Glass'!$A$8:$A$19,0), MATCH('Unit 3 a'!M$7,'Rooms Walls and Glass'!$D$1:$AB$1,0))=0,"",INDEX('Rooms Walls and Glass'!$D$8:$AB$19, MATCH($D19,'Rooms Walls and Glass'!$A$8:$A$19,0), MATCH('Unit 3 a'!M$7,'Rooms Walls and Glass'!$D$1:$AB$1,0))))</f>
        <v/>
      </c>
      <c r="N19" s="65" t="str">
        <f t="shared" si="16"/>
        <v>-</v>
      </c>
      <c r="O19" s="66" t="str">
        <f>IF(O$7="","",IF(INDEX('Rooms Walls and Glass'!$D$8:$AB$19, MATCH($D19,'Rooms Walls and Glass'!$A$8:$A$19,0), MATCH('Unit 3 a'!O$7,'Rooms Walls and Glass'!$D$1:$AB$1,0))=0,"",INDEX('Rooms Walls and Glass'!$D$8:$AB$19, MATCH($D19,'Rooms Walls and Glass'!$A$8:$A$19,0), MATCH('Unit 3 a'!O$7,'Rooms Walls and Glass'!$D$1:$AB$1,0))))</f>
        <v/>
      </c>
      <c r="P19" s="65" t="str">
        <f t="shared" si="17"/>
        <v>-</v>
      </c>
      <c r="Q19" s="66" t="str">
        <f>IF(Q$7="","",IF(INDEX('Rooms Walls and Glass'!$D$8:$AB$19, MATCH($D19,'Rooms Walls and Glass'!$A$8:$A$19,0), MATCH('Unit 3 a'!Q$7,'Rooms Walls and Glass'!$D$1:$AB$1,0))=0,"",INDEX('Rooms Walls and Glass'!$D$8:$AB$19, MATCH($D19,'Rooms Walls and Glass'!$A$8:$A$19,0), MATCH('Unit 3 a'!Q$7,'Rooms Walls and Glass'!$D$1:$AB$1,0))))</f>
        <v/>
      </c>
      <c r="R19" s="65" t="str">
        <f t="shared" si="18"/>
        <v>-</v>
      </c>
      <c r="S19" s="66" t="str">
        <f>IF(S$7="","",IF(INDEX('Rooms Walls and Glass'!$D$8:$AB$19, MATCH($D19,'Rooms Walls and Glass'!$A$8:$A$19,0), MATCH('Unit 3 a'!S$7,'Rooms Walls and Glass'!$D$1:$AB$1,0))=0,"",INDEX('Rooms Walls and Glass'!$D$8:$AB$19, MATCH($D19,'Rooms Walls and Glass'!$A$8:$A$19,0), MATCH('Unit 3 a'!S$7,'Rooms Walls and Glass'!$D$1:$AB$1,0))))</f>
        <v/>
      </c>
      <c r="T19" s="65" t="str">
        <f t="shared" si="19"/>
        <v>-</v>
      </c>
      <c r="U19" s="66" t="str">
        <f>IF(U$7="","",IF(INDEX('Rooms Walls and Glass'!$D$8:$AB$19, MATCH($D19,'Rooms Walls and Glass'!$A$8:$A$19,0), MATCH('Unit 3 a'!U$7,'Rooms Walls and Glass'!$D$1:$AB$1,0))=0,"",INDEX('Rooms Walls and Glass'!$D$8:$AB$19, MATCH($D19,'Rooms Walls and Glass'!$A$8:$A$19,0), MATCH('Unit 3 a'!U$7,'Rooms Walls and Glass'!$D$1:$AB$1,0))))</f>
        <v/>
      </c>
      <c r="V19" s="65" t="str">
        <f t="shared" si="20"/>
        <v>-</v>
      </c>
      <c r="W19" s="66" t="str">
        <f>IF(W$7="","",IF(INDEX('Rooms Walls and Glass'!$D$8:$AB$19, MATCH($D19,'Rooms Walls and Glass'!$A$8:$A$19,0), MATCH('Unit 3 a'!W$7,'Rooms Walls and Glass'!$D$1:$AB$1,0))=0,"",INDEX('Rooms Walls and Glass'!$D$8:$AB$19, MATCH($D19,'Rooms Walls and Glass'!$A$8:$A$19,0), MATCH('Unit 3 a'!W$7,'Rooms Walls and Glass'!$D$1:$AB$1,0))))</f>
        <v/>
      </c>
      <c r="X19" s="65" t="str">
        <f t="shared" si="21"/>
        <v>-</v>
      </c>
      <c r="Y19" s="66" t="str">
        <f>IF(Y$7="","",IF(INDEX('Rooms Walls and Glass'!$D$8:$AB$19, MATCH($D19,'Rooms Walls and Glass'!$A$8:$A$19,0), MATCH('Unit 3 a'!Y$7,'Rooms Walls and Glass'!$D$1:$AB$1,0))=0,"",INDEX('Rooms Walls and Glass'!$D$8:$AB$19, MATCH($D19,'Rooms Walls and Glass'!$A$8:$A$19,0), MATCH('Unit 3 a'!Y$7,'Rooms Walls and Glass'!$D$1:$AB$1,0))))</f>
        <v/>
      </c>
      <c r="Z19" s="65" t="str">
        <f t="shared" si="22"/>
        <v>-</v>
      </c>
      <c r="AA19" s="66" t="str">
        <f>IF(AA$7="","",IF(INDEX('Rooms Walls and Glass'!$D$8:$AB$19, MATCH($D19,'Rooms Walls and Glass'!$A$8:$A$19,0), MATCH('Unit 3 a'!AA$7,'Rooms Walls and Glass'!$D$1:$AB$1,0))=0,"",INDEX('Rooms Walls and Glass'!$D$8:$AB$19, MATCH($D19,'Rooms Walls and Glass'!$A$8:$A$19,0), MATCH('Unit 3 a'!AA$7,'Rooms Walls and Glass'!$D$1:$AB$1,0))))</f>
        <v/>
      </c>
      <c r="AB19" s="65" t="str">
        <f t="shared" si="23"/>
        <v>-</v>
      </c>
      <c r="AC19" s="66" t="str">
        <f>IF(AC$7="","",IF(INDEX('Rooms Walls and Glass'!$D$8:$AB$19, MATCH($D19,'Rooms Walls and Glass'!$A$8:$A$19,0), MATCH('Unit 3 a'!AC$7,'Rooms Walls and Glass'!$D$1:$AB$1,0))=0,"",INDEX('Rooms Walls and Glass'!$D$8:$AB$19, MATCH($D19,'Rooms Walls and Glass'!$A$8:$A$19,0), MATCH('Unit 3 a'!AC$7,'Rooms Walls and Glass'!$D$1:$AB$1,0))))</f>
        <v/>
      </c>
      <c r="AD19" s="65" t="str">
        <f t="shared" si="24"/>
        <v>-</v>
      </c>
      <c r="AE19" s="66" t="str">
        <f>IF(AE$7="","",IF(INDEX('Rooms Walls and Glass'!$D$8:$AB$19, MATCH($D19,'Rooms Walls and Glass'!$A$8:$A$19,0), MATCH('Unit 3 a'!AE$7,'Rooms Walls and Glass'!$D$1:$AB$1,0))=0,"",INDEX('Rooms Walls and Glass'!$D$8:$AB$19, MATCH($D19,'Rooms Walls and Glass'!$A$8:$A$19,0), MATCH('Unit 3 a'!AE$7,'Rooms Walls and Glass'!$D$1:$AB$1,0))))</f>
        <v/>
      </c>
      <c r="AF19" s="65" t="str">
        <f t="shared" si="24"/>
        <v>-</v>
      </c>
      <c r="AG19" s="66" t="str">
        <f>IF(AG$7="","",IF(INDEX('Rooms Walls and Glass'!$D$8:$AB$19, MATCH($D19,'Rooms Walls and Glass'!$A$8:$A$19,0), MATCH('Unit 3 a'!AG$7,'Rooms Walls and Glass'!$D$1:$AB$1,0))=0,"",INDEX('Rooms Walls and Glass'!$D$8:$AB$19, MATCH($D19,'Rooms Walls and Glass'!$A$8:$A$19,0), MATCH('Unit 3 a'!AG$7,'Rooms Walls and Glass'!$D$1:$AB$1,0))))</f>
        <v/>
      </c>
      <c r="AH19" s="65" t="str">
        <f t="shared" si="25"/>
        <v>-</v>
      </c>
      <c r="AI19" s="66" t="str">
        <f>IF(AI$7="","",IF(INDEX('Rooms Walls and Glass'!$D$8:$AB$19, MATCH($D19,'Rooms Walls and Glass'!$A$8:$A$19,0), MATCH('Unit 3 a'!AI$7,'Rooms Walls and Glass'!$D$1:$AB$1,0))=0,"",INDEX('Rooms Walls and Glass'!$D$8:$AB$19, MATCH($D19,'Rooms Walls and Glass'!$A$8:$A$19,0), MATCH('Unit 3 a'!AI$7,'Rooms Walls and Glass'!$D$1:$AB$1,0))))</f>
        <v/>
      </c>
      <c r="AJ19" s="67" t="str">
        <f t="shared" si="26"/>
        <v>-</v>
      </c>
      <c r="AK19" s="66" t="str">
        <f>IF(AK$7="","",IF(INDEX('Rooms Walls and Glass'!$D$8:$AB$19, MATCH($D19,'Rooms Walls and Glass'!$A$8:$A$19,0), MATCH('Unit 3 a'!AK$7,'Rooms Walls and Glass'!$D$1:$AB$1,0))=0,"",INDEX('Rooms Walls and Glass'!$D$8:$AB$19, MATCH($D19,'Rooms Walls and Glass'!$A$8:$A$19,0), MATCH('Unit 3 a'!AK$7,'Rooms Walls and Glass'!$D$1:$AB$1,0))))</f>
        <v/>
      </c>
      <c r="AL19" s="65" t="str">
        <f t="shared" si="27"/>
        <v>-</v>
      </c>
      <c r="AM19" s="66" t="str">
        <f>IF(AM$7="","",IF(INDEX('Rooms Walls and Glass'!$D$8:$AB$19, MATCH($D19,'Rooms Walls and Glass'!$A$8:$A$19,0), MATCH('Unit 3 a'!AM$7,'Rooms Walls and Glass'!$D$1:$AB$1,0))=0,"",INDEX('Rooms Walls and Glass'!$D$8:$AB$19, MATCH($D19,'Rooms Walls and Glass'!$A$8:$A$19,0), MATCH('Unit 3 a'!AM$7,'Rooms Walls and Glass'!$D$1:$AB$1,0))))</f>
        <v/>
      </c>
      <c r="AN19" s="67" t="str">
        <f t="shared" si="28"/>
        <v>-</v>
      </c>
    </row>
    <row r="20" spans="2:40" ht="11.25" customHeight="1" thickBot="1" x14ac:dyDescent="0.2">
      <c r="B20" s="213"/>
      <c r="C20" s="17" t="s">
        <v>34</v>
      </c>
      <c r="D20" s="18" t="s">
        <v>238</v>
      </c>
      <c r="E20" s="13">
        <f>INDEX('Glass CLF Calculation'!$A$17:$G$18,MATCH('Unit 3 a'!C20,'Glass CLF Calculation'!$A$17:$A$18,0),7)</f>
        <v>30</v>
      </c>
      <c r="F20" s="14">
        <f>INDEX(Summary!$F$19:$F$30,MATCH('Unit 3 a'!C20,Summary!$D$19:$D$30,0))</f>
        <v>0.5</v>
      </c>
      <c r="G20" s="14">
        <f t="shared" ref="G20:G46" si="29">F20*E20</f>
        <v>15</v>
      </c>
      <c r="H20" s="18" t="s">
        <v>6</v>
      </c>
      <c r="I20" s="65">
        <f t="shared" si="13"/>
        <v>0</v>
      </c>
      <c r="J20" s="70">
        <f t="shared" si="14"/>
        <v>0</v>
      </c>
      <c r="K20" s="66" t="str">
        <f>IF(K$7="","",IF(INDEX('Rooms Walls and Glass'!$D$8:$AB$19, MATCH($D20,'Rooms Walls and Glass'!$A$8:$A$19,0), MATCH('Unit 3 a'!K$7,'Rooms Walls and Glass'!$D$1:$AB$1,0))=0,"",INDEX('Rooms Walls and Glass'!$D$8:$AB$19, MATCH($D20,'Rooms Walls and Glass'!$A$8:$A$19,0), MATCH('Unit 3 a'!K$7,'Rooms Walls and Glass'!$D$1:$AB$1,0))))</f>
        <v/>
      </c>
      <c r="L20" s="70" t="str">
        <f t="shared" si="15"/>
        <v>-</v>
      </c>
      <c r="M20" s="66" t="str">
        <f>IF(M$7="","",IF(INDEX('Rooms Walls and Glass'!$D$8:$AB$19, MATCH($D20,'Rooms Walls and Glass'!$A$8:$A$19,0), MATCH('Unit 3 a'!M$7,'Rooms Walls and Glass'!$D$1:$AB$1,0))=0,"",INDEX('Rooms Walls and Glass'!$D$8:$AB$19, MATCH($D20,'Rooms Walls and Glass'!$A$8:$A$19,0), MATCH('Unit 3 a'!M$7,'Rooms Walls and Glass'!$D$1:$AB$1,0))))</f>
        <v/>
      </c>
      <c r="N20" s="70" t="str">
        <f t="shared" si="16"/>
        <v>-</v>
      </c>
      <c r="O20" s="66" t="str">
        <f>IF(O$7="","",IF(INDEX('Rooms Walls and Glass'!$D$8:$AB$19, MATCH($D20,'Rooms Walls and Glass'!$A$8:$A$19,0), MATCH('Unit 3 a'!O$7,'Rooms Walls and Glass'!$D$1:$AB$1,0))=0,"",INDEX('Rooms Walls and Glass'!$D$8:$AB$19, MATCH($D20,'Rooms Walls and Glass'!$A$8:$A$19,0), MATCH('Unit 3 a'!O$7,'Rooms Walls and Glass'!$D$1:$AB$1,0))))</f>
        <v/>
      </c>
      <c r="P20" s="70" t="str">
        <f t="shared" si="17"/>
        <v>-</v>
      </c>
      <c r="Q20" s="66" t="str">
        <f>IF(Q$7="","",IF(INDEX('Rooms Walls and Glass'!$D$8:$AB$19, MATCH($D20,'Rooms Walls and Glass'!$A$8:$A$19,0), MATCH('Unit 3 a'!Q$7,'Rooms Walls and Glass'!$D$1:$AB$1,0))=0,"",INDEX('Rooms Walls and Glass'!$D$8:$AB$19, MATCH($D20,'Rooms Walls and Glass'!$A$8:$A$19,0), MATCH('Unit 3 a'!Q$7,'Rooms Walls and Glass'!$D$1:$AB$1,0))))</f>
        <v/>
      </c>
      <c r="R20" s="70" t="str">
        <f t="shared" si="18"/>
        <v>-</v>
      </c>
      <c r="S20" s="66" t="str">
        <f>IF(S$7="","",IF(INDEX('Rooms Walls and Glass'!$D$8:$AB$19, MATCH($D20,'Rooms Walls and Glass'!$A$8:$A$19,0), MATCH('Unit 3 a'!S$7,'Rooms Walls and Glass'!$D$1:$AB$1,0))=0,"",INDEX('Rooms Walls and Glass'!$D$8:$AB$19, MATCH($D20,'Rooms Walls and Glass'!$A$8:$A$19,0), MATCH('Unit 3 a'!S$7,'Rooms Walls and Glass'!$D$1:$AB$1,0))))</f>
        <v/>
      </c>
      <c r="T20" s="70" t="str">
        <f t="shared" si="19"/>
        <v>-</v>
      </c>
      <c r="U20" s="66" t="str">
        <f>IF(U$7="","",IF(INDEX('Rooms Walls and Glass'!$D$8:$AB$19, MATCH($D20,'Rooms Walls and Glass'!$A$8:$A$19,0), MATCH('Unit 3 a'!U$7,'Rooms Walls and Glass'!$D$1:$AB$1,0))=0,"",INDEX('Rooms Walls and Glass'!$D$8:$AB$19, MATCH($D20,'Rooms Walls and Glass'!$A$8:$A$19,0), MATCH('Unit 3 a'!U$7,'Rooms Walls and Glass'!$D$1:$AB$1,0))))</f>
        <v/>
      </c>
      <c r="V20" s="70" t="str">
        <f t="shared" si="20"/>
        <v>-</v>
      </c>
      <c r="W20" s="66" t="str">
        <f>IF(W$7="","",IF(INDEX('Rooms Walls and Glass'!$D$8:$AB$19, MATCH($D20,'Rooms Walls and Glass'!$A$8:$A$19,0), MATCH('Unit 3 a'!W$7,'Rooms Walls and Glass'!$D$1:$AB$1,0))=0,"",INDEX('Rooms Walls and Glass'!$D$8:$AB$19, MATCH($D20,'Rooms Walls and Glass'!$A$8:$A$19,0), MATCH('Unit 3 a'!W$7,'Rooms Walls and Glass'!$D$1:$AB$1,0))))</f>
        <v/>
      </c>
      <c r="X20" s="70" t="str">
        <f t="shared" si="21"/>
        <v>-</v>
      </c>
      <c r="Y20" s="66" t="str">
        <f>IF(Y$7="","",IF(INDEX('Rooms Walls and Glass'!$D$8:$AB$19, MATCH($D20,'Rooms Walls and Glass'!$A$8:$A$19,0), MATCH('Unit 3 a'!Y$7,'Rooms Walls and Glass'!$D$1:$AB$1,0))=0,"",INDEX('Rooms Walls and Glass'!$D$8:$AB$19, MATCH($D20,'Rooms Walls and Glass'!$A$8:$A$19,0), MATCH('Unit 3 a'!Y$7,'Rooms Walls and Glass'!$D$1:$AB$1,0))))</f>
        <v/>
      </c>
      <c r="Z20" s="70" t="str">
        <f t="shared" si="22"/>
        <v>-</v>
      </c>
      <c r="AA20" s="66" t="str">
        <f>IF(AA$7="","",IF(INDEX('Rooms Walls and Glass'!$D$8:$AB$19, MATCH($D20,'Rooms Walls and Glass'!$A$8:$A$19,0), MATCH('Unit 3 a'!AA$7,'Rooms Walls and Glass'!$D$1:$AB$1,0))=0,"",INDEX('Rooms Walls and Glass'!$D$8:$AB$19, MATCH($D20,'Rooms Walls and Glass'!$A$8:$A$19,0), MATCH('Unit 3 a'!AA$7,'Rooms Walls and Glass'!$D$1:$AB$1,0))))</f>
        <v/>
      </c>
      <c r="AB20" s="70" t="str">
        <f t="shared" si="23"/>
        <v>-</v>
      </c>
      <c r="AC20" s="66" t="str">
        <f>IF(AC$7="","",IF(INDEX('Rooms Walls and Glass'!$D$8:$AB$19, MATCH($D20,'Rooms Walls and Glass'!$A$8:$A$19,0), MATCH('Unit 3 a'!AC$7,'Rooms Walls and Glass'!$D$1:$AB$1,0))=0,"",INDEX('Rooms Walls and Glass'!$D$8:$AB$19, MATCH($D20,'Rooms Walls and Glass'!$A$8:$A$19,0), MATCH('Unit 3 a'!AC$7,'Rooms Walls and Glass'!$D$1:$AB$1,0))))</f>
        <v/>
      </c>
      <c r="AD20" s="70" t="str">
        <f t="shared" si="24"/>
        <v>-</v>
      </c>
      <c r="AE20" s="66" t="str">
        <f>IF(AE$7="","",IF(INDEX('Rooms Walls and Glass'!$D$8:$AB$19, MATCH($D20,'Rooms Walls and Glass'!$A$8:$A$19,0), MATCH('Unit 3 a'!AE$7,'Rooms Walls and Glass'!$D$1:$AB$1,0))=0,"",INDEX('Rooms Walls and Glass'!$D$8:$AB$19, MATCH($D20,'Rooms Walls and Glass'!$A$8:$A$19,0), MATCH('Unit 3 a'!AE$7,'Rooms Walls and Glass'!$D$1:$AB$1,0))))</f>
        <v/>
      </c>
      <c r="AF20" s="70" t="str">
        <f t="shared" si="24"/>
        <v>-</v>
      </c>
      <c r="AG20" s="66" t="str">
        <f>IF(AG$7="","",IF(INDEX('Rooms Walls and Glass'!$D$8:$AB$19, MATCH($D20,'Rooms Walls and Glass'!$A$8:$A$19,0), MATCH('Unit 3 a'!AG$7,'Rooms Walls and Glass'!$D$1:$AB$1,0))=0,"",INDEX('Rooms Walls and Glass'!$D$8:$AB$19, MATCH($D20,'Rooms Walls and Glass'!$A$8:$A$19,0), MATCH('Unit 3 a'!AG$7,'Rooms Walls and Glass'!$D$1:$AB$1,0))))</f>
        <v/>
      </c>
      <c r="AH20" s="70" t="str">
        <f t="shared" si="25"/>
        <v>-</v>
      </c>
      <c r="AI20" s="66" t="str">
        <f>IF(AI$7="","",IF(INDEX('Rooms Walls and Glass'!$D$8:$AB$19, MATCH($D20,'Rooms Walls and Glass'!$A$8:$A$19,0), MATCH('Unit 3 a'!AI$7,'Rooms Walls and Glass'!$D$1:$AB$1,0))=0,"",INDEX('Rooms Walls and Glass'!$D$8:$AB$19, MATCH($D20,'Rooms Walls and Glass'!$A$8:$A$19,0), MATCH('Unit 3 a'!AI$7,'Rooms Walls and Glass'!$D$1:$AB$1,0))))</f>
        <v/>
      </c>
      <c r="AJ20" s="71" t="str">
        <f t="shared" si="26"/>
        <v>-</v>
      </c>
      <c r="AK20" s="66" t="str">
        <f>IF(AK$7="","",IF(INDEX('Rooms Walls and Glass'!$D$8:$AB$19, MATCH($D20,'Rooms Walls and Glass'!$A$8:$A$19,0), MATCH('Unit 3 a'!AK$7,'Rooms Walls and Glass'!$D$1:$AB$1,0))=0,"",INDEX('Rooms Walls and Glass'!$D$8:$AB$19, MATCH($D20,'Rooms Walls and Glass'!$A$8:$A$19,0), MATCH('Unit 3 a'!AK$7,'Rooms Walls and Glass'!$D$1:$AB$1,0))))</f>
        <v/>
      </c>
      <c r="AL20" s="70" t="str">
        <f t="shared" si="27"/>
        <v>-</v>
      </c>
      <c r="AM20" s="66" t="str">
        <f>IF(AM$7="","",IF(INDEX('Rooms Walls and Glass'!$D$8:$AB$19, MATCH($D20,'Rooms Walls and Glass'!$A$8:$A$19,0), MATCH('Unit 3 a'!AM$7,'Rooms Walls and Glass'!$D$1:$AB$1,0))=0,"",INDEX('Rooms Walls and Glass'!$D$8:$AB$19, MATCH($D20,'Rooms Walls and Glass'!$A$8:$A$19,0), MATCH('Unit 3 a'!AM$7,'Rooms Walls and Glass'!$D$1:$AB$1,0))))</f>
        <v/>
      </c>
      <c r="AN20" s="71" t="str">
        <f t="shared" si="28"/>
        <v>-</v>
      </c>
    </row>
    <row r="21" spans="2:40" ht="11.25" customHeight="1" thickBot="1" x14ac:dyDescent="0.2">
      <c r="B21" s="212" t="s">
        <v>79</v>
      </c>
      <c r="C21" s="12" t="s">
        <v>38</v>
      </c>
      <c r="D21" s="13" t="str">
        <f>'Rooms Walls and Glass'!A23</f>
        <v>NorthWest</v>
      </c>
      <c r="E21" s="13">
        <f>INDEX('Glass CLF Calculation'!$A$20:$G$27,MATCH('Unit 3 a'!D21,'Glass CLF Calculation'!$A$20:$A$27,0),7)</f>
        <v>19</v>
      </c>
      <c r="F21" s="14">
        <f>INDEX(Summary!$F$19:$F$30,MATCH('Unit 3 a'!C21,Summary!$D$19:$D$30,0))</f>
        <v>7.6999999999999999E-2</v>
      </c>
      <c r="G21" s="14">
        <f t="shared" si="29"/>
        <v>1.4630000000000001</v>
      </c>
      <c r="H21" s="13" t="s">
        <v>6</v>
      </c>
      <c r="I21" s="65">
        <f t="shared" si="13"/>
        <v>0</v>
      </c>
      <c r="J21" s="65">
        <f t="shared" si="14"/>
        <v>0</v>
      </c>
      <c r="K21" s="66" t="str">
        <f>IF(K$7="","",IF(INDEX('Rooms Walls and Glass'!$D$23:$AB$30, MATCH($D21,'Rooms Walls and Glass'!$A$23:$A$30,0), MATCH('Unit 3 a'!K$7,'Rooms Walls and Glass'!$D$1:$AB$1,0))=0,"",INDEX('Rooms Walls and Glass'!$D$23:$AB$30, MATCH($D21,'Rooms Walls and Glass'!$A$23:$A$30,0), MATCH('Unit 3 a'!K$7,'Rooms Walls and Glass'!$D$1:$AB$1,0))))</f>
        <v/>
      </c>
      <c r="L21" s="65" t="str">
        <f t="shared" si="15"/>
        <v>-</v>
      </c>
      <c r="M21" s="66" t="str">
        <f>IF(M$7="","",IF(INDEX('Rooms Walls and Glass'!$D$23:$AB$30, MATCH($D21,'Rooms Walls and Glass'!$A$23:$A$30,0), MATCH('Unit 3 a'!M$7,'Rooms Walls and Glass'!$D$1:$AB$1,0))=0,"",INDEX('Rooms Walls and Glass'!$D$23:$AB$30, MATCH($D21,'Rooms Walls and Glass'!$A$23:$A$30,0), MATCH('Unit 3 a'!M$7,'Rooms Walls and Glass'!$D$1:$AB$1,0))))</f>
        <v/>
      </c>
      <c r="N21" s="65" t="str">
        <f t="shared" si="16"/>
        <v>-</v>
      </c>
      <c r="O21" s="66" t="str">
        <f>IF(O$7="","",IF(INDEX('Rooms Walls and Glass'!$D$23:$AB$30, MATCH($D21,'Rooms Walls and Glass'!$A$23:$A$30,0), MATCH('Unit 3 a'!O$7,'Rooms Walls and Glass'!$D$1:$AB$1,0))=0,"",INDEX('Rooms Walls and Glass'!$D$23:$AB$30, MATCH($D21,'Rooms Walls and Glass'!$A$23:$A$30,0), MATCH('Unit 3 a'!O$7,'Rooms Walls and Glass'!$D$1:$AB$1,0))))</f>
        <v/>
      </c>
      <c r="P21" s="65" t="str">
        <f t="shared" si="17"/>
        <v>-</v>
      </c>
      <c r="Q21" s="66" t="str">
        <f>IF(Q$7="","",IF(INDEX('Rooms Walls and Glass'!$D$23:$AB$30, MATCH($D21,'Rooms Walls and Glass'!$A$23:$A$30,0), MATCH('Unit 3 a'!Q$7,'Rooms Walls and Glass'!$D$1:$AB$1,0))=0,"",INDEX('Rooms Walls and Glass'!$D$23:$AB$30, MATCH($D21,'Rooms Walls and Glass'!$A$23:$A$30,0), MATCH('Unit 3 a'!Q$7,'Rooms Walls and Glass'!$D$1:$AB$1,0))))</f>
        <v/>
      </c>
      <c r="R21" s="65" t="str">
        <f t="shared" si="18"/>
        <v>-</v>
      </c>
      <c r="S21" s="66" t="str">
        <f>IF(S$7="","",IF(INDEX('Rooms Walls and Glass'!$D$23:$AB$30, MATCH($D21,'Rooms Walls and Glass'!$A$23:$A$30,0), MATCH('Unit 3 a'!S$7,'Rooms Walls and Glass'!$D$1:$AB$1,0))=0,"",INDEX('Rooms Walls and Glass'!$D$23:$AB$30, MATCH($D21,'Rooms Walls and Glass'!$A$23:$A$30,0), MATCH('Unit 3 a'!S$7,'Rooms Walls and Glass'!$D$1:$AB$1,0))))</f>
        <v/>
      </c>
      <c r="T21" s="65" t="str">
        <f t="shared" si="19"/>
        <v>-</v>
      </c>
      <c r="U21" s="66" t="str">
        <f>IF(U$7="","",IF(INDEX('Rooms Walls and Glass'!$D$23:$AB$30, MATCH($D21,'Rooms Walls and Glass'!$A$23:$A$30,0), MATCH('Unit 3 a'!U$7,'Rooms Walls and Glass'!$D$1:$AB$1,0))=0,"",INDEX('Rooms Walls and Glass'!$D$23:$AB$30, MATCH($D21,'Rooms Walls and Glass'!$A$23:$A$30,0), MATCH('Unit 3 a'!U$7,'Rooms Walls and Glass'!$D$1:$AB$1,0))))</f>
        <v/>
      </c>
      <c r="V21" s="65" t="str">
        <f t="shared" si="20"/>
        <v>-</v>
      </c>
      <c r="W21" s="66" t="str">
        <f>IF(W$7="","",IF(INDEX('Rooms Walls and Glass'!$D$23:$AB$30, MATCH($D21,'Rooms Walls and Glass'!$A$23:$A$30,0), MATCH('Unit 3 a'!W$7,'Rooms Walls and Glass'!$D$1:$AB$1,0))=0,"",INDEX('Rooms Walls and Glass'!$D$23:$AB$30, MATCH($D21,'Rooms Walls and Glass'!$A$23:$A$30,0), MATCH('Unit 3 a'!W$7,'Rooms Walls and Glass'!$D$1:$AB$1,0))))</f>
        <v/>
      </c>
      <c r="X21" s="65" t="str">
        <f t="shared" si="21"/>
        <v>-</v>
      </c>
      <c r="Y21" s="66" t="str">
        <f>IF(Y$7="","",IF(INDEX('Rooms Walls and Glass'!$D$23:$AB$30, MATCH($D21,'Rooms Walls and Glass'!$A$23:$A$30,0), MATCH('Unit 3 a'!Y$7,'Rooms Walls and Glass'!$D$1:$AB$1,0))=0,"",INDEX('Rooms Walls and Glass'!$D$23:$AB$30, MATCH($D21,'Rooms Walls and Glass'!$A$23:$A$30,0), MATCH('Unit 3 a'!Y$7,'Rooms Walls and Glass'!$D$1:$AB$1,0))))</f>
        <v/>
      </c>
      <c r="Z21" s="65" t="str">
        <f t="shared" si="22"/>
        <v>-</v>
      </c>
      <c r="AA21" s="66" t="str">
        <f>IF(AA$7="","",IF(INDEX('Rooms Walls and Glass'!$D$23:$AB$30, MATCH($D21,'Rooms Walls and Glass'!$A$23:$A$30,0), MATCH('Unit 3 a'!AA$7,'Rooms Walls and Glass'!$D$1:$AB$1,0))=0,"",INDEX('Rooms Walls and Glass'!$D$23:$AB$30, MATCH($D21,'Rooms Walls and Glass'!$A$23:$A$30,0), MATCH('Unit 3 a'!AA$7,'Rooms Walls and Glass'!$D$1:$AB$1,0))))</f>
        <v/>
      </c>
      <c r="AB21" s="65" t="str">
        <f t="shared" si="23"/>
        <v>-</v>
      </c>
      <c r="AC21" s="66" t="str">
        <f>IF(AC$7="","",IF(INDEX('Rooms Walls and Glass'!$D$23:$AB$30, MATCH($D21,'Rooms Walls and Glass'!$A$23:$A$30,0), MATCH('Unit 3 a'!AC$7,'Rooms Walls and Glass'!$D$1:$AB$1,0))=0,"",INDEX('Rooms Walls and Glass'!$D$23:$AB$30, MATCH($D21,'Rooms Walls and Glass'!$A$23:$A$30,0), MATCH('Unit 3 a'!AC$7,'Rooms Walls and Glass'!$D$1:$AB$1,0))))</f>
        <v/>
      </c>
      <c r="AD21" s="65" t="str">
        <f t="shared" si="24"/>
        <v>-</v>
      </c>
      <c r="AE21" s="66" t="str">
        <f>IF(AE$7="","",IF(INDEX('Rooms Walls and Glass'!$D$23:$AB$30, MATCH($D21,'Rooms Walls and Glass'!$A$23:$A$30,0), MATCH('Unit 3 a'!AE$7,'Rooms Walls and Glass'!$D$1:$AB$1,0))=0,"",INDEX('Rooms Walls and Glass'!$D$23:$AB$30, MATCH($D21,'Rooms Walls and Glass'!$A$23:$A$30,0), MATCH('Unit 3 a'!AE$7,'Rooms Walls and Glass'!$D$1:$AB$1,0))))</f>
        <v/>
      </c>
      <c r="AF21" s="65" t="str">
        <f t="shared" si="24"/>
        <v>-</v>
      </c>
      <c r="AG21" s="66" t="str">
        <f>IF(AG$7="","",IF(INDEX('Rooms Walls and Glass'!$D$23:$AB$30, MATCH($D21,'Rooms Walls and Glass'!$A$23:$A$30,0), MATCH('Unit 3 a'!AG$7,'Rooms Walls and Glass'!$D$1:$AB$1,0))=0,"",INDEX('Rooms Walls and Glass'!$D$23:$AB$30, MATCH($D21,'Rooms Walls and Glass'!$A$23:$A$30,0), MATCH('Unit 3 a'!AG$7,'Rooms Walls and Glass'!$D$1:$AB$1,0))))</f>
        <v/>
      </c>
      <c r="AH21" s="65" t="str">
        <f t="shared" si="25"/>
        <v>-</v>
      </c>
      <c r="AI21" s="66" t="str">
        <f>IF(AI$7="","",IF(INDEX('Rooms Walls and Glass'!$D$23:$AB$30, MATCH($D21,'Rooms Walls and Glass'!$A$23:$A$30,0), MATCH('Unit 3 a'!AI$7,'Rooms Walls and Glass'!$D$1:$AB$1,0))=0,"",INDEX('Rooms Walls and Glass'!$D$23:$AB$30, MATCH($D21,'Rooms Walls and Glass'!$A$23:$A$30,0), MATCH('Unit 3 a'!AI$7,'Rooms Walls and Glass'!$D$1:$AB$1,0))))</f>
        <v/>
      </c>
      <c r="AJ21" s="67" t="str">
        <f t="shared" si="26"/>
        <v>-</v>
      </c>
      <c r="AK21" s="66" t="str">
        <f>IF(AK$7="","",IF(INDEX('Rooms Walls and Glass'!$D$23:$AB$30, MATCH($D21,'Rooms Walls and Glass'!$A$23:$A$30,0), MATCH('Unit 3 a'!AK$7,'Rooms Walls and Glass'!$D$1:$AB$1,0))=0,"",INDEX('Rooms Walls and Glass'!$D$23:$AB$30, MATCH($D21,'Rooms Walls and Glass'!$A$23:$A$30,0), MATCH('Unit 3 a'!AK$7,'Rooms Walls and Glass'!$D$1:$AB$1,0))))</f>
        <v/>
      </c>
      <c r="AL21" s="65" t="str">
        <f t="shared" si="27"/>
        <v>-</v>
      </c>
      <c r="AM21" s="66" t="str">
        <f>IF(AM$7="","",IF(INDEX('Rooms Walls and Glass'!$D$23:$AB$30, MATCH($D21,'Rooms Walls and Glass'!$A$23:$A$30,0), MATCH('Unit 3 a'!AM$7,'Rooms Walls and Glass'!$D$1:$AB$1,0))=0,"",INDEX('Rooms Walls and Glass'!$D$23:$AB$30, MATCH($D21,'Rooms Walls and Glass'!$A$23:$A$30,0), MATCH('Unit 3 a'!AM$7,'Rooms Walls and Glass'!$D$1:$AB$1,0))))</f>
        <v/>
      </c>
      <c r="AN21" s="67" t="str">
        <f t="shared" si="28"/>
        <v>-</v>
      </c>
    </row>
    <row r="22" spans="2:40" ht="11.25" customHeight="1" thickBot="1" x14ac:dyDescent="0.2">
      <c r="B22" s="214"/>
      <c r="C22" s="15" t="s">
        <v>38</v>
      </c>
      <c r="D22" s="13" t="str">
        <f>'Rooms Walls and Glass'!A24</f>
        <v>North</v>
      </c>
      <c r="E22" s="13">
        <f>INDEX('Glass CLF Calculation'!$A$20:$G$27,MATCH('Unit 3 a'!D22,'Glass CLF Calculation'!$A$20:$A$27,0),7)</f>
        <v>13</v>
      </c>
      <c r="F22" s="14">
        <f>INDEX(Summary!$F$19:$F$30,MATCH('Unit 3 a'!C22,Summary!$D$19:$D$30,0))</f>
        <v>7.6999999999999999E-2</v>
      </c>
      <c r="G22" s="14">
        <f t="shared" si="29"/>
        <v>1.0009999999999999</v>
      </c>
      <c r="H22" s="16" t="s">
        <v>6</v>
      </c>
      <c r="I22" s="65">
        <f t="shared" si="13"/>
        <v>0</v>
      </c>
      <c r="J22" s="68">
        <f t="shared" si="14"/>
        <v>0</v>
      </c>
      <c r="K22" s="66" t="str">
        <f>IF(K$7="","",IF(INDEX('Rooms Walls and Glass'!$D$23:$AB$30, MATCH($D22,'Rooms Walls and Glass'!$A$23:$A$30,0), MATCH('Unit 3 a'!K$7,'Rooms Walls and Glass'!$D$1:$AB$1,0))=0,"",INDEX('Rooms Walls and Glass'!$D$23:$AB$30, MATCH($D22,'Rooms Walls and Glass'!$A$23:$A$30,0), MATCH('Unit 3 a'!K$7,'Rooms Walls and Glass'!$D$1:$AB$1,0))))</f>
        <v/>
      </c>
      <c r="L22" s="68" t="str">
        <f t="shared" si="15"/>
        <v>-</v>
      </c>
      <c r="M22" s="66" t="str">
        <f>IF(M$7="","",IF(INDEX('Rooms Walls and Glass'!$D$23:$AB$30, MATCH($D22,'Rooms Walls and Glass'!$A$23:$A$30,0), MATCH('Unit 3 a'!M$7,'Rooms Walls and Glass'!$D$1:$AB$1,0))=0,"",INDEX('Rooms Walls and Glass'!$D$23:$AB$30, MATCH($D22,'Rooms Walls and Glass'!$A$23:$A$30,0), MATCH('Unit 3 a'!M$7,'Rooms Walls and Glass'!$D$1:$AB$1,0))))</f>
        <v/>
      </c>
      <c r="N22" s="68" t="str">
        <f t="shared" si="16"/>
        <v>-</v>
      </c>
      <c r="O22" s="66" t="str">
        <f>IF(O$7="","",IF(INDEX('Rooms Walls and Glass'!$D$23:$AB$30, MATCH($D22,'Rooms Walls and Glass'!$A$23:$A$30,0), MATCH('Unit 3 a'!O$7,'Rooms Walls and Glass'!$D$1:$AB$1,0))=0,"",INDEX('Rooms Walls and Glass'!$D$23:$AB$30, MATCH($D22,'Rooms Walls and Glass'!$A$23:$A$30,0), MATCH('Unit 3 a'!O$7,'Rooms Walls and Glass'!$D$1:$AB$1,0))))</f>
        <v/>
      </c>
      <c r="P22" s="68" t="str">
        <f t="shared" si="17"/>
        <v>-</v>
      </c>
      <c r="Q22" s="66" t="str">
        <f>IF(Q$7="","",IF(INDEX('Rooms Walls and Glass'!$D$23:$AB$30, MATCH($D22,'Rooms Walls and Glass'!$A$23:$A$30,0), MATCH('Unit 3 a'!Q$7,'Rooms Walls and Glass'!$D$1:$AB$1,0))=0,"",INDEX('Rooms Walls and Glass'!$D$23:$AB$30, MATCH($D22,'Rooms Walls and Glass'!$A$23:$A$30,0), MATCH('Unit 3 a'!Q$7,'Rooms Walls and Glass'!$D$1:$AB$1,0))))</f>
        <v/>
      </c>
      <c r="R22" s="68" t="str">
        <f t="shared" si="18"/>
        <v>-</v>
      </c>
      <c r="S22" s="66" t="str">
        <f>IF(S$7="","",IF(INDEX('Rooms Walls and Glass'!$D$23:$AB$30, MATCH($D22,'Rooms Walls and Glass'!$A$23:$A$30,0), MATCH('Unit 3 a'!S$7,'Rooms Walls and Glass'!$D$1:$AB$1,0))=0,"",INDEX('Rooms Walls and Glass'!$D$23:$AB$30, MATCH($D22,'Rooms Walls and Glass'!$A$23:$A$30,0), MATCH('Unit 3 a'!S$7,'Rooms Walls and Glass'!$D$1:$AB$1,0))))</f>
        <v/>
      </c>
      <c r="T22" s="68" t="str">
        <f t="shared" si="19"/>
        <v>-</v>
      </c>
      <c r="U22" s="66" t="str">
        <f>IF(U$7="","",IF(INDEX('Rooms Walls and Glass'!$D$23:$AB$30, MATCH($D22,'Rooms Walls and Glass'!$A$23:$A$30,0), MATCH('Unit 3 a'!U$7,'Rooms Walls and Glass'!$D$1:$AB$1,0))=0,"",INDEX('Rooms Walls and Glass'!$D$23:$AB$30, MATCH($D22,'Rooms Walls and Glass'!$A$23:$A$30,0), MATCH('Unit 3 a'!U$7,'Rooms Walls and Glass'!$D$1:$AB$1,0))))</f>
        <v/>
      </c>
      <c r="V22" s="68" t="str">
        <f t="shared" si="20"/>
        <v>-</v>
      </c>
      <c r="W22" s="66" t="str">
        <f>IF(W$7="","",IF(INDEX('Rooms Walls and Glass'!$D$23:$AB$30, MATCH($D22,'Rooms Walls and Glass'!$A$23:$A$30,0), MATCH('Unit 3 a'!W$7,'Rooms Walls and Glass'!$D$1:$AB$1,0))=0,"",INDEX('Rooms Walls and Glass'!$D$23:$AB$30, MATCH($D22,'Rooms Walls and Glass'!$A$23:$A$30,0), MATCH('Unit 3 a'!W$7,'Rooms Walls and Glass'!$D$1:$AB$1,0))))</f>
        <v/>
      </c>
      <c r="X22" s="68" t="str">
        <f t="shared" si="21"/>
        <v>-</v>
      </c>
      <c r="Y22" s="66" t="str">
        <f>IF(Y$7="","",IF(INDEX('Rooms Walls and Glass'!$D$23:$AB$30, MATCH($D22,'Rooms Walls and Glass'!$A$23:$A$30,0), MATCH('Unit 3 a'!Y$7,'Rooms Walls and Glass'!$D$1:$AB$1,0))=0,"",INDEX('Rooms Walls and Glass'!$D$23:$AB$30, MATCH($D22,'Rooms Walls and Glass'!$A$23:$A$30,0), MATCH('Unit 3 a'!Y$7,'Rooms Walls and Glass'!$D$1:$AB$1,0))))</f>
        <v/>
      </c>
      <c r="Z22" s="68" t="str">
        <f t="shared" si="22"/>
        <v>-</v>
      </c>
      <c r="AA22" s="66" t="str">
        <f>IF(AA$7="","",IF(INDEX('Rooms Walls and Glass'!$D$23:$AB$30, MATCH($D22,'Rooms Walls and Glass'!$A$23:$A$30,0), MATCH('Unit 3 a'!AA$7,'Rooms Walls and Glass'!$D$1:$AB$1,0))=0,"",INDEX('Rooms Walls and Glass'!$D$23:$AB$30, MATCH($D22,'Rooms Walls and Glass'!$A$23:$A$30,0), MATCH('Unit 3 a'!AA$7,'Rooms Walls and Glass'!$D$1:$AB$1,0))))</f>
        <v/>
      </c>
      <c r="AB22" s="68" t="str">
        <f t="shared" si="23"/>
        <v>-</v>
      </c>
      <c r="AC22" s="66" t="str">
        <f>IF(AC$7="","",IF(INDEX('Rooms Walls and Glass'!$D$23:$AB$30, MATCH($D22,'Rooms Walls and Glass'!$A$23:$A$30,0), MATCH('Unit 3 a'!AC$7,'Rooms Walls and Glass'!$D$1:$AB$1,0))=0,"",INDEX('Rooms Walls and Glass'!$D$23:$AB$30, MATCH($D22,'Rooms Walls and Glass'!$A$23:$A$30,0), MATCH('Unit 3 a'!AC$7,'Rooms Walls and Glass'!$D$1:$AB$1,0))))</f>
        <v/>
      </c>
      <c r="AD22" s="68" t="str">
        <f t="shared" si="24"/>
        <v>-</v>
      </c>
      <c r="AE22" s="66" t="str">
        <f>IF(AE$7="","",IF(INDEX('Rooms Walls and Glass'!$D$23:$AB$30, MATCH($D22,'Rooms Walls and Glass'!$A$23:$A$30,0), MATCH('Unit 3 a'!AE$7,'Rooms Walls and Glass'!$D$1:$AB$1,0))=0,"",INDEX('Rooms Walls and Glass'!$D$23:$AB$30, MATCH($D22,'Rooms Walls and Glass'!$A$23:$A$30,0), MATCH('Unit 3 a'!AE$7,'Rooms Walls and Glass'!$D$1:$AB$1,0))))</f>
        <v/>
      </c>
      <c r="AF22" s="68" t="str">
        <f t="shared" si="24"/>
        <v>-</v>
      </c>
      <c r="AG22" s="66" t="str">
        <f>IF(AG$7="","",IF(INDEX('Rooms Walls and Glass'!$D$23:$AB$30, MATCH($D22,'Rooms Walls and Glass'!$A$23:$A$30,0), MATCH('Unit 3 a'!AG$7,'Rooms Walls and Glass'!$D$1:$AB$1,0))=0,"",INDEX('Rooms Walls and Glass'!$D$23:$AB$30, MATCH($D22,'Rooms Walls and Glass'!$A$23:$A$30,0), MATCH('Unit 3 a'!AG$7,'Rooms Walls and Glass'!$D$1:$AB$1,0))))</f>
        <v/>
      </c>
      <c r="AH22" s="68" t="str">
        <f t="shared" si="25"/>
        <v>-</v>
      </c>
      <c r="AI22" s="66" t="str">
        <f>IF(AI$7="","",IF(INDEX('Rooms Walls and Glass'!$D$23:$AB$30, MATCH($D22,'Rooms Walls and Glass'!$A$23:$A$30,0), MATCH('Unit 3 a'!AI$7,'Rooms Walls and Glass'!$D$1:$AB$1,0))=0,"",INDEX('Rooms Walls and Glass'!$D$23:$AB$30, MATCH($D22,'Rooms Walls and Glass'!$A$23:$A$30,0), MATCH('Unit 3 a'!AI$7,'Rooms Walls and Glass'!$D$1:$AB$1,0))))</f>
        <v/>
      </c>
      <c r="AJ22" s="69" t="str">
        <f t="shared" si="26"/>
        <v>-</v>
      </c>
      <c r="AK22" s="66" t="str">
        <f>IF(AK$7="","",IF(INDEX('Rooms Walls and Glass'!$D$23:$AB$30, MATCH($D22,'Rooms Walls and Glass'!$A$23:$A$30,0), MATCH('Unit 3 a'!AK$7,'Rooms Walls and Glass'!$D$1:$AB$1,0))=0,"",INDEX('Rooms Walls and Glass'!$D$23:$AB$30, MATCH($D22,'Rooms Walls and Glass'!$A$23:$A$30,0), MATCH('Unit 3 a'!AK$7,'Rooms Walls and Glass'!$D$1:$AB$1,0))))</f>
        <v/>
      </c>
      <c r="AL22" s="68" t="str">
        <f t="shared" si="27"/>
        <v>-</v>
      </c>
      <c r="AM22" s="66" t="str">
        <f>IF(AM$7="","",IF(INDEX('Rooms Walls and Glass'!$D$23:$AB$30, MATCH($D22,'Rooms Walls and Glass'!$A$23:$A$30,0), MATCH('Unit 3 a'!AM$7,'Rooms Walls and Glass'!$D$1:$AB$1,0))=0,"",INDEX('Rooms Walls and Glass'!$D$23:$AB$30, MATCH($D22,'Rooms Walls and Glass'!$A$23:$A$30,0), MATCH('Unit 3 a'!AM$7,'Rooms Walls and Glass'!$D$1:$AB$1,0))))</f>
        <v/>
      </c>
      <c r="AN22" s="69" t="str">
        <f t="shared" si="28"/>
        <v>-</v>
      </c>
    </row>
    <row r="23" spans="2:40" ht="11.25" customHeight="1" thickBot="1" x14ac:dyDescent="0.2">
      <c r="B23" s="214"/>
      <c r="C23" s="15" t="s">
        <v>38</v>
      </c>
      <c r="D23" s="13" t="str">
        <f>'Rooms Walls and Glass'!A25</f>
        <v>NorthEast</v>
      </c>
      <c r="E23" s="13">
        <f>INDEX('Glass CLF Calculation'!$A$20:$G$27,MATCH('Unit 3 a'!D23,'Glass CLF Calculation'!$A$20:$A$27,0),7)</f>
        <v>19</v>
      </c>
      <c r="F23" s="14">
        <f>INDEX(Summary!$F$19:$F$30,MATCH('Unit 3 a'!C23,Summary!$D$19:$D$30,0))</f>
        <v>7.6999999999999999E-2</v>
      </c>
      <c r="G23" s="14">
        <f t="shared" si="29"/>
        <v>1.4630000000000001</v>
      </c>
      <c r="H23" s="16" t="s">
        <v>6</v>
      </c>
      <c r="I23" s="65">
        <f t="shared" si="13"/>
        <v>0</v>
      </c>
      <c r="J23" s="68">
        <f t="shared" si="14"/>
        <v>0</v>
      </c>
      <c r="K23" s="66" t="str">
        <f>IF(K$7="","",IF(INDEX('Rooms Walls and Glass'!$D$23:$AB$30, MATCH($D23,'Rooms Walls and Glass'!$A$23:$A$30,0), MATCH('Unit 3 a'!K$7,'Rooms Walls and Glass'!$D$1:$AB$1,0))=0,"",INDEX('Rooms Walls and Glass'!$D$23:$AB$30, MATCH($D23,'Rooms Walls and Glass'!$A$23:$A$30,0), MATCH('Unit 3 a'!K$7,'Rooms Walls and Glass'!$D$1:$AB$1,0))))</f>
        <v/>
      </c>
      <c r="L23" s="68" t="str">
        <f t="shared" si="15"/>
        <v>-</v>
      </c>
      <c r="M23" s="66" t="str">
        <f>IF(M$7="","",IF(INDEX('Rooms Walls and Glass'!$D$23:$AB$30, MATCH($D23,'Rooms Walls and Glass'!$A$23:$A$30,0), MATCH('Unit 3 a'!M$7,'Rooms Walls and Glass'!$D$1:$AB$1,0))=0,"",INDEX('Rooms Walls and Glass'!$D$23:$AB$30, MATCH($D23,'Rooms Walls and Glass'!$A$23:$A$30,0), MATCH('Unit 3 a'!M$7,'Rooms Walls and Glass'!$D$1:$AB$1,0))))</f>
        <v/>
      </c>
      <c r="N23" s="68" t="str">
        <f t="shared" si="16"/>
        <v>-</v>
      </c>
      <c r="O23" s="66" t="str">
        <f>IF(O$7="","",IF(INDEX('Rooms Walls and Glass'!$D$23:$AB$30, MATCH($D23,'Rooms Walls and Glass'!$A$23:$A$30,0), MATCH('Unit 3 a'!O$7,'Rooms Walls and Glass'!$D$1:$AB$1,0))=0,"",INDEX('Rooms Walls and Glass'!$D$23:$AB$30, MATCH($D23,'Rooms Walls and Glass'!$A$23:$A$30,0), MATCH('Unit 3 a'!O$7,'Rooms Walls and Glass'!$D$1:$AB$1,0))))</f>
        <v/>
      </c>
      <c r="P23" s="68" t="str">
        <f t="shared" si="17"/>
        <v>-</v>
      </c>
      <c r="Q23" s="66" t="str">
        <f>IF(Q$7="","",IF(INDEX('Rooms Walls and Glass'!$D$23:$AB$30, MATCH($D23,'Rooms Walls and Glass'!$A$23:$A$30,0), MATCH('Unit 3 a'!Q$7,'Rooms Walls and Glass'!$D$1:$AB$1,0))=0,"",INDEX('Rooms Walls and Glass'!$D$23:$AB$30, MATCH($D23,'Rooms Walls and Glass'!$A$23:$A$30,0), MATCH('Unit 3 a'!Q$7,'Rooms Walls and Glass'!$D$1:$AB$1,0))))</f>
        <v/>
      </c>
      <c r="R23" s="68" t="str">
        <f t="shared" si="18"/>
        <v>-</v>
      </c>
      <c r="S23" s="66" t="str">
        <f>IF(S$7="","",IF(INDEX('Rooms Walls and Glass'!$D$23:$AB$30, MATCH($D23,'Rooms Walls and Glass'!$A$23:$A$30,0), MATCH('Unit 3 a'!S$7,'Rooms Walls and Glass'!$D$1:$AB$1,0))=0,"",INDEX('Rooms Walls and Glass'!$D$23:$AB$30, MATCH($D23,'Rooms Walls and Glass'!$A$23:$A$30,0), MATCH('Unit 3 a'!S$7,'Rooms Walls and Glass'!$D$1:$AB$1,0))))</f>
        <v/>
      </c>
      <c r="T23" s="68" t="str">
        <f t="shared" si="19"/>
        <v>-</v>
      </c>
      <c r="U23" s="66" t="str">
        <f>IF(U$7="","",IF(INDEX('Rooms Walls and Glass'!$D$23:$AB$30, MATCH($D23,'Rooms Walls and Glass'!$A$23:$A$30,0), MATCH('Unit 3 a'!U$7,'Rooms Walls and Glass'!$D$1:$AB$1,0))=0,"",INDEX('Rooms Walls and Glass'!$D$23:$AB$30, MATCH($D23,'Rooms Walls and Glass'!$A$23:$A$30,0), MATCH('Unit 3 a'!U$7,'Rooms Walls and Glass'!$D$1:$AB$1,0))))</f>
        <v/>
      </c>
      <c r="V23" s="68" t="str">
        <f t="shared" si="20"/>
        <v>-</v>
      </c>
      <c r="W23" s="66" t="str">
        <f>IF(W$7="","",IF(INDEX('Rooms Walls and Glass'!$D$23:$AB$30, MATCH($D23,'Rooms Walls and Glass'!$A$23:$A$30,0), MATCH('Unit 3 a'!W$7,'Rooms Walls and Glass'!$D$1:$AB$1,0))=0,"",INDEX('Rooms Walls and Glass'!$D$23:$AB$30, MATCH($D23,'Rooms Walls and Glass'!$A$23:$A$30,0), MATCH('Unit 3 a'!W$7,'Rooms Walls and Glass'!$D$1:$AB$1,0))))</f>
        <v/>
      </c>
      <c r="X23" s="68" t="str">
        <f t="shared" si="21"/>
        <v>-</v>
      </c>
      <c r="Y23" s="66" t="str">
        <f>IF(Y$7="","",IF(INDEX('Rooms Walls and Glass'!$D$23:$AB$30, MATCH($D23,'Rooms Walls and Glass'!$A$23:$A$30,0), MATCH('Unit 3 a'!Y$7,'Rooms Walls and Glass'!$D$1:$AB$1,0))=0,"",INDEX('Rooms Walls and Glass'!$D$23:$AB$30, MATCH($D23,'Rooms Walls and Glass'!$A$23:$A$30,0), MATCH('Unit 3 a'!Y$7,'Rooms Walls and Glass'!$D$1:$AB$1,0))))</f>
        <v/>
      </c>
      <c r="Z23" s="68" t="str">
        <f t="shared" si="22"/>
        <v>-</v>
      </c>
      <c r="AA23" s="66" t="str">
        <f>IF(AA$7="","",IF(INDEX('Rooms Walls and Glass'!$D$23:$AB$30, MATCH($D23,'Rooms Walls and Glass'!$A$23:$A$30,0), MATCH('Unit 3 a'!AA$7,'Rooms Walls and Glass'!$D$1:$AB$1,0))=0,"",INDEX('Rooms Walls and Glass'!$D$23:$AB$30, MATCH($D23,'Rooms Walls and Glass'!$A$23:$A$30,0), MATCH('Unit 3 a'!AA$7,'Rooms Walls and Glass'!$D$1:$AB$1,0))))</f>
        <v/>
      </c>
      <c r="AB23" s="68" t="str">
        <f t="shared" si="23"/>
        <v>-</v>
      </c>
      <c r="AC23" s="66" t="str">
        <f>IF(AC$7="","",IF(INDEX('Rooms Walls and Glass'!$D$23:$AB$30, MATCH($D23,'Rooms Walls and Glass'!$A$23:$A$30,0), MATCH('Unit 3 a'!AC$7,'Rooms Walls and Glass'!$D$1:$AB$1,0))=0,"",INDEX('Rooms Walls and Glass'!$D$23:$AB$30, MATCH($D23,'Rooms Walls and Glass'!$A$23:$A$30,0), MATCH('Unit 3 a'!AC$7,'Rooms Walls and Glass'!$D$1:$AB$1,0))))</f>
        <v/>
      </c>
      <c r="AD23" s="68" t="str">
        <f t="shared" si="24"/>
        <v>-</v>
      </c>
      <c r="AE23" s="66" t="str">
        <f>IF(AE$7="","",IF(INDEX('Rooms Walls and Glass'!$D$23:$AB$30, MATCH($D23,'Rooms Walls and Glass'!$A$23:$A$30,0), MATCH('Unit 3 a'!AE$7,'Rooms Walls and Glass'!$D$1:$AB$1,0))=0,"",INDEX('Rooms Walls and Glass'!$D$23:$AB$30, MATCH($D23,'Rooms Walls and Glass'!$A$23:$A$30,0), MATCH('Unit 3 a'!AE$7,'Rooms Walls and Glass'!$D$1:$AB$1,0))))</f>
        <v/>
      </c>
      <c r="AF23" s="68" t="str">
        <f t="shared" si="24"/>
        <v>-</v>
      </c>
      <c r="AG23" s="66" t="str">
        <f>IF(AG$7="","",IF(INDEX('Rooms Walls and Glass'!$D$23:$AB$30, MATCH($D23,'Rooms Walls and Glass'!$A$23:$A$30,0), MATCH('Unit 3 a'!AG$7,'Rooms Walls and Glass'!$D$1:$AB$1,0))=0,"",INDEX('Rooms Walls and Glass'!$D$23:$AB$30, MATCH($D23,'Rooms Walls and Glass'!$A$23:$A$30,0), MATCH('Unit 3 a'!AG$7,'Rooms Walls and Glass'!$D$1:$AB$1,0))))</f>
        <v/>
      </c>
      <c r="AH23" s="68" t="str">
        <f t="shared" si="25"/>
        <v>-</v>
      </c>
      <c r="AI23" s="66" t="str">
        <f>IF(AI$7="","",IF(INDEX('Rooms Walls and Glass'!$D$23:$AB$30, MATCH($D23,'Rooms Walls and Glass'!$A$23:$A$30,0), MATCH('Unit 3 a'!AI$7,'Rooms Walls and Glass'!$D$1:$AB$1,0))=0,"",INDEX('Rooms Walls and Glass'!$D$23:$AB$30, MATCH($D23,'Rooms Walls and Glass'!$A$23:$A$30,0), MATCH('Unit 3 a'!AI$7,'Rooms Walls and Glass'!$D$1:$AB$1,0))))</f>
        <v/>
      </c>
      <c r="AJ23" s="69" t="str">
        <f t="shared" si="26"/>
        <v>-</v>
      </c>
      <c r="AK23" s="66" t="str">
        <f>IF(AK$7="","",IF(INDEX('Rooms Walls and Glass'!$D$23:$AB$30, MATCH($D23,'Rooms Walls and Glass'!$A$23:$A$30,0), MATCH('Unit 3 a'!AK$7,'Rooms Walls and Glass'!$D$1:$AB$1,0))=0,"",INDEX('Rooms Walls and Glass'!$D$23:$AB$30, MATCH($D23,'Rooms Walls and Glass'!$A$23:$A$30,0), MATCH('Unit 3 a'!AK$7,'Rooms Walls and Glass'!$D$1:$AB$1,0))))</f>
        <v/>
      </c>
      <c r="AL23" s="68" t="str">
        <f t="shared" si="27"/>
        <v>-</v>
      </c>
      <c r="AM23" s="66" t="str">
        <f>IF(AM$7="","",IF(INDEX('Rooms Walls and Glass'!$D$23:$AB$30, MATCH($D23,'Rooms Walls and Glass'!$A$23:$A$30,0), MATCH('Unit 3 a'!AM$7,'Rooms Walls and Glass'!$D$1:$AB$1,0))=0,"",INDEX('Rooms Walls and Glass'!$D$23:$AB$30, MATCH($D23,'Rooms Walls and Glass'!$A$23:$A$30,0), MATCH('Unit 3 a'!AM$7,'Rooms Walls and Glass'!$D$1:$AB$1,0))))</f>
        <v/>
      </c>
      <c r="AN23" s="69" t="str">
        <f t="shared" si="28"/>
        <v>-</v>
      </c>
    </row>
    <row r="24" spans="2:40" ht="11.25" customHeight="1" thickBot="1" x14ac:dyDescent="0.2">
      <c r="B24" s="214"/>
      <c r="C24" s="15" t="s">
        <v>38</v>
      </c>
      <c r="D24" s="13" t="str">
        <f>'Rooms Walls and Glass'!A26</f>
        <v>East</v>
      </c>
      <c r="E24" s="13">
        <f>INDEX('Glass CLF Calculation'!$A$20:$G$27,MATCH('Unit 3 a'!D24,'Glass CLF Calculation'!$A$20:$A$27,0),7)</f>
        <v>23</v>
      </c>
      <c r="F24" s="14">
        <f>INDEX(Summary!$F$19:$F$30,MATCH('Unit 3 a'!C24,Summary!$D$19:$D$30,0))</f>
        <v>7.6999999999999999E-2</v>
      </c>
      <c r="G24" s="14">
        <f t="shared" si="29"/>
        <v>1.7709999999999999</v>
      </c>
      <c r="H24" s="16" t="s">
        <v>6</v>
      </c>
      <c r="I24" s="65">
        <f t="shared" si="13"/>
        <v>0</v>
      </c>
      <c r="J24" s="68">
        <f t="shared" si="14"/>
        <v>0</v>
      </c>
      <c r="K24" s="66" t="str">
        <f>IF(K$7="","",IF(INDEX('Rooms Walls and Glass'!$D$23:$AB$30, MATCH($D24,'Rooms Walls and Glass'!$A$23:$A$30,0), MATCH('Unit 3 a'!K$7,'Rooms Walls and Glass'!$D$1:$AB$1,0))=0,"",INDEX('Rooms Walls and Glass'!$D$23:$AB$30, MATCH($D24,'Rooms Walls and Glass'!$A$23:$A$30,0), MATCH('Unit 3 a'!K$7,'Rooms Walls and Glass'!$D$1:$AB$1,0))))</f>
        <v/>
      </c>
      <c r="L24" s="68" t="str">
        <f t="shared" si="15"/>
        <v>-</v>
      </c>
      <c r="M24" s="66" t="str">
        <f>IF(M$7="","",IF(INDEX('Rooms Walls and Glass'!$D$23:$AB$30, MATCH($D24,'Rooms Walls and Glass'!$A$23:$A$30,0), MATCH('Unit 3 a'!M$7,'Rooms Walls and Glass'!$D$1:$AB$1,0))=0,"",INDEX('Rooms Walls and Glass'!$D$23:$AB$30, MATCH($D24,'Rooms Walls and Glass'!$A$23:$A$30,0), MATCH('Unit 3 a'!M$7,'Rooms Walls and Glass'!$D$1:$AB$1,0))))</f>
        <v/>
      </c>
      <c r="N24" s="68" t="str">
        <f t="shared" si="16"/>
        <v>-</v>
      </c>
      <c r="O24" s="66" t="str">
        <f>IF(O$7="","",IF(INDEX('Rooms Walls and Glass'!$D$23:$AB$30, MATCH($D24,'Rooms Walls and Glass'!$A$23:$A$30,0), MATCH('Unit 3 a'!O$7,'Rooms Walls and Glass'!$D$1:$AB$1,0))=0,"",INDEX('Rooms Walls and Glass'!$D$23:$AB$30, MATCH($D24,'Rooms Walls and Glass'!$A$23:$A$30,0), MATCH('Unit 3 a'!O$7,'Rooms Walls and Glass'!$D$1:$AB$1,0))))</f>
        <v/>
      </c>
      <c r="P24" s="68" t="str">
        <f t="shared" si="17"/>
        <v>-</v>
      </c>
      <c r="Q24" s="66" t="str">
        <f>IF(Q$7="","",IF(INDEX('Rooms Walls and Glass'!$D$23:$AB$30, MATCH($D24,'Rooms Walls and Glass'!$A$23:$A$30,0), MATCH('Unit 3 a'!Q$7,'Rooms Walls and Glass'!$D$1:$AB$1,0))=0,"",INDEX('Rooms Walls and Glass'!$D$23:$AB$30, MATCH($D24,'Rooms Walls and Glass'!$A$23:$A$30,0), MATCH('Unit 3 a'!Q$7,'Rooms Walls and Glass'!$D$1:$AB$1,0))))</f>
        <v/>
      </c>
      <c r="R24" s="68" t="str">
        <f t="shared" si="18"/>
        <v>-</v>
      </c>
      <c r="S24" s="66" t="str">
        <f>IF(S$7="","",IF(INDEX('Rooms Walls and Glass'!$D$23:$AB$30, MATCH($D24,'Rooms Walls and Glass'!$A$23:$A$30,0), MATCH('Unit 3 a'!S$7,'Rooms Walls and Glass'!$D$1:$AB$1,0))=0,"",INDEX('Rooms Walls and Glass'!$D$23:$AB$30, MATCH($D24,'Rooms Walls and Glass'!$A$23:$A$30,0), MATCH('Unit 3 a'!S$7,'Rooms Walls and Glass'!$D$1:$AB$1,0))))</f>
        <v/>
      </c>
      <c r="T24" s="68" t="str">
        <f t="shared" si="19"/>
        <v>-</v>
      </c>
      <c r="U24" s="66" t="str">
        <f>IF(U$7="","",IF(INDEX('Rooms Walls and Glass'!$D$23:$AB$30, MATCH($D24,'Rooms Walls and Glass'!$A$23:$A$30,0), MATCH('Unit 3 a'!U$7,'Rooms Walls and Glass'!$D$1:$AB$1,0))=0,"",INDEX('Rooms Walls and Glass'!$D$23:$AB$30, MATCH($D24,'Rooms Walls and Glass'!$A$23:$A$30,0), MATCH('Unit 3 a'!U$7,'Rooms Walls and Glass'!$D$1:$AB$1,0))))</f>
        <v/>
      </c>
      <c r="V24" s="68" t="str">
        <f t="shared" si="20"/>
        <v>-</v>
      </c>
      <c r="W24" s="66" t="str">
        <f>IF(W$7="","",IF(INDEX('Rooms Walls and Glass'!$D$23:$AB$30, MATCH($D24,'Rooms Walls and Glass'!$A$23:$A$30,0), MATCH('Unit 3 a'!W$7,'Rooms Walls and Glass'!$D$1:$AB$1,0))=0,"",INDEX('Rooms Walls and Glass'!$D$23:$AB$30, MATCH($D24,'Rooms Walls and Glass'!$A$23:$A$30,0), MATCH('Unit 3 a'!W$7,'Rooms Walls and Glass'!$D$1:$AB$1,0))))</f>
        <v/>
      </c>
      <c r="X24" s="68" t="str">
        <f t="shared" si="21"/>
        <v>-</v>
      </c>
      <c r="Y24" s="66" t="str">
        <f>IF(Y$7="","",IF(INDEX('Rooms Walls and Glass'!$D$23:$AB$30, MATCH($D24,'Rooms Walls and Glass'!$A$23:$A$30,0), MATCH('Unit 3 a'!Y$7,'Rooms Walls and Glass'!$D$1:$AB$1,0))=0,"",INDEX('Rooms Walls and Glass'!$D$23:$AB$30, MATCH($D24,'Rooms Walls and Glass'!$A$23:$A$30,0), MATCH('Unit 3 a'!Y$7,'Rooms Walls and Glass'!$D$1:$AB$1,0))))</f>
        <v/>
      </c>
      <c r="Z24" s="68" t="str">
        <f t="shared" si="22"/>
        <v>-</v>
      </c>
      <c r="AA24" s="66" t="str">
        <f>IF(AA$7="","",IF(INDEX('Rooms Walls and Glass'!$D$23:$AB$30, MATCH($D24,'Rooms Walls and Glass'!$A$23:$A$30,0), MATCH('Unit 3 a'!AA$7,'Rooms Walls and Glass'!$D$1:$AB$1,0))=0,"",INDEX('Rooms Walls and Glass'!$D$23:$AB$30, MATCH($D24,'Rooms Walls and Glass'!$A$23:$A$30,0), MATCH('Unit 3 a'!AA$7,'Rooms Walls and Glass'!$D$1:$AB$1,0))))</f>
        <v/>
      </c>
      <c r="AB24" s="68" t="str">
        <f t="shared" si="23"/>
        <v>-</v>
      </c>
      <c r="AC24" s="66" t="str">
        <f>IF(AC$7="","",IF(INDEX('Rooms Walls and Glass'!$D$23:$AB$30, MATCH($D24,'Rooms Walls and Glass'!$A$23:$A$30,0), MATCH('Unit 3 a'!AC$7,'Rooms Walls and Glass'!$D$1:$AB$1,0))=0,"",INDEX('Rooms Walls and Glass'!$D$23:$AB$30, MATCH($D24,'Rooms Walls and Glass'!$A$23:$A$30,0), MATCH('Unit 3 a'!AC$7,'Rooms Walls and Glass'!$D$1:$AB$1,0))))</f>
        <v/>
      </c>
      <c r="AD24" s="68" t="str">
        <f t="shared" si="24"/>
        <v>-</v>
      </c>
      <c r="AE24" s="66" t="str">
        <f>IF(AE$7="","",IF(INDEX('Rooms Walls and Glass'!$D$23:$AB$30, MATCH($D24,'Rooms Walls and Glass'!$A$23:$A$30,0), MATCH('Unit 3 a'!AE$7,'Rooms Walls and Glass'!$D$1:$AB$1,0))=0,"",INDEX('Rooms Walls and Glass'!$D$23:$AB$30, MATCH($D24,'Rooms Walls and Glass'!$A$23:$A$30,0), MATCH('Unit 3 a'!AE$7,'Rooms Walls and Glass'!$D$1:$AB$1,0))))</f>
        <v/>
      </c>
      <c r="AF24" s="68" t="str">
        <f t="shared" si="24"/>
        <v>-</v>
      </c>
      <c r="AG24" s="66" t="str">
        <f>IF(AG$7="","",IF(INDEX('Rooms Walls and Glass'!$D$23:$AB$30, MATCH($D24,'Rooms Walls and Glass'!$A$23:$A$30,0), MATCH('Unit 3 a'!AG$7,'Rooms Walls and Glass'!$D$1:$AB$1,0))=0,"",INDEX('Rooms Walls and Glass'!$D$23:$AB$30, MATCH($D24,'Rooms Walls and Glass'!$A$23:$A$30,0), MATCH('Unit 3 a'!AG$7,'Rooms Walls and Glass'!$D$1:$AB$1,0))))</f>
        <v/>
      </c>
      <c r="AH24" s="68" t="str">
        <f t="shared" si="25"/>
        <v>-</v>
      </c>
      <c r="AI24" s="66" t="str">
        <f>IF(AI$7="","",IF(INDEX('Rooms Walls and Glass'!$D$23:$AB$30, MATCH($D24,'Rooms Walls and Glass'!$A$23:$A$30,0), MATCH('Unit 3 a'!AI$7,'Rooms Walls and Glass'!$D$1:$AB$1,0))=0,"",INDEX('Rooms Walls and Glass'!$D$23:$AB$30, MATCH($D24,'Rooms Walls and Glass'!$A$23:$A$30,0), MATCH('Unit 3 a'!AI$7,'Rooms Walls and Glass'!$D$1:$AB$1,0))))</f>
        <v/>
      </c>
      <c r="AJ24" s="69" t="str">
        <f t="shared" si="26"/>
        <v>-</v>
      </c>
      <c r="AK24" s="66" t="str">
        <f>IF(AK$7="","",IF(INDEX('Rooms Walls and Glass'!$D$23:$AB$30, MATCH($D24,'Rooms Walls and Glass'!$A$23:$A$30,0), MATCH('Unit 3 a'!AK$7,'Rooms Walls and Glass'!$D$1:$AB$1,0))=0,"",INDEX('Rooms Walls and Glass'!$D$23:$AB$30, MATCH($D24,'Rooms Walls and Glass'!$A$23:$A$30,0), MATCH('Unit 3 a'!AK$7,'Rooms Walls and Glass'!$D$1:$AB$1,0))))</f>
        <v/>
      </c>
      <c r="AL24" s="68" t="str">
        <f t="shared" si="27"/>
        <v>-</v>
      </c>
      <c r="AM24" s="66" t="str">
        <f>IF(AM$7="","",IF(INDEX('Rooms Walls and Glass'!$D$23:$AB$30, MATCH($D24,'Rooms Walls and Glass'!$A$23:$A$30,0), MATCH('Unit 3 a'!AM$7,'Rooms Walls and Glass'!$D$1:$AB$1,0))=0,"",INDEX('Rooms Walls and Glass'!$D$23:$AB$30, MATCH($D24,'Rooms Walls and Glass'!$A$23:$A$30,0), MATCH('Unit 3 a'!AM$7,'Rooms Walls and Glass'!$D$1:$AB$1,0))))</f>
        <v/>
      </c>
      <c r="AN24" s="69" t="str">
        <f t="shared" si="28"/>
        <v>-</v>
      </c>
    </row>
    <row r="25" spans="2:40" ht="11.25" customHeight="1" thickBot="1" x14ac:dyDescent="0.2">
      <c r="B25" s="214"/>
      <c r="C25" s="15" t="s">
        <v>38</v>
      </c>
      <c r="D25" s="13" t="str">
        <f>'Rooms Walls and Glass'!A27</f>
        <v>SouthEast</v>
      </c>
      <c r="E25" s="13">
        <f>INDEX('Glass CLF Calculation'!$A$20:$G$27,MATCH('Unit 3 a'!D25,'Glass CLF Calculation'!$A$20:$A$27,0),7)</f>
        <v>21</v>
      </c>
      <c r="F25" s="14">
        <f>INDEX(Summary!$F$19:$F$30,MATCH('Unit 3 a'!C25,Summary!$D$19:$D$30,0))</f>
        <v>7.6999999999999999E-2</v>
      </c>
      <c r="G25" s="14">
        <f t="shared" si="29"/>
        <v>1.617</v>
      </c>
      <c r="H25" s="16" t="s">
        <v>6</v>
      </c>
      <c r="I25" s="65">
        <f t="shared" si="13"/>
        <v>0</v>
      </c>
      <c r="J25" s="68">
        <f t="shared" si="14"/>
        <v>0</v>
      </c>
      <c r="K25" s="66" t="str">
        <f>IF(K$7="","",IF(INDEX('Rooms Walls and Glass'!$D$23:$AB$30, MATCH($D25,'Rooms Walls and Glass'!$A$23:$A$30,0), MATCH('Unit 3 a'!K$7,'Rooms Walls and Glass'!$D$1:$AB$1,0))=0,"",INDEX('Rooms Walls and Glass'!$D$23:$AB$30, MATCH($D25,'Rooms Walls and Glass'!$A$23:$A$30,0), MATCH('Unit 3 a'!K$7,'Rooms Walls and Glass'!$D$1:$AB$1,0))))</f>
        <v/>
      </c>
      <c r="L25" s="68" t="str">
        <f t="shared" si="15"/>
        <v>-</v>
      </c>
      <c r="M25" s="66" t="str">
        <f>IF(M$7="","",IF(INDEX('Rooms Walls and Glass'!$D$23:$AB$30, MATCH($D25,'Rooms Walls and Glass'!$A$23:$A$30,0), MATCH('Unit 3 a'!M$7,'Rooms Walls and Glass'!$D$1:$AB$1,0))=0,"",INDEX('Rooms Walls and Glass'!$D$23:$AB$30, MATCH($D25,'Rooms Walls and Glass'!$A$23:$A$30,0), MATCH('Unit 3 a'!M$7,'Rooms Walls and Glass'!$D$1:$AB$1,0))))</f>
        <v/>
      </c>
      <c r="N25" s="68" t="str">
        <f t="shared" si="16"/>
        <v>-</v>
      </c>
      <c r="O25" s="66" t="str">
        <f>IF(O$7="","",IF(INDEX('Rooms Walls and Glass'!$D$23:$AB$30, MATCH($D25,'Rooms Walls and Glass'!$A$23:$A$30,0), MATCH('Unit 3 a'!O$7,'Rooms Walls and Glass'!$D$1:$AB$1,0))=0,"",INDEX('Rooms Walls and Glass'!$D$23:$AB$30, MATCH($D25,'Rooms Walls and Glass'!$A$23:$A$30,0), MATCH('Unit 3 a'!O$7,'Rooms Walls and Glass'!$D$1:$AB$1,0))))</f>
        <v/>
      </c>
      <c r="P25" s="68" t="str">
        <f t="shared" si="17"/>
        <v>-</v>
      </c>
      <c r="Q25" s="66" t="str">
        <f>IF(Q$7="","",IF(INDEX('Rooms Walls and Glass'!$D$23:$AB$30, MATCH($D25,'Rooms Walls and Glass'!$A$23:$A$30,0), MATCH('Unit 3 a'!Q$7,'Rooms Walls and Glass'!$D$1:$AB$1,0))=0,"",INDEX('Rooms Walls and Glass'!$D$23:$AB$30, MATCH($D25,'Rooms Walls and Glass'!$A$23:$A$30,0), MATCH('Unit 3 a'!Q$7,'Rooms Walls and Glass'!$D$1:$AB$1,0))))</f>
        <v/>
      </c>
      <c r="R25" s="68" t="str">
        <f t="shared" si="18"/>
        <v>-</v>
      </c>
      <c r="S25" s="66" t="str">
        <f>IF(S$7="","",IF(INDEX('Rooms Walls and Glass'!$D$23:$AB$30, MATCH($D25,'Rooms Walls and Glass'!$A$23:$A$30,0), MATCH('Unit 3 a'!S$7,'Rooms Walls and Glass'!$D$1:$AB$1,0))=0,"",INDEX('Rooms Walls and Glass'!$D$23:$AB$30, MATCH($D25,'Rooms Walls and Glass'!$A$23:$A$30,0), MATCH('Unit 3 a'!S$7,'Rooms Walls and Glass'!$D$1:$AB$1,0))))</f>
        <v/>
      </c>
      <c r="T25" s="68" t="str">
        <f t="shared" si="19"/>
        <v>-</v>
      </c>
      <c r="U25" s="66" t="str">
        <f>IF(U$7="","",IF(INDEX('Rooms Walls and Glass'!$D$23:$AB$30, MATCH($D25,'Rooms Walls and Glass'!$A$23:$A$30,0), MATCH('Unit 3 a'!U$7,'Rooms Walls and Glass'!$D$1:$AB$1,0))=0,"",INDEX('Rooms Walls and Glass'!$D$23:$AB$30, MATCH($D25,'Rooms Walls and Glass'!$A$23:$A$30,0), MATCH('Unit 3 a'!U$7,'Rooms Walls and Glass'!$D$1:$AB$1,0))))</f>
        <v/>
      </c>
      <c r="V25" s="68" t="str">
        <f t="shared" si="20"/>
        <v>-</v>
      </c>
      <c r="W25" s="66" t="str">
        <f>IF(W$7="","",IF(INDEX('Rooms Walls and Glass'!$D$23:$AB$30, MATCH($D25,'Rooms Walls and Glass'!$A$23:$A$30,0), MATCH('Unit 3 a'!W$7,'Rooms Walls and Glass'!$D$1:$AB$1,0))=0,"",INDEX('Rooms Walls and Glass'!$D$23:$AB$30, MATCH($D25,'Rooms Walls and Glass'!$A$23:$A$30,0), MATCH('Unit 3 a'!W$7,'Rooms Walls and Glass'!$D$1:$AB$1,0))))</f>
        <v/>
      </c>
      <c r="X25" s="68" t="str">
        <f t="shared" si="21"/>
        <v>-</v>
      </c>
      <c r="Y25" s="66" t="str">
        <f>IF(Y$7="","",IF(INDEX('Rooms Walls and Glass'!$D$23:$AB$30, MATCH($D25,'Rooms Walls and Glass'!$A$23:$A$30,0), MATCH('Unit 3 a'!Y$7,'Rooms Walls and Glass'!$D$1:$AB$1,0))=0,"",INDEX('Rooms Walls and Glass'!$D$23:$AB$30, MATCH($D25,'Rooms Walls and Glass'!$A$23:$A$30,0), MATCH('Unit 3 a'!Y$7,'Rooms Walls and Glass'!$D$1:$AB$1,0))))</f>
        <v/>
      </c>
      <c r="Z25" s="68" t="str">
        <f t="shared" si="22"/>
        <v>-</v>
      </c>
      <c r="AA25" s="66" t="str">
        <f>IF(AA$7="","",IF(INDEX('Rooms Walls and Glass'!$D$23:$AB$30, MATCH($D25,'Rooms Walls and Glass'!$A$23:$A$30,0), MATCH('Unit 3 a'!AA$7,'Rooms Walls and Glass'!$D$1:$AB$1,0))=0,"",INDEX('Rooms Walls and Glass'!$D$23:$AB$30, MATCH($D25,'Rooms Walls and Glass'!$A$23:$A$30,0), MATCH('Unit 3 a'!AA$7,'Rooms Walls and Glass'!$D$1:$AB$1,0))))</f>
        <v/>
      </c>
      <c r="AB25" s="68" t="str">
        <f t="shared" si="23"/>
        <v>-</v>
      </c>
      <c r="AC25" s="66" t="str">
        <f>IF(AC$7="","",IF(INDEX('Rooms Walls and Glass'!$D$23:$AB$30, MATCH($D25,'Rooms Walls and Glass'!$A$23:$A$30,0), MATCH('Unit 3 a'!AC$7,'Rooms Walls and Glass'!$D$1:$AB$1,0))=0,"",INDEX('Rooms Walls and Glass'!$D$23:$AB$30, MATCH($D25,'Rooms Walls and Glass'!$A$23:$A$30,0), MATCH('Unit 3 a'!AC$7,'Rooms Walls and Glass'!$D$1:$AB$1,0))))</f>
        <v/>
      </c>
      <c r="AD25" s="68" t="str">
        <f t="shared" si="24"/>
        <v>-</v>
      </c>
      <c r="AE25" s="66" t="str">
        <f>IF(AE$7="","",IF(INDEX('Rooms Walls and Glass'!$D$23:$AB$30, MATCH($D25,'Rooms Walls and Glass'!$A$23:$A$30,0), MATCH('Unit 3 a'!AE$7,'Rooms Walls and Glass'!$D$1:$AB$1,0))=0,"",INDEX('Rooms Walls and Glass'!$D$23:$AB$30, MATCH($D25,'Rooms Walls and Glass'!$A$23:$A$30,0), MATCH('Unit 3 a'!AE$7,'Rooms Walls and Glass'!$D$1:$AB$1,0))))</f>
        <v/>
      </c>
      <c r="AF25" s="68" t="str">
        <f t="shared" si="24"/>
        <v>-</v>
      </c>
      <c r="AG25" s="66" t="str">
        <f>IF(AG$7="","",IF(INDEX('Rooms Walls and Glass'!$D$23:$AB$30, MATCH($D25,'Rooms Walls and Glass'!$A$23:$A$30,0), MATCH('Unit 3 a'!AG$7,'Rooms Walls and Glass'!$D$1:$AB$1,0))=0,"",INDEX('Rooms Walls and Glass'!$D$23:$AB$30, MATCH($D25,'Rooms Walls and Glass'!$A$23:$A$30,0), MATCH('Unit 3 a'!AG$7,'Rooms Walls and Glass'!$D$1:$AB$1,0))))</f>
        <v/>
      </c>
      <c r="AH25" s="68" t="str">
        <f t="shared" si="25"/>
        <v>-</v>
      </c>
      <c r="AI25" s="66" t="str">
        <f>IF(AI$7="","",IF(INDEX('Rooms Walls and Glass'!$D$23:$AB$30, MATCH($D25,'Rooms Walls and Glass'!$A$23:$A$30,0), MATCH('Unit 3 a'!AI$7,'Rooms Walls and Glass'!$D$1:$AB$1,0))=0,"",INDEX('Rooms Walls and Glass'!$D$23:$AB$30, MATCH($D25,'Rooms Walls and Glass'!$A$23:$A$30,0), MATCH('Unit 3 a'!AI$7,'Rooms Walls and Glass'!$D$1:$AB$1,0))))</f>
        <v/>
      </c>
      <c r="AJ25" s="69" t="str">
        <f t="shared" si="26"/>
        <v>-</v>
      </c>
      <c r="AK25" s="66" t="str">
        <f>IF(AK$7="","",IF(INDEX('Rooms Walls and Glass'!$D$23:$AB$30, MATCH($D25,'Rooms Walls and Glass'!$A$23:$A$30,0), MATCH('Unit 3 a'!AK$7,'Rooms Walls and Glass'!$D$1:$AB$1,0))=0,"",INDEX('Rooms Walls and Glass'!$D$23:$AB$30, MATCH($D25,'Rooms Walls and Glass'!$A$23:$A$30,0), MATCH('Unit 3 a'!AK$7,'Rooms Walls and Glass'!$D$1:$AB$1,0))))</f>
        <v/>
      </c>
      <c r="AL25" s="68" t="str">
        <f t="shared" si="27"/>
        <v>-</v>
      </c>
      <c r="AM25" s="66" t="str">
        <f>IF(AM$7="","",IF(INDEX('Rooms Walls and Glass'!$D$23:$AB$30, MATCH($D25,'Rooms Walls and Glass'!$A$23:$A$30,0), MATCH('Unit 3 a'!AM$7,'Rooms Walls and Glass'!$D$1:$AB$1,0))=0,"",INDEX('Rooms Walls and Glass'!$D$23:$AB$30, MATCH($D25,'Rooms Walls and Glass'!$A$23:$A$30,0), MATCH('Unit 3 a'!AM$7,'Rooms Walls and Glass'!$D$1:$AB$1,0))))</f>
        <v/>
      </c>
      <c r="AN25" s="69" t="str">
        <f t="shared" si="28"/>
        <v>-</v>
      </c>
    </row>
    <row r="26" spans="2:40" ht="11.25" customHeight="1" thickBot="1" x14ac:dyDescent="0.2">
      <c r="B26" s="214"/>
      <c r="C26" s="15" t="s">
        <v>38</v>
      </c>
      <c r="D26" s="13" t="str">
        <f>'Rooms Walls and Glass'!A28</f>
        <v>South</v>
      </c>
      <c r="E26" s="13">
        <f>INDEX('Glass CLF Calculation'!$A$20:$G$27,MATCH('Unit 3 a'!D26,'Glass CLF Calculation'!$A$20:$A$27,0),7)</f>
        <v>16</v>
      </c>
      <c r="F26" s="14">
        <f>INDEX(Summary!$F$19:$F$30,MATCH('Unit 3 a'!C26,Summary!$D$19:$D$30,0))</f>
        <v>7.6999999999999999E-2</v>
      </c>
      <c r="G26" s="14">
        <f t="shared" si="29"/>
        <v>1.232</v>
      </c>
      <c r="H26" s="16" t="s">
        <v>6</v>
      </c>
      <c r="I26" s="65">
        <f t="shared" si="13"/>
        <v>0</v>
      </c>
      <c r="J26" s="68">
        <f t="shared" si="14"/>
        <v>0</v>
      </c>
      <c r="K26" s="66" t="str">
        <f>IF(K$7="","",IF(INDEX('Rooms Walls and Glass'!$D$23:$AB$30, MATCH($D26,'Rooms Walls and Glass'!$A$23:$A$30,0), MATCH('Unit 3 a'!K$7,'Rooms Walls and Glass'!$D$1:$AB$1,0))=0,"",INDEX('Rooms Walls and Glass'!$D$23:$AB$30, MATCH($D26,'Rooms Walls and Glass'!$A$23:$A$30,0), MATCH('Unit 3 a'!K$7,'Rooms Walls and Glass'!$D$1:$AB$1,0))))</f>
        <v/>
      </c>
      <c r="L26" s="68" t="str">
        <f t="shared" si="15"/>
        <v>-</v>
      </c>
      <c r="M26" s="66" t="str">
        <f>IF(M$7="","",IF(INDEX('Rooms Walls and Glass'!$D$23:$AB$30, MATCH($D26,'Rooms Walls and Glass'!$A$23:$A$30,0), MATCH('Unit 3 a'!M$7,'Rooms Walls and Glass'!$D$1:$AB$1,0))=0,"",INDEX('Rooms Walls and Glass'!$D$23:$AB$30, MATCH($D26,'Rooms Walls and Glass'!$A$23:$A$30,0), MATCH('Unit 3 a'!M$7,'Rooms Walls and Glass'!$D$1:$AB$1,0))))</f>
        <v/>
      </c>
      <c r="N26" s="68" t="str">
        <f t="shared" si="16"/>
        <v>-</v>
      </c>
      <c r="O26" s="66" t="str">
        <f>IF(O$7="","",IF(INDEX('Rooms Walls and Glass'!$D$23:$AB$30, MATCH($D26,'Rooms Walls and Glass'!$A$23:$A$30,0), MATCH('Unit 3 a'!O$7,'Rooms Walls and Glass'!$D$1:$AB$1,0))=0,"",INDEX('Rooms Walls and Glass'!$D$23:$AB$30, MATCH($D26,'Rooms Walls and Glass'!$A$23:$A$30,0), MATCH('Unit 3 a'!O$7,'Rooms Walls and Glass'!$D$1:$AB$1,0))))</f>
        <v/>
      </c>
      <c r="P26" s="68" t="str">
        <f t="shared" si="17"/>
        <v>-</v>
      </c>
      <c r="Q26" s="66" t="str">
        <f>IF(Q$7="","",IF(INDEX('Rooms Walls and Glass'!$D$23:$AB$30, MATCH($D26,'Rooms Walls and Glass'!$A$23:$A$30,0), MATCH('Unit 3 a'!Q$7,'Rooms Walls and Glass'!$D$1:$AB$1,0))=0,"",INDEX('Rooms Walls and Glass'!$D$23:$AB$30, MATCH($D26,'Rooms Walls and Glass'!$A$23:$A$30,0), MATCH('Unit 3 a'!Q$7,'Rooms Walls and Glass'!$D$1:$AB$1,0))))</f>
        <v/>
      </c>
      <c r="R26" s="68" t="str">
        <f t="shared" si="18"/>
        <v>-</v>
      </c>
      <c r="S26" s="66" t="str">
        <f>IF(S$7="","",IF(INDEX('Rooms Walls and Glass'!$D$23:$AB$30, MATCH($D26,'Rooms Walls and Glass'!$A$23:$A$30,0), MATCH('Unit 3 a'!S$7,'Rooms Walls and Glass'!$D$1:$AB$1,0))=0,"",INDEX('Rooms Walls and Glass'!$D$23:$AB$30, MATCH($D26,'Rooms Walls and Glass'!$A$23:$A$30,0), MATCH('Unit 3 a'!S$7,'Rooms Walls and Glass'!$D$1:$AB$1,0))))</f>
        <v/>
      </c>
      <c r="T26" s="68" t="str">
        <f t="shared" si="19"/>
        <v>-</v>
      </c>
      <c r="U26" s="66" t="str">
        <f>IF(U$7="","",IF(INDEX('Rooms Walls and Glass'!$D$23:$AB$30, MATCH($D26,'Rooms Walls and Glass'!$A$23:$A$30,0), MATCH('Unit 3 a'!U$7,'Rooms Walls and Glass'!$D$1:$AB$1,0))=0,"",INDEX('Rooms Walls and Glass'!$D$23:$AB$30, MATCH($D26,'Rooms Walls and Glass'!$A$23:$A$30,0), MATCH('Unit 3 a'!U$7,'Rooms Walls and Glass'!$D$1:$AB$1,0))))</f>
        <v/>
      </c>
      <c r="V26" s="68" t="str">
        <f t="shared" si="20"/>
        <v>-</v>
      </c>
      <c r="W26" s="66" t="str">
        <f>IF(W$7="","",IF(INDEX('Rooms Walls and Glass'!$D$23:$AB$30, MATCH($D26,'Rooms Walls and Glass'!$A$23:$A$30,0), MATCH('Unit 3 a'!W$7,'Rooms Walls and Glass'!$D$1:$AB$1,0))=0,"",INDEX('Rooms Walls and Glass'!$D$23:$AB$30, MATCH($D26,'Rooms Walls and Glass'!$A$23:$A$30,0), MATCH('Unit 3 a'!W$7,'Rooms Walls and Glass'!$D$1:$AB$1,0))))</f>
        <v/>
      </c>
      <c r="X26" s="68" t="str">
        <f t="shared" si="21"/>
        <v>-</v>
      </c>
      <c r="Y26" s="66" t="str">
        <f>IF(Y$7="","",IF(INDEX('Rooms Walls and Glass'!$D$23:$AB$30, MATCH($D26,'Rooms Walls and Glass'!$A$23:$A$30,0), MATCH('Unit 3 a'!Y$7,'Rooms Walls and Glass'!$D$1:$AB$1,0))=0,"",INDEX('Rooms Walls and Glass'!$D$23:$AB$30, MATCH($D26,'Rooms Walls and Glass'!$A$23:$A$30,0), MATCH('Unit 3 a'!Y$7,'Rooms Walls and Glass'!$D$1:$AB$1,0))))</f>
        <v/>
      </c>
      <c r="Z26" s="68" t="str">
        <f t="shared" si="22"/>
        <v>-</v>
      </c>
      <c r="AA26" s="66" t="str">
        <f>IF(AA$7="","",IF(INDEX('Rooms Walls and Glass'!$D$23:$AB$30, MATCH($D26,'Rooms Walls and Glass'!$A$23:$A$30,0), MATCH('Unit 3 a'!AA$7,'Rooms Walls and Glass'!$D$1:$AB$1,0))=0,"",INDEX('Rooms Walls and Glass'!$D$23:$AB$30, MATCH($D26,'Rooms Walls and Glass'!$A$23:$A$30,0), MATCH('Unit 3 a'!AA$7,'Rooms Walls and Glass'!$D$1:$AB$1,0))))</f>
        <v/>
      </c>
      <c r="AB26" s="68" t="str">
        <f t="shared" si="23"/>
        <v>-</v>
      </c>
      <c r="AC26" s="66" t="str">
        <f>IF(AC$7="","",IF(INDEX('Rooms Walls and Glass'!$D$23:$AB$30, MATCH($D26,'Rooms Walls and Glass'!$A$23:$A$30,0), MATCH('Unit 3 a'!AC$7,'Rooms Walls and Glass'!$D$1:$AB$1,0))=0,"",INDEX('Rooms Walls and Glass'!$D$23:$AB$30, MATCH($D26,'Rooms Walls and Glass'!$A$23:$A$30,0), MATCH('Unit 3 a'!AC$7,'Rooms Walls and Glass'!$D$1:$AB$1,0))))</f>
        <v/>
      </c>
      <c r="AD26" s="68" t="str">
        <f t="shared" ref="AD26:AD47" si="30">IF(AC26="","-",AC26*$G26)</f>
        <v>-</v>
      </c>
      <c r="AE26" s="66" t="str">
        <f>IF(AE$7="","",IF(INDEX('Rooms Walls and Glass'!$D$23:$AB$30, MATCH($D26,'Rooms Walls and Glass'!$A$23:$A$30,0), MATCH('Unit 3 a'!AE$7,'Rooms Walls and Glass'!$D$1:$AB$1,0))=0,"",INDEX('Rooms Walls and Glass'!$D$23:$AB$30, MATCH($D26,'Rooms Walls and Glass'!$A$23:$A$30,0), MATCH('Unit 3 a'!AE$7,'Rooms Walls and Glass'!$D$1:$AB$1,0))))</f>
        <v/>
      </c>
      <c r="AF26" s="68" t="str">
        <f t="shared" ref="AF26:AF47" si="31">IF(AE26="","-",AE26*$G26)</f>
        <v>-</v>
      </c>
      <c r="AG26" s="66" t="str">
        <f>IF(AG$7="","",IF(INDEX('Rooms Walls and Glass'!$D$23:$AB$30, MATCH($D26,'Rooms Walls and Glass'!$A$23:$A$30,0), MATCH('Unit 3 a'!AG$7,'Rooms Walls and Glass'!$D$1:$AB$1,0))=0,"",INDEX('Rooms Walls and Glass'!$D$23:$AB$30, MATCH($D26,'Rooms Walls and Glass'!$A$23:$A$30,0), MATCH('Unit 3 a'!AG$7,'Rooms Walls and Glass'!$D$1:$AB$1,0))))</f>
        <v/>
      </c>
      <c r="AH26" s="68" t="str">
        <f t="shared" si="25"/>
        <v>-</v>
      </c>
      <c r="AI26" s="66" t="str">
        <f>IF(AI$7="","",IF(INDEX('Rooms Walls and Glass'!$D$23:$AB$30, MATCH($D26,'Rooms Walls and Glass'!$A$23:$A$30,0), MATCH('Unit 3 a'!AI$7,'Rooms Walls and Glass'!$D$1:$AB$1,0))=0,"",INDEX('Rooms Walls and Glass'!$D$23:$AB$30, MATCH($D26,'Rooms Walls and Glass'!$A$23:$A$30,0), MATCH('Unit 3 a'!AI$7,'Rooms Walls and Glass'!$D$1:$AB$1,0))))</f>
        <v/>
      </c>
      <c r="AJ26" s="69" t="str">
        <f t="shared" si="26"/>
        <v>-</v>
      </c>
      <c r="AK26" s="66" t="str">
        <f>IF(AK$7="","",IF(INDEX('Rooms Walls and Glass'!$D$23:$AB$30, MATCH($D26,'Rooms Walls and Glass'!$A$23:$A$30,0), MATCH('Unit 3 a'!AK$7,'Rooms Walls and Glass'!$D$1:$AB$1,0))=0,"",INDEX('Rooms Walls and Glass'!$D$23:$AB$30, MATCH($D26,'Rooms Walls and Glass'!$A$23:$A$30,0), MATCH('Unit 3 a'!AK$7,'Rooms Walls and Glass'!$D$1:$AB$1,0))))</f>
        <v/>
      </c>
      <c r="AL26" s="68" t="str">
        <f t="shared" si="27"/>
        <v>-</v>
      </c>
      <c r="AM26" s="66" t="str">
        <f>IF(AM$7="","",IF(INDEX('Rooms Walls and Glass'!$D$23:$AB$30, MATCH($D26,'Rooms Walls and Glass'!$A$23:$A$30,0), MATCH('Unit 3 a'!AM$7,'Rooms Walls and Glass'!$D$1:$AB$1,0))=0,"",INDEX('Rooms Walls and Glass'!$D$23:$AB$30, MATCH($D26,'Rooms Walls and Glass'!$A$23:$A$30,0), MATCH('Unit 3 a'!AM$7,'Rooms Walls and Glass'!$D$1:$AB$1,0))))</f>
        <v/>
      </c>
      <c r="AN26" s="69" t="str">
        <f t="shared" si="28"/>
        <v>-</v>
      </c>
    </row>
    <row r="27" spans="2:40" ht="11.25" customHeight="1" thickBot="1" x14ac:dyDescent="0.2">
      <c r="B27" s="214"/>
      <c r="C27" s="15" t="s">
        <v>38</v>
      </c>
      <c r="D27" s="13" t="str">
        <f>'Rooms Walls and Glass'!A29</f>
        <v>SouthWest</v>
      </c>
      <c r="E27" s="13">
        <f>INDEX('Glass CLF Calculation'!$A$20:$G$27,MATCH('Unit 3 a'!D27,'Glass CLF Calculation'!$A$20:$A$27,0),7)</f>
        <v>21</v>
      </c>
      <c r="F27" s="14">
        <f>INDEX(Summary!$F$19:$F$30,MATCH('Unit 3 a'!C27,Summary!$D$19:$D$30,0))</f>
        <v>7.6999999999999999E-2</v>
      </c>
      <c r="G27" s="14">
        <f t="shared" si="29"/>
        <v>1.617</v>
      </c>
      <c r="H27" s="16" t="s">
        <v>6</v>
      </c>
      <c r="I27" s="65">
        <f t="shared" si="13"/>
        <v>0</v>
      </c>
      <c r="J27" s="68">
        <f t="shared" si="14"/>
        <v>0</v>
      </c>
      <c r="K27" s="66" t="str">
        <f>IF(K$7="","",IF(INDEX('Rooms Walls and Glass'!$D$23:$AB$30, MATCH($D27,'Rooms Walls and Glass'!$A$23:$A$30,0), MATCH('Unit 3 a'!K$7,'Rooms Walls and Glass'!$D$1:$AB$1,0))=0,"",INDEX('Rooms Walls and Glass'!$D$23:$AB$30, MATCH($D27,'Rooms Walls and Glass'!$A$23:$A$30,0), MATCH('Unit 3 a'!K$7,'Rooms Walls and Glass'!$D$1:$AB$1,0))))</f>
        <v/>
      </c>
      <c r="L27" s="68" t="str">
        <f t="shared" si="15"/>
        <v>-</v>
      </c>
      <c r="M27" s="66" t="str">
        <f>IF(M$7="","",IF(INDEX('Rooms Walls and Glass'!$D$23:$AB$30, MATCH($D27,'Rooms Walls and Glass'!$A$23:$A$30,0), MATCH('Unit 3 a'!M$7,'Rooms Walls and Glass'!$D$1:$AB$1,0))=0,"",INDEX('Rooms Walls and Glass'!$D$23:$AB$30, MATCH($D27,'Rooms Walls and Glass'!$A$23:$A$30,0), MATCH('Unit 3 a'!M$7,'Rooms Walls and Glass'!$D$1:$AB$1,0))))</f>
        <v/>
      </c>
      <c r="N27" s="68" t="str">
        <f t="shared" si="16"/>
        <v>-</v>
      </c>
      <c r="O27" s="66" t="str">
        <f>IF(O$7="","",IF(INDEX('Rooms Walls and Glass'!$D$23:$AB$30, MATCH($D27,'Rooms Walls and Glass'!$A$23:$A$30,0), MATCH('Unit 3 a'!O$7,'Rooms Walls and Glass'!$D$1:$AB$1,0))=0,"",INDEX('Rooms Walls and Glass'!$D$23:$AB$30, MATCH($D27,'Rooms Walls and Glass'!$A$23:$A$30,0), MATCH('Unit 3 a'!O$7,'Rooms Walls and Glass'!$D$1:$AB$1,0))))</f>
        <v/>
      </c>
      <c r="P27" s="68" t="str">
        <f t="shared" si="17"/>
        <v>-</v>
      </c>
      <c r="Q27" s="66" t="str">
        <f>IF(Q$7="","",IF(INDEX('Rooms Walls and Glass'!$D$23:$AB$30, MATCH($D27,'Rooms Walls and Glass'!$A$23:$A$30,0), MATCH('Unit 3 a'!Q$7,'Rooms Walls and Glass'!$D$1:$AB$1,0))=0,"",INDEX('Rooms Walls and Glass'!$D$23:$AB$30, MATCH($D27,'Rooms Walls and Glass'!$A$23:$A$30,0), MATCH('Unit 3 a'!Q$7,'Rooms Walls and Glass'!$D$1:$AB$1,0))))</f>
        <v/>
      </c>
      <c r="R27" s="68" t="str">
        <f t="shared" si="18"/>
        <v>-</v>
      </c>
      <c r="S27" s="66" t="str">
        <f>IF(S$7="","",IF(INDEX('Rooms Walls and Glass'!$D$23:$AB$30, MATCH($D27,'Rooms Walls and Glass'!$A$23:$A$30,0), MATCH('Unit 3 a'!S$7,'Rooms Walls and Glass'!$D$1:$AB$1,0))=0,"",INDEX('Rooms Walls and Glass'!$D$23:$AB$30, MATCH($D27,'Rooms Walls and Glass'!$A$23:$A$30,0), MATCH('Unit 3 a'!S$7,'Rooms Walls and Glass'!$D$1:$AB$1,0))))</f>
        <v/>
      </c>
      <c r="T27" s="68" t="str">
        <f t="shared" si="19"/>
        <v>-</v>
      </c>
      <c r="U27" s="66" t="str">
        <f>IF(U$7="","",IF(INDEX('Rooms Walls and Glass'!$D$23:$AB$30, MATCH($D27,'Rooms Walls and Glass'!$A$23:$A$30,0), MATCH('Unit 3 a'!U$7,'Rooms Walls and Glass'!$D$1:$AB$1,0))=0,"",INDEX('Rooms Walls and Glass'!$D$23:$AB$30, MATCH($D27,'Rooms Walls and Glass'!$A$23:$A$30,0), MATCH('Unit 3 a'!U$7,'Rooms Walls and Glass'!$D$1:$AB$1,0))))</f>
        <v/>
      </c>
      <c r="V27" s="68" t="str">
        <f t="shared" si="20"/>
        <v>-</v>
      </c>
      <c r="W27" s="66" t="str">
        <f>IF(W$7="","",IF(INDEX('Rooms Walls and Glass'!$D$23:$AB$30, MATCH($D27,'Rooms Walls and Glass'!$A$23:$A$30,0), MATCH('Unit 3 a'!W$7,'Rooms Walls and Glass'!$D$1:$AB$1,0))=0,"",INDEX('Rooms Walls and Glass'!$D$23:$AB$30, MATCH($D27,'Rooms Walls and Glass'!$A$23:$A$30,0), MATCH('Unit 3 a'!W$7,'Rooms Walls and Glass'!$D$1:$AB$1,0))))</f>
        <v/>
      </c>
      <c r="X27" s="68" t="str">
        <f t="shared" si="21"/>
        <v>-</v>
      </c>
      <c r="Y27" s="66" t="str">
        <f>IF(Y$7="","",IF(INDEX('Rooms Walls and Glass'!$D$23:$AB$30, MATCH($D27,'Rooms Walls and Glass'!$A$23:$A$30,0), MATCH('Unit 3 a'!Y$7,'Rooms Walls and Glass'!$D$1:$AB$1,0))=0,"",INDEX('Rooms Walls and Glass'!$D$23:$AB$30, MATCH($D27,'Rooms Walls and Glass'!$A$23:$A$30,0), MATCH('Unit 3 a'!Y$7,'Rooms Walls and Glass'!$D$1:$AB$1,0))))</f>
        <v/>
      </c>
      <c r="Z27" s="68" t="str">
        <f t="shared" si="22"/>
        <v>-</v>
      </c>
      <c r="AA27" s="66" t="str">
        <f>IF(AA$7="","",IF(INDEX('Rooms Walls and Glass'!$D$23:$AB$30, MATCH($D27,'Rooms Walls and Glass'!$A$23:$A$30,0), MATCH('Unit 3 a'!AA$7,'Rooms Walls and Glass'!$D$1:$AB$1,0))=0,"",INDEX('Rooms Walls and Glass'!$D$23:$AB$30, MATCH($D27,'Rooms Walls and Glass'!$A$23:$A$30,0), MATCH('Unit 3 a'!AA$7,'Rooms Walls and Glass'!$D$1:$AB$1,0))))</f>
        <v/>
      </c>
      <c r="AB27" s="68" t="str">
        <f t="shared" si="23"/>
        <v>-</v>
      </c>
      <c r="AC27" s="66" t="str">
        <f>IF(AC$7="","",IF(INDEX('Rooms Walls and Glass'!$D$23:$AB$30, MATCH($D27,'Rooms Walls and Glass'!$A$23:$A$30,0), MATCH('Unit 3 a'!AC$7,'Rooms Walls and Glass'!$D$1:$AB$1,0))=0,"",INDEX('Rooms Walls and Glass'!$D$23:$AB$30, MATCH($D27,'Rooms Walls and Glass'!$A$23:$A$30,0), MATCH('Unit 3 a'!AC$7,'Rooms Walls and Glass'!$D$1:$AB$1,0))))</f>
        <v/>
      </c>
      <c r="AD27" s="68" t="str">
        <f t="shared" si="30"/>
        <v>-</v>
      </c>
      <c r="AE27" s="66" t="str">
        <f>IF(AE$7="","",IF(INDEX('Rooms Walls and Glass'!$D$23:$AB$30, MATCH($D27,'Rooms Walls and Glass'!$A$23:$A$30,0), MATCH('Unit 3 a'!AE$7,'Rooms Walls and Glass'!$D$1:$AB$1,0))=0,"",INDEX('Rooms Walls and Glass'!$D$23:$AB$30, MATCH($D27,'Rooms Walls and Glass'!$A$23:$A$30,0), MATCH('Unit 3 a'!AE$7,'Rooms Walls and Glass'!$D$1:$AB$1,0))))</f>
        <v/>
      </c>
      <c r="AF27" s="68" t="str">
        <f t="shared" si="31"/>
        <v>-</v>
      </c>
      <c r="AG27" s="66" t="str">
        <f>IF(AG$7="","",IF(INDEX('Rooms Walls and Glass'!$D$23:$AB$30, MATCH($D27,'Rooms Walls and Glass'!$A$23:$A$30,0), MATCH('Unit 3 a'!AG$7,'Rooms Walls and Glass'!$D$1:$AB$1,0))=0,"",INDEX('Rooms Walls and Glass'!$D$23:$AB$30, MATCH($D27,'Rooms Walls and Glass'!$A$23:$A$30,0), MATCH('Unit 3 a'!AG$7,'Rooms Walls and Glass'!$D$1:$AB$1,0))))</f>
        <v/>
      </c>
      <c r="AH27" s="68" t="str">
        <f t="shared" si="25"/>
        <v>-</v>
      </c>
      <c r="AI27" s="66" t="str">
        <f>IF(AI$7="","",IF(INDEX('Rooms Walls and Glass'!$D$23:$AB$30, MATCH($D27,'Rooms Walls and Glass'!$A$23:$A$30,0), MATCH('Unit 3 a'!AI$7,'Rooms Walls and Glass'!$D$1:$AB$1,0))=0,"",INDEX('Rooms Walls and Glass'!$D$23:$AB$30, MATCH($D27,'Rooms Walls and Glass'!$A$23:$A$30,0), MATCH('Unit 3 a'!AI$7,'Rooms Walls and Glass'!$D$1:$AB$1,0))))</f>
        <v/>
      </c>
      <c r="AJ27" s="69" t="str">
        <f t="shared" si="26"/>
        <v>-</v>
      </c>
      <c r="AK27" s="66" t="str">
        <f>IF(AK$7="","",IF(INDEX('Rooms Walls and Glass'!$D$23:$AB$30, MATCH($D27,'Rooms Walls and Glass'!$A$23:$A$30,0), MATCH('Unit 3 a'!AK$7,'Rooms Walls and Glass'!$D$1:$AB$1,0))=0,"",INDEX('Rooms Walls and Glass'!$D$23:$AB$30, MATCH($D27,'Rooms Walls and Glass'!$A$23:$A$30,0), MATCH('Unit 3 a'!AK$7,'Rooms Walls and Glass'!$D$1:$AB$1,0))))</f>
        <v/>
      </c>
      <c r="AL27" s="68" t="str">
        <f t="shared" si="27"/>
        <v>-</v>
      </c>
      <c r="AM27" s="66" t="str">
        <f>IF(AM$7="","",IF(INDEX('Rooms Walls and Glass'!$D$23:$AB$30, MATCH($D27,'Rooms Walls and Glass'!$A$23:$A$30,0), MATCH('Unit 3 a'!AM$7,'Rooms Walls and Glass'!$D$1:$AB$1,0))=0,"",INDEX('Rooms Walls and Glass'!$D$23:$AB$30, MATCH($D27,'Rooms Walls and Glass'!$A$23:$A$30,0), MATCH('Unit 3 a'!AM$7,'Rooms Walls and Glass'!$D$1:$AB$1,0))))</f>
        <v/>
      </c>
      <c r="AN27" s="69" t="str">
        <f t="shared" si="28"/>
        <v>-</v>
      </c>
    </row>
    <row r="28" spans="2:40" ht="11.25" customHeight="1" thickBot="1" x14ac:dyDescent="0.2">
      <c r="B28" s="213"/>
      <c r="C28" s="17" t="s">
        <v>38</v>
      </c>
      <c r="D28" s="13" t="str">
        <f>'Rooms Walls and Glass'!A30</f>
        <v>West</v>
      </c>
      <c r="E28" s="13">
        <f>INDEX('Glass CLF Calculation'!$A$20:$G$27,MATCH('Unit 3 a'!D28,'Glass CLF Calculation'!$A$20:$A$27,0),7)</f>
        <v>23</v>
      </c>
      <c r="F28" s="14">
        <f>INDEX(Summary!$F$19:$F$30,MATCH('Unit 3 a'!C28,Summary!$D$19:$D$30,0))</f>
        <v>7.6999999999999999E-2</v>
      </c>
      <c r="G28" s="14">
        <f t="shared" si="29"/>
        <v>1.7709999999999999</v>
      </c>
      <c r="H28" s="18" t="s">
        <v>6</v>
      </c>
      <c r="I28" s="65">
        <f t="shared" si="13"/>
        <v>0</v>
      </c>
      <c r="J28" s="70">
        <f t="shared" si="14"/>
        <v>0</v>
      </c>
      <c r="K28" s="66" t="str">
        <f>IF(K$7="","",IF(INDEX('Rooms Walls and Glass'!$D$23:$AB$30, MATCH($D28,'Rooms Walls and Glass'!$A$23:$A$30,0), MATCH('Unit 3 a'!K$7,'Rooms Walls and Glass'!$D$1:$AB$1,0))=0,"",INDEX('Rooms Walls and Glass'!$D$23:$AB$30, MATCH($D28,'Rooms Walls and Glass'!$A$23:$A$30,0), MATCH('Unit 3 a'!K$7,'Rooms Walls and Glass'!$D$1:$AB$1,0))))</f>
        <v/>
      </c>
      <c r="L28" s="70" t="str">
        <f t="shared" si="15"/>
        <v>-</v>
      </c>
      <c r="M28" s="66" t="str">
        <f>IF(M$7="","",IF(INDEX('Rooms Walls and Glass'!$D$23:$AB$30, MATCH($D28,'Rooms Walls and Glass'!$A$23:$A$30,0), MATCH('Unit 3 a'!M$7,'Rooms Walls and Glass'!$D$1:$AB$1,0))=0,"",INDEX('Rooms Walls and Glass'!$D$23:$AB$30, MATCH($D28,'Rooms Walls and Glass'!$A$23:$A$30,0), MATCH('Unit 3 a'!M$7,'Rooms Walls and Glass'!$D$1:$AB$1,0))))</f>
        <v/>
      </c>
      <c r="N28" s="70" t="str">
        <f t="shared" si="16"/>
        <v>-</v>
      </c>
      <c r="O28" s="66" t="str">
        <f>IF(O$7="","",IF(INDEX('Rooms Walls and Glass'!$D$23:$AB$30, MATCH($D28,'Rooms Walls and Glass'!$A$23:$A$30,0), MATCH('Unit 3 a'!O$7,'Rooms Walls and Glass'!$D$1:$AB$1,0))=0,"",INDEX('Rooms Walls and Glass'!$D$23:$AB$30, MATCH($D28,'Rooms Walls and Glass'!$A$23:$A$30,0), MATCH('Unit 3 a'!O$7,'Rooms Walls and Glass'!$D$1:$AB$1,0))))</f>
        <v/>
      </c>
      <c r="P28" s="70" t="str">
        <f t="shared" si="17"/>
        <v>-</v>
      </c>
      <c r="Q28" s="66" t="str">
        <f>IF(Q$7="","",IF(INDEX('Rooms Walls and Glass'!$D$23:$AB$30, MATCH($D28,'Rooms Walls and Glass'!$A$23:$A$30,0), MATCH('Unit 3 a'!Q$7,'Rooms Walls and Glass'!$D$1:$AB$1,0))=0,"",INDEX('Rooms Walls and Glass'!$D$23:$AB$30, MATCH($D28,'Rooms Walls and Glass'!$A$23:$A$30,0), MATCH('Unit 3 a'!Q$7,'Rooms Walls and Glass'!$D$1:$AB$1,0))))</f>
        <v/>
      </c>
      <c r="R28" s="70" t="str">
        <f t="shared" si="18"/>
        <v>-</v>
      </c>
      <c r="S28" s="66" t="str">
        <f>IF(S$7="","",IF(INDEX('Rooms Walls and Glass'!$D$23:$AB$30, MATCH($D28,'Rooms Walls and Glass'!$A$23:$A$30,0), MATCH('Unit 3 a'!S$7,'Rooms Walls and Glass'!$D$1:$AB$1,0))=0,"",INDEX('Rooms Walls and Glass'!$D$23:$AB$30, MATCH($D28,'Rooms Walls and Glass'!$A$23:$A$30,0), MATCH('Unit 3 a'!S$7,'Rooms Walls and Glass'!$D$1:$AB$1,0))))</f>
        <v/>
      </c>
      <c r="T28" s="70" t="str">
        <f t="shared" si="19"/>
        <v>-</v>
      </c>
      <c r="U28" s="66" t="str">
        <f>IF(U$7="","",IF(INDEX('Rooms Walls and Glass'!$D$23:$AB$30, MATCH($D28,'Rooms Walls and Glass'!$A$23:$A$30,0), MATCH('Unit 3 a'!U$7,'Rooms Walls and Glass'!$D$1:$AB$1,0))=0,"",INDEX('Rooms Walls and Glass'!$D$23:$AB$30, MATCH($D28,'Rooms Walls and Glass'!$A$23:$A$30,0), MATCH('Unit 3 a'!U$7,'Rooms Walls and Glass'!$D$1:$AB$1,0))))</f>
        <v/>
      </c>
      <c r="V28" s="70" t="str">
        <f t="shared" si="20"/>
        <v>-</v>
      </c>
      <c r="W28" s="66" t="str">
        <f>IF(W$7="","",IF(INDEX('Rooms Walls and Glass'!$D$23:$AB$30, MATCH($D28,'Rooms Walls and Glass'!$A$23:$A$30,0), MATCH('Unit 3 a'!W$7,'Rooms Walls and Glass'!$D$1:$AB$1,0))=0,"",INDEX('Rooms Walls and Glass'!$D$23:$AB$30, MATCH($D28,'Rooms Walls and Glass'!$A$23:$A$30,0), MATCH('Unit 3 a'!W$7,'Rooms Walls and Glass'!$D$1:$AB$1,0))))</f>
        <v/>
      </c>
      <c r="X28" s="70" t="str">
        <f t="shared" si="21"/>
        <v>-</v>
      </c>
      <c r="Y28" s="66" t="str">
        <f>IF(Y$7="","",IF(INDEX('Rooms Walls and Glass'!$D$23:$AB$30, MATCH($D28,'Rooms Walls and Glass'!$A$23:$A$30,0), MATCH('Unit 3 a'!Y$7,'Rooms Walls and Glass'!$D$1:$AB$1,0))=0,"",INDEX('Rooms Walls and Glass'!$D$23:$AB$30, MATCH($D28,'Rooms Walls and Glass'!$A$23:$A$30,0), MATCH('Unit 3 a'!Y$7,'Rooms Walls and Glass'!$D$1:$AB$1,0))))</f>
        <v/>
      </c>
      <c r="Z28" s="70" t="str">
        <f t="shared" si="22"/>
        <v>-</v>
      </c>
      <c r="AA28" s="66" t="str">
        <f>IF(AA$7="","",IF(INDEX('Rooms Walls and Glass'!$D$23:$AB$30, MATCH($D28,'Rooms Walls and Glass'!$A$23:$A$30,0), MATCH('Unit 3 a'!AA$7,'Rooms Walls and Glass'!$D$1:$AB$1,0))=0,"",INDEX('Rooms Walls and Glass'!$D$23:$AB$30, MATCH($D28,'Rooms Walls and Glass'!$A$23:$A$30,0), MATCH('Unit 3 a'!AA$7,'Rooms Walls and Glass'!$D$1:$AB$1,0))))</f>
        <v/>
      </c>
      <c r="AB28" s="70" t="str">
        <f t="shared" si="23"/>
        <v>-</v>
      </c>
      <c r="AC28" s="66" t="str">
        <f>IF(AC$7="","",IF(INDEX('Rooms Walls and Glass'!$D$23:$AB$30, MATCH($D28,'Rooms Walls and Glass'!$A$23:$A$30,0), MATCH('Unit 3 a'!AC$7,'Rooms Walls and Glass'!$D$1:$AB$1,0))=0,"",INDEX('Rooms Walls and Glass'!$D$23:$AB$30, MATCH($D28,'Rooms Walls and Glass'!$A$23:$A$30,0), MATCH('Unit 3 a'!AC$7,'Rooms Walls and Glass'!$D$1:$AB$1,0))))</f>
        <v/>
      </c>
      <c r="AD28" s="70" t="str">
        <f t="shared" si="30"/>
        <v>-</v>
      </c>
      <c r="AE28" s="66" t="str">
        <f>IF(AE$7="","",IF(INDEX('Rooms Walls and Glass'!$D$23:$AB$30, MATCH($D28,'Rooms Walls and Glass'!$A$23:$A$30,0), MATCH('Unit 3 a'!AE$7,'Rooms Walls and Glass'!$D$1:$AB$1,0))=0,"",INDEX('Rooms Walls and Glass'!$D$23:$AB$30, MATCH($D28,'Rooms Walls and Glass'!$A$23:$A$30,0), MATCH('Unit 3 a'!AE$7,'Rooms Walls and Glass'!$D$1:$AB$1,0))))</f>
        <v/>
      </c>
      <c r="AF28" s="70" t="str">
        <f t="shared" si="31"/>
        <v>-</v>
      </c>
      <c r="AG28" s="66" t="str">
        <f>IF(AG$7="","",IF(INDEX('Rooms Walls and Glass'!$D$23:$AB$30, MATCH($D28,'Rooms Walls and Glass'!$A$23:$A$30,0), MATCH('Unit 3 a'!AG$7,'Rooms Walls and Glass'!$D$1:$AB$1,0))=0,"",INDEX('Rooms Walls and Glass'!$D$23:$AB$30, MATCH($D28,'Rooms Walls and Glass'!$A$23:$A$30,0), MATCH('Unit 3 a'!AG$7,'Rooms Walls and Glass'!$D$1:$AB$1,0))))</f>
        <v/>
      </c>
      <c r="AH28" s="70" t="str">
        <f t="shared" si="25"/>
        <v>-</v>
      </c>
      <c r="AI28" s="66" t="str">
        <f>IF(AI$7="","",IF(INDEX('Rooms Walls and Glass'!$D$23:$AB$30, MATCH($D28,'Rooms Walls and Glass'!$A$23:$A$30,0), MATCH('Unit 3 a'!AI$7,'Rooms Walls and Glass'!$D$1:$AB$1,0))=0,"",INDEX('Rooms Walls and Glass'!$D$23:$AB$30, MATCH($D28,'Rooms Walls and Glass'!$A$23:$A$30,0), MATCH('Unit 3 a'!AI$7,'Rooms Walls and Glass'!$D$1:$AB$1,0))))</f>
        <v/>
      </c>
      <c r="AJ28" s="71" t="str">
        <f t="shared" si="26"/>
        <v>-</v>
      </c>
      <c r="AK28" s="66" t="str">
        <f>IF(AK$7="","",IF(INDEX('Rooms Walls and Glass'!$D$23:$AB$30, MATCH($D28,'Rooms Walls and Glass'!$A$23:$A$30,0), MATCH('Unit 3 a'!AK$7,'Rooms Walls and Glass'!$D$1:$AB$1,0))=0,"",INDEX('Rooms Walls and Glass'!$D$23:$AB$30, MATCH($D28,'Rooms Walls and Glass'!$A$23:$A$30,0), MATCH('Unit 3 a'!AK$7,'Rooms Walls and Glass'!$D$1:$AB$1,0))))</f>
        <v/>
      </c>
      <c r="AL28" s="70" t="str">
        <f t="shared" si="27"/>
        <v>-</v>
      </c>
      <c r="AM28" s="66" t="str">
        <f>IF(AM$7="","",IF(INDEX('Rooms Walls and Glass'!$D$23:$AB$30, MATCH($D28,'Rooms Walls and Glass'!$A$23:$A$30,0), MATCH('Unit 3 a'!AM$7,'Rooms Walls and Glass'!$D$1:$AB$1,0))=0,"",INDEX('Rooms Walls and Glass'!$D$23:$AB$30, MATCH($D28,'Rooms Walls and Glass'!$A$23:$A$30,0), MATCH('Unit 3 a'!AM$7,'Rooms Walls and Glass'!$D$1:$AB$1,0))))</f>
        <v/>
      </c>
      <c r="AN28" s="71" t="str">
        <f t="shared" si="28"/>
        <v>-</v>
      </c>
    </row>
    <row r="29" spans="2:40" ht="11.25" customHeight="1" thickBot="1" x14ac:dyDescent="0.2">
      <c r="B29" s="212" t="s">
        <v>78</v>
      </c>
      <c r="C29" s="12" t="s">
        <v>38</v>
      </c>
      <c r="D29" s="13" t="str">
        <f>'Rooms Walls and Glass'!A35</f>
        <v>NorthWest</v>
      </c>
      <c r="E29" s="13">
        <f>INDEX('Glass CLF Calculation'!$A$20:$G$27,MATCH('Unit 3 a'!D29,'Glass CLF Calculation'!$A$20:$A$27,0),7)</f>
        <v>19</v>
      </c>
      <c r="F29" s="14">
        <f>INDEX(Summary!$F$19:$F$30,MATCH('Unit 3 a'!C29,Summary!$D$19:$D$30,0))</f>
        <v>7.6999999999999999E-2</v>
      </c>
      <c r="G29" s="14">
        <f t="shared" si="29"/>
        <v>1.4630000000000001</v>
      </c>
      <c r="H29" s="13" t="s">
        <v>6</v>
      </c>
      <c r="I29" s="65">
        <f t="shared" si="13"/>
        <v>0</v>
      </c>
      <c r="J29" s="65">
        <f t="shared" si="14"/>
        <v>0</v>
      </c>
      <c r="K29" s="66" t="str">
        <f>IF(K$7="","",IF(INDEX('Rooms Walls and Glass'!$D$35:$AB$42, MATCH($D29,'Rooms Walls and Glass'!$A$35:$A$42,0), MATCH('Unit 3 a'!K$7,'Rooms Walls and Glass'!$D$1:$AB$1,0))=0,"",INDEX('Rooms Walls and Glass'!$D$35:$AB$42, MATCH($D29,'Rooms Walls and Glass'!$A$35:$A$42,0), MATCH('Unit 3 a'!K$7,'Rooms Walls and Glass'!$D$1:$AB$1,0))))</f>
        <v/>
      </c>
      <c r="L29" s="65" t="str">
        <f t="shared" si="15"/>
        <v>-</v>
      </c>
      <c r="M29" s="66" t="str">
        <f>IF(M$7="","",IF(INDEX('Rooms Walls and Glass'!$D$35:$AB$42, MATCH($D29,'Rooms Walls and Glass'!$A$35:$A$42,0), MATCH('Unit 3 a'!M$7,'Rooms Walls and Glass'!$D$1:$AB$1,0))=0,"",INDEX('Rooms Walls and Glass'!$D$35:$AB$42, MATCH($D29,'Rooms Walls and Glass'!$A$35:$A$42,0), MATCH('Unit 3 a'!M$7,'Rooms Walls and Glass'!$D$1:$AB$1,0))))</f>
        <v/>
      </c>
      <c r="N29" s="65" t="str">
        <f t="shared" si="16"/>
        <v>-</v>
      </c>
      <c r="O29" s="66" t="str">
        <f>IF(O$7="","",IF(INDEX('Rooms Walls and Glass'!$D$35:$AB$42, MATCH($D29,'Rooms Walls and Glass'!$A$35:$A$42,0), MATCH('Unit 3 a'!O$7,'Rooms Walls and Glass'!$D$1:$AB$1,0))=0,"",INDEX('Rooms Walls and Glass'!$D$35:$AB$42, MATCH($D29,'Rooms Walls and Glass'!$A$35:$A$42,0), MATCH('Unit 3 a'!O$7,'Rooms Walls and Glass'!$D$1:$AB$1,0))))</f>
        <v/>
      </c>
      <c r="P29" s="65" t="str">
        <f t="shared" si="17"/>
        <v>-</v>
      </c>
      <c r="Q29" s="66" t="str">
        <f>IF(Q$7="","",IF(INDEX('Rooms Walls and Glass'!$D$35:$AB$42, MATCH($D29,'Rooms Walls and Glass'!$A$35:$A$42,0), MATCH('Unit 3 a'!Q$7,'Rooms Walls and Glass'!$D$1:$AB$1,0))=0,"",INDEX('Rooms Walls and Glass'!$D$35:$AB$42, MATCH($D29,'Rooms Walls and Glass'!$A$35:$A$42,0), MATCH('Unit 3 a'!Q$7,'Rooms Walls and Glass'!$D$1:$AB$1,0))))</f>
        <v/>
      </c>
      <c r="R29" s="65" t="str">
        <f t="shared" si="18"/>
        <v>-</v>
      </c>
      <c r="S29" s="66" t="str">
        <f>IF(S$7="","",IF(INDEX('Rooms Walls and Glass'!$D$35:$AB$42, MATCH($D29,'Rooms Walls and Glass'!$A$35:$A$42,0), MATCH('Unit 3 a'!S$7,'Rooms Walls and Glass'!$D$1:$AB$1,0))=0,"",INDEX('Rooms Walls and Glass'!$D$35:$AB$42, MATCH($D29,'Rooms Walls and Glass'!$A$35:$A$42,0), MATCH('Unit 3 a'!S$7,'Rooms Walls and Glass'!$D$1:$AB$1,0))))</f>
        <v/>
      </c>
      <c r="T29" s="65" t="str">
        <f t="shared" si="19"/>
        <v>-</v>
      </c>
      <c r="U29" s="66" t="str">
        <f>IF(U$7="","",IF(INDEX('Rooms Walls and Glass'!$D$35:$AB$42, MATCH($D29,'Rooms Walls and Glass'!$A$35:$A$42,0), MATCH('Unit 3 a'!U$7,'Rooms Walls and Glass'!$D$1:$AB$1,0))=0,"",INDEX('Rooms Walls and Glass'!$D$35:$AB$42, MATCH($D29,'Rooms Walls and Glass'!$A$35:$A$42,0), MATCH('Unit 3 a'!U$7,'Rooms Walls and Glass'!$D$1:$AB$1,0))))</f>
        <v/>
      </c>
      <c r="V29" s="65" t="str">
        <f t="shared" si="20"/>
        <v>-</v>
      </c>
      <c r="W29" s="66" t="str">
        <f>IF(W$7="","",IF(INDEX('Rooms Walls and Glass'!$D$35:$AB$42, MATCH($D29,'Rooms Walls and Glass'!$A$35:$A$42,0), MATCH('Unit 3 a'!W$7,'Rooms Walls and Glass'!$D$1:$AB$1,0))=0,"",INDEX('Rooms Walls and Glass'!$D$35:$AB$42, MATCH($D29,'Rooms Walls and Glass'!$A$35:$A$42,0), MATCH('Unit 3 a'!W$7,'Rooms Walls and Glass'!$D$1:$AB$1,0))))</f>
        <v/>
      </c>
      <c r="X29" s="65" t="str">
        <f t="shared" si="21"/>
        <v>-</v>
      </c>
      <c r="Y29" s="66" t="str">
        <f>IF(Y$7="","",IF(INDEX('Rooms Walls and Glass'!$D$35:$AB$42, MATCH($D29,'Rooms Walls and Glass'!$A$35:$A$42,0), MATCH('Unit 3 a'!Y$7,'Rooms Walls and Glass'!$D$1:$AB$1,0))=0,"",INDEX('Rooms Walls and Glass'!$D$35:$AB$42, MATCH($D29,'Rooms Walls and Glass'!$A$35:$A$42,0), MATCH('Unit 3 a'!Y$7,'Rooms Walls and Glass'!$D$1:$AB$1,0))))</f>
        <v/>
      </c>
      <c r="Z29" s="65" t="str">
        <f t="shared" si="22"/>
        <v>-</v>
      </c>
      <c r="AA29" s="66" t="str">
        <f>IF(AA$7="","",IF(INDEX('Rooms Walls and Glass'!$D$35:$AB$42, MATCH($D29,'Rooms Walls and Glass'!$A$35:$A$42,0), MATCH('Unit 3 a'!AA$7,'Rooms Walls and Glass'!$D$1:$AB$1,0))=0,"",INDEX('Rooms Walls and Glass'!$D$35:$AB$42, MATCH($D29,'Rooms Walls and Glass'!$A$35:$A$42,0), MATCH('Unit 3 a'!AA$7,'Rooms Walls and Glass'!$D$1:$AB$1,0))))</f>
        <v/>
      </c>
      <c r="AB29" s="65" t="str">
        <f t="shared" si="23"/>
        <v>-</v>
      </c>
      <c r="AC29" s="66" t="str">
        <f>IF(AC$7="","",IF(INDEX('Rooms Walls and Glass'!$D$35:$AB$42, MATCH($D29,'Rooms Walls and Glass'!$A$35:$A$42,0), MATCH('Unit 3 a'!AC$7,'Rooms Walls and Glass'!$D$1:$AB$1,0))=0,"",INDEX('Rooms Walls and Glass'!$D$35:$AB$42, MATCH($D29,'Rooms Walls and Glass'!$A$35:$A$42,0), MATCH('Unit 3 a'!AC$7,'Rooms Walls and Glass'!$D$1:$AB$1,0))))</f>
        <v/>
      </c>
      <c r="AD29" s="65" t="str">
        <f t="shared" si="30"/>
        <v>-</v>
      </c>
      <c r="AE29" s="66" t="str">
        <f>IF(AE$7="","",IF(INDEX('Rooms Walls and Glass'!$D$35:$AB$42, MATCH($D29,'Rooms Walls and Glass'!$A$35:$A$42,0), MATCH('Unit 3 a'!AE$7,'Rooms Walls and Glass'!$D$1:$AB$1,0))=0,"",INDEX('Rooms Walls and Glass'!$D$35:$AB$42, MATCH($D29,'Rooms Walls and Glass'!$A$35:$A$42,0), MATCH('Unit 3 a'!AE$7,'Rooms Walls and Glass'!$D$1:$AB$1,0))))</f>
        <v/>
      </c>
      <c r="AF29" s="65" t="str">
        <f t="shared" si="31"/>
        <v>-</v>
      </c>
      <c r="AG29" s="66" t="str">
        <f>IF(AG$7="","",IF(INDEX('Rooms Walls and Glass'!$D$35:$AB$42, MATCH($D29,'Rooms Walls and Glass'!$A$35:$A$42,0), MATCH('Unit 3 a'!AG$7,'Rooms Walls and Glass'!$D$1:$AB$1,0))=0,"",INDEX('Rooms Walls and Glass'!$D$35:$AB$42, MATCH($D29,'Rooms Walls and Glass'!$A$35:$A$42,0), MATCH('Unit 3 a'!AG$7,'Rooms Walls and Glass'!$D$1:$AB$1,0))))</f>
        <v/>
      </c>
      <c r="AH29" s="65" t="str">
        <f t="shared" si="25"/>
        <v>-</v>
      </c>
      <c r="AI29" s="66" t="str">
        <f>IF(AI$7="","",IF(INDEX('Rooms Walls and Glass'!$D$35:$AB$42, MATCH($D29,'Rooms Walls and Glass'!$A$35:$A$42,0), MATCH('Unit 3 a'!AI$7,'Rooms Walls and Glass'!$D$1:$AB$1,0))=0,"",INDEX('Rooms Walls and Glass'!$D$35:$AB$42, MATCH($D29,'Rooms Walls and Glass'!$A$35:$A$42,0), MATCH('Unit 3 a'!AI$7,'Rooms Walls and Glass'!$D$1:$AB$1,0))))</f>
        <v/>
      </c>
      <c r="AJ29" s="67" t="str">
        <f t="shared" si="26"/>
        <v>-</v>
      </c>
      <c r="AK29" s="66" t="str">
        <f>IF(AK$7="","",IF(INDEX('Rooms Walls and Glass'!$D$35:$AB$42, MATCH($D29,'Rooms Walls and Glass'!$A$35:$A$42,0), MATCH('Unit 3 a'!AK$7,'Rooms Walls and Glass'!$D$1:$AB$1,0))=0,"",INDEX('Rooms Walls and Glass'!$D$35:$AB$42, MATCH($D29,'Rooms Walls and Glass'!$A$35:$A$42,0), MATCH('Unit 3 a'!AK$7,'Rooms Walls and Glass'!$D$1:$AB$1,0))))</f>
        <v/>
      </c>
      <c r="AL29" s="65" t="str">
        <f t="shared" si="27"/>
        <v>-</v>
      </c>
      <c r="AM29" s="66" t="str">
        <f>IF(AM$7="","",IF(INDEX('Rooms Walls and Glass'!$D$35:$AB$42, MATCH($D29,'Rooms Walls and Glass'!$A$35:$A$42,0), MATCH('Unit 3 a'!AM$7,'Rooms Walls and Glass'!$D$1:$AB$1,0))=0,"",INDEX('Rooms Walls and Glass'!$D$35:$AB$42, MATCH($D29,'Rooms Walls and Glass'!$A$35:$A$42,0), MATCH('Unit 3 a'!AM$7,'Rooms Walls and Glass'!$D$1:$AB$1,0))))</f>
        <v/>
      </c>
      <c r="AN29" s="67" t="str">
        <f t="shared" si="28"/>
        <v>-</v>
      </c>
    </row>
    <row r="30" spans="2:40" ht="11.25" customHeight="1" thickBot="1" x14ac:dyDescent="0.2">
      <c r="B30" s="214"/>
      <c r="C30" s="15" t="s">
        <v>38</v>
      </c>
      <c r="D30" s="13" t="str">
        <f>'Rooms Walls and Glass'!A36</f>
        <v>North</v>
      </c>
      <c r="E30" s="13">
        <f>INDEX('Glass CLF Calculation'!$A$20:$G$27,MATCH('Unit 3 a'!D30,'Glass CLF Calculation'!$A$20:$A$27,0),7)</f>
        <v>13</v>
      </c>
      <c r="F30" s="14">
        <f>INDEX(Summary!$F$19:$F$30,MATCH('Unit 3 a'!C30,Summary!$D$19:$D$30,0))</f>
        <v>7.6999999999999999E-2</v>
      </c>
      <c r="G30" s="14">
        <f t="shared" si="29"/>
        <v>1.0009999999999999</v>
      </c>
      <c r="H30" s="16" t="s">
        <v>6</v>
      </c>
      <c r="I30" s="65">
        <f t="shared" si="13"/>
        <v>0</v>
      </c>
      <c r="J30" s="68">
        <f t="shared" si="14"/>
        <v>0</v>
      </c>
      <c r="K30" s="66" t="str">
        <f>IF(K$7="","",IF(INDEX('Rooms Walls and Glass'!$D$35:$AB$42, MATCH($D30,'Rooms Walls and Glass'!$A$35:$A$42,0), MATCH('Unit 3 a'!K$7,'Rooms Walls and Glass'!$D$1:$AB$1,0))=0,"",INDEX('Rooms Walls and Glass'!$D$35:$AB$42, MATCH($D30,'Rooms Walls and Glass'!$A$35:$A$42,0), MATCH('Unit 3 a'!K$7,'Rooms Walls and Glass'!$D$1:$AB$1,0))))</f>
        <v/>
      </c>
      <c r="L30" s="68" t="str">
        <f t="shared" si="15"/>
        <v>-</v>
      </c>
      <c r="M30" s="66" t="str">
        <f>IF(M$7="","",IF(INDEX('Rooms Walls and Glass'!$D$35:$AB$42, MATCH($D30,'Rooms Walls and Glass'!$A$35:$A$42,0), MATCH('Unit 3 a'!M$7,'Rooms Walls and Glass'!$D$1:$AB$1,0))=0,"",INDEX('Rooms Walls and Glass'!$D$35:$AB$42, MATCH($D30,'Rooms Walls and Glass'!$A$35:$A$42,0), MATCH('Unit 3 a'!M$7,'Rooms Walls and Glass'!$D$1:$AB$1,0))))</f>
        <v/>
      </c>
      <c r="N30" s="68" t="str">
        <f t="shared" si="16"/>
        <v>-</v>
      </c>
      <c r="O30" s="66" t="str">
        <f>IF(O$7="","",IF(INDEX('Rooms Walls and Glass'!$D$35:$AB$42, MATCH($D30,'Rooms Walls and Glass'!$A$35:$A$42,0), MATCH('Unit 3 a'!O$7,'Rooms Walls and Glass'!$D$1:$AB$1,0))=0,"",INDEX('Rooms Walls and Glass'!$D$35:$AB$42, MATCH($D30,'Rooms Walls and Glass'!$A$35:$A$42,0), MATCH('Unit 3 a'!O$7,'Rooms Walls and Glass'!$D$1:$AB$1,0))))</f>
        <v/>
      </c>
      <c r="P30" s="68" t="str">
        <f t="shared" si="17"/>
        <v>-</v>
      </c>
      <c r="Q30" s="66" t="str">
        <f>IF(Q$7="","",IF(INDEX('Rooms Walls and Glass'!$D$35:$AB$42, MATCH($D30,'Rooms Walls and Glass'!$A$35:$A$42,0), MATCH('Unit 3 a'!Q$7,'Rooms Walls and Glass'!$D$1:$AB$1,0))=0,"",INDEX('Rooms Walls and Glass'!$D$35:$AB$42, MATCH($D30,'Rooms Walls and Glass'!$A$35:$A$42,0), MATCH('Unit 3 a'!Q$7,'Rooms Walls and Glass'!$D$1:$AB$1,0))))</f>
        <v/>
      </c>
      <c r="R30" s="68" t="str">
        <f t="shared" si="18"/>
        <v>-</v>
      </c>
      <c r="S30" s="66" t="str">
        <f>IF(S$7="","",IF(INDEX('Rooms Walls and Glass'!$D$35:$AB$42, MATCH($D30,'Rooms Walls and Glass'!$A$35:$A$42,0), MATCH('Unit 3 a'!S$7,'Rooms Walls and Glass'!$D$1:$AB$1,0))=0,"",INDEX('Rooms Walls and Glass'!$D$35:$AB$42, MATCH($D30,'Rooms Walls and Glass'!$A$35:$A$42,0), MATCH('Unit 3 a'!S$7,'Rooms Walls and Glass'!$D$1:$AB$1,0))))</f>
        <v/>
      </c>
      <c r="T30" s="68" t="str">
        <f t="shared" si="19"/>
        <v>-</v>
      </c>
      <c r="U30" s="66" t="str">
        <f>IF(U$7="","",IF(INDEX('Rooms Walls and Glass'!$D$35:$AB$42, MATCH($D30,'Rooms Walls and Glass'!$A$35:$A$42,0), MATCH('Unit 3 a'!U$7,'Rooms Walls and Glass'!$D$1:$AB$1,0))=0,"",INDEX('Rooms Walls and Glass'!$D$35:$AB$42, MATCH($D30,'Rooms Walls and Glass'!$A$35:$A$42,0), MATCH('Unit 3 a'!U$7,'Rooms Walls and Glass'!$D$1:$AB$1,0))))</f>
        <v/>
      </c>
      <c r="V30" s="68" t="str">
        <f t="shared" si="20"/>
        <v>-</v>
      </c>
      <c r="W30" s="66" t="str">
        <f>IF(W$7="","",IF(INDEX('Rooms Walls and Glass'!$D$35:$AB$42, MATCH($D30,'Rooms Walls and Glass'!$A$35:$A$42,0), MATCH('Unit 3 a'!W$7,'Rooms Walls and Glass'!$D$1:$AB$1,0))=0,"",INDEX('Rooms Walls and Glass'!$D$35:$AB$42, MATCH($D30,'Rooms Walls and Glass'!$A$35:$A$42,0), MATCH('Unit 3 a'!W$7,'Rooms Walls and Glass'!$D$1:$AB$1,0))))</f>
        <v/>
      </c>
      <c r="X30" s="68" t="str">
        <f t="shared" si="21"/>
        <v>-</v>
      </c>
      <c r="Y30" s="66" t="str">
        <f>IF(Y$7="","",IF(INDEX('Rooms Walls and Glass'!$D$35:$AB$42, MATCH($D30,'Rooms Walls and Glass'!$A$35:$A$42,0), MATCH('Unit 3 a'!Y$7,'Rooms Walls and Glass'!$D$1:$AB$1,0))=0,"",INDEX('Rooms Walls and Glass'!$D$35:$AB$42, MATCH($D30,'Rooms Walls and Glass'!$A$35:$A$42,0), MATCH('Unit 3 a'!Y$7,'Rooms Walls and Glass'!$D$1:$AB$1,0))))</f>
        <v/>
      </c>
      <c r="Z30" s="68" t="str">
        <f t="shared" si="22"/>
        <v>-</v>
      </c>
      <c r="AA30" s="66" t="str">
        <f>IF(AA$7="","",IF(INDEX('Rooms Walls and Glass'!$D$35:$AB$42, MATCH($D30,'Rooms Walls and Glass'!$A$35:$A$42,0), MATCH('Unit 3 a'!AA$7,'Rooms Walls and Glass'!$D$1:$AB$1,0))=0,"",INDEX('Rooms Walls and Glass'!$D$35:$AB$42, MATCH($D30,'Rooms Walls and Glass'!$A$35:$A$42,0), MATCH('Unit 3 a'!AA$7,'Rooms Walls and Glass'!$D$1:$AB$1,0))))</f>
        <v/>
      </c>
      <c r="AB30" s="68" t="str">
        <f t="shared" si="23"/>
        <v>-</v>
      </c>
      <c r="AC30" s="66" t="str">
        <f>IF(AC$7="","",IF(INDEX('Rooms Walls and Glass'!$D$35:$AB$42, MATCH($D30,'Rooms Walls and Glass'!$A$35:$A$42,0), MATCH('Unit 3 a'!AC$7,'Rooms Walls and Glass'!$D$1:$AB$1,0))=0,"",INDEX('Rooms Walls and Glass'!$D$35:$AB$42, MATCH($D30,'Rooms Walls and Glass'!$A$35:$A$42,0), MATCH('Unit 3 a'!AC$7,'Rooms Walls and Glass'!$D$1:$AB$1,0))))</f>
        <v/>
      </c>
      <c r="AD30" s="68" t="str">
        <f t="shared" si="30"/>
        <v>-</v>
      </c>
      <c r="AE30" s="66" t="str">
        <f>IF(AE$7="","",IF(INDEX('Rooms Walls and Glass'!$D$35:$AB$42, MATCH($D30,'Rooms Walls and Glass'!$A$35:$A$42,0), MATCH('Unit 3 a'!AE$7,'Rooms Walls and Glass'!$D$1:$AB$1,0))=0,"",INDEX('Rooms Walls and Glass'!$D$35:$AB$42, MATCH($D30,'Rooms Walls and Glass'!$A$35:$A$42,0), MATCH('Unit 3 a'!AE$7,'Rooms Walls and Glass'!$D$1:$AB$1,0))))</f>
        <v/>
      </c>
      <c r="AF30" s="68" t="str">
        <f t="shared" si="31"/>
        <v>-</v>
      </c>
      <c r="AG30" s="66" t="str">
        <f>IF(AG$7="","",IF(INDEX('Rooms Walls and Glass'!$D$35:$AB$42, MATCH($D30,'Rooms Walls and Glass'!$A$35:$A$42,0), MATCH('Unit 3 a'!AG$7,'Rooms Walls and Glass'!$D$1:$AB$1,0))=0,"",INDEX('Rooms Walls and Glass'!$D$35:$AB$42, MATCH($D30,'Rooms Walls and Glass'!$A$35:$A$42,0), MATCH('Unit 3 a'!AG$7,'Rooms Walls and Glass'!$D$1:$AB$1,0))))</f>
        <v/>
      </c>
      <c r="AH30" s="68" t="str">
        <f t="shared" si="25"/>
        <v>-</v>
      </c>
      <c r="AI30" s="66" t="str">
        <f>IF(AI$7="","",IF(INDEX('Rooms Walls and Glass'!$D$35:$AB$42, MATCH($D30,'Rooms Walls and Glass'!$A$35:$A$42,0), MATCH('Unit 3 a'!AI$7,'Rooms Walls and Glass'!$D$1:$AB$1,0))=0,"",INDEX('Rooms Walls and Glass'!$D$35:$AB$42, MATCH($D30,'Rooms Walls and Glass'!$A$35:$A$42,0), MATCH('Unit 3 a'!AI$7,'Rooms Walls and Glass'!$D$1:$AB$1,0))))</f>
        <v/>
      </c>
      <c r="AJ30" s="69" t="str">
        <f t="shared" si="26"/>
        <v>-</v>
      </c>
      <c r="AK30" s="66" t="str">
        <f>IF(AK$7="","",IF(INDEX('Rooms Walls and Glass'!$D$35:$AB$42, MATCH($D30,'Rooms Walls and Glass'!$A$35:$A$42,0), MATCH('Unit 3 a'!AK$7,'Rooms Walls and Glass'!$D$1:$AB$1,0))=0,"",INDEX('Rooms Walls and Glass'!$D$35:$AB$42, MATCH($D30,'Rooms Walls and Glass'!$A$35:$A$42,0), MATCH('Unit 3 a'!AK$7,'Rooms Walls and Glass'!$D$1:$AB$1,0))))</f>
        <v/>
      </c>
      <c r="AL30" s="68" t="str">
        <f t="shared" si="27"/>
        <v>-</v>
      </c>
      <c r="AM30" s="66" t="str">
        <f>IF(AM$7="","",IF(INDEX('Rooms Walls and Glass'!$D$35:$AB$42, MATCH($D30,'Rooms Walls and Glass'!$A$35:$A$42,0), MATCH('Unit 3 a'!AM$7,'Rooms Walls and Glass'!$D$1:$AB$1,0))=0,"",INDEX('Rooms Walls and Glass'!$D$35:$AB$42, MATCH($D30,'Rooms Walls and Glass'!$A$35:$A$42,0), MATCH('Unit 3 a'!AM$7,'Rooms Walls and Glass'!$D$1:$AB$1,0))))</f>
        <v/>
      </c>
      <c r="AN30" s="69" t="str">
        <f t="shared" si="28"/>
        <v>-</v>
      </c>
    </row>
    <row r="31" spans="2:40" ht="11.25" customHeight="1" thickBot="1" x14ac:dyDescent="0.2">
      <c r="B31" s="214"/>
      <c r="C31" s="15" t="s">
        <v>38</v>
      </c>
      <c r="D31" s="13" t="str">
        <f>'Rooms Walls and Glass'!A37</f>
        <v>NorthEast</v>
      </c>
      <c r="E31" s="13">
        <f>INDEX('Glass CLF Calculation'!$A$20:$G$27,MATCH('Unit 3 a'!D31,'Glass CLF Calculation'!$A$20:$A$27,0),7)</f>
        <v>19</v>
      </c>
      <c r="F31" s="14">
        <f>INDEX(Summary!$F$19:$F$30,MATCH('Unit 3 a'!C31,Summary!$D$19:$D$30,0))</f>
        <v>7.6999999999999999E-2</v>
      </c>
      <c r="G31" s="14">
        <f t="shared" si="29"/>
        <v>1.4630000000000001</v>
      </c>
      <c r="H31" s="16" t="s">
        <v>6</v>
      </c>
      <c r="I31" s="65">
        <f t="shared" si="13"/>
        <v>0</v>
      </c>
      <c r="J31" s="68">
        <f t="shared" si="14"/>
        <v>0</v>
      </c>
      <c r="K31" s="66" t="str">
        <f>IF(K$7="","",IF(INDEX('Rooms Walls and Glass'!$D$35:$AB$42, MATCH($D31,'Rooms Walls and Glass'!$A$35:$A$42,0), MATCH('Unit 3 a'!K$7,'Rooms Walls and Glass'!$D$1:$AB$1,0))=0,"",INDEX('Rooms Walls and Glass'!$D$35:$AB$42, MATCH($D31,'Rooms Walls and Glass'!$A$35:$A$42,0), MATCH('Unit 3 a'!K$7,'Rooms Walls and Glass'!$D$1:$AB$1,0))))</f>
        <v/>
      </c>
      <c r="L31" s="68" t="str">
        <f t="shared" si="15"/>
        <v>-</v>
      </c>
      <c r="M31" s="66" t="str">
        <f>IF(M$7="","",IF(INDEX('Rooms Walls and Glass'!$D$35:$AB$42, MATCH($D31,'Rooms Walls and Glass'!$A$35:$A$42,0), MATCH('Unit 3 a'!M$7,'Rooms Walls and Glass'!$D$1:$AB$1,0))=0,"",INDEX('Rooms Walls and Glass'!$D$35:$AB$42, MATCH($D31,'Rooms Walls and Glass'!$A$35:$A$42,0), MATCH('Unit 3 a'!M$7,'Rooms Walls and Glass'!$D$1:$AB$1,0))))</f>
        <v/>
      </c>
      <c r="N31" s="68" t="str">
        <f t="shared" si="16"/>
        <v>-</v>
      </c>
      <c r="O31" s="66" t="str">
        <f>IF(O$7="","",IF(INDEX('Rooms Walls and Glass'!$D$35:$AB$42, MATCH($D31,'Rooms Walls and Glass'!$A$35:$A$42,0), MATCH('Unit 3 a'!O$7,'Rooms Walls and Glass'!$D$1:$AB$1,0))=0,"",INDEX('Rooms Walls and Glass'!$D$35:$AB$42, MATCH($D31,'Rooms Walls and Glass'!$A$35:$A$42,0), MATCH('Unit 3 a'!O$7,'Rooms Walls and Glass'!$D$1:$AB$1,0))))</f>
        <v/>
      </c>
      <c r="P31" s="68" t="str">
        <f t="shared" si="17"/>
        <v>-</v>
      </c>
      <c r="Q31" s="66" t="str">
        <f>IF(Q$7="","",IF(INDEX('Rooms Walls and Glass'!$D$35:$AB$42, MATCH($D31,'Rooms Walls and Glass'!$A$35:$A$42,0), MATCH('Unit 3 a'!Q$7,'Rooms Walls and Glass'!$D$1:$AB$1,0))=0,"",INDEX('Rooms Walls and Glass'!$D$35:$AB$42, MATCH($D31,'Rooms Walls and Glass'!$A$35:$A$42,0), MATCH('Unit 3 a'!Q$7,'Rooms Walls and Glass'!$D$1:$AB$1,0))))</f>
        <v/>
      </c>
      <c r="R31" s="68" t="str">
        <f t="shared" si="18"/>
        <v>-</v>
      </c>
      <c r="S31" s="66" t="str">
        <f>IF(S$7="","",IF(INDEX('Rooms Walls and Glass'!$D$35:$AB$42, MATCH($D31,'Rooms Walls and Glass'!$A$35:$A$42,0), MATCH('Unit 3 a'!S$7,'Rooms Walls and Glass'!$D$1:$AB$1,0))=0,"",INDEX('Rooms Walls and Glass'!$D$35:$AB$42, MATCH($D31,'Rooms Walls and Glass'!$A$35:$A$42,0), MATCH('Unit 3 a'!S$7,'Rooms Walls and Glass'!$D$1:$AB$1,0))))</f>
        <v/>
      </c>
      <c r="T31" s="68" t="str">
        <f t="shared" si="19"/>
        <v>-</v>
      </c>
      <c r="U31" s="66" t="str">
        <f>IF(U$7="","",IF(INDEX('Rooms Walls and Glass'!$D$35:$AB$42, MATCH($D31,'Rooms Walls and Glass'!$A$35:$A$42,0), MATCH('Unit 3 a'!U$7,'Rooms Walls and Glass'!$D$1:$AB$1,0))=0,"",INDEX('Rooms Walls and Glass'!$D$35:$AB$42, MATCH($D31,'Rooms Walls and Glass'!$A$35:$A$42,0), MATCH('Unit 3 a'!U$7,'Rooms Walls and Glass'!$D$1:$AB$1,0))))</f>
        <v/>
      </c>
      <c r="V31" s="68" t="str">
        <f t="shared" si="20"/>
        <v>-</v>
      </c>
      <c r="W31" s="66" t="str">
        <f>IF(W$7="","",IF(INDEX('Rooms Walls and Glass'!$D$35:$AB$42, MATCH($D31,'Rooms Walls and Glass'!$A$35:$A$42,0), MATCH('Unit 3 a'!W$7,'Rooms Walls and Glass'!$D$1:$AB$1,0))=0,"",INDEX('Rooms Walls and Glass'!$D$35:$AB$42, MATCH($D31,'Rooms Walls and Glass'!$A$35:$A$42,0), MATCH('Unit 3 a'!W$7,'Rooms Walls and Glass'!$D$1:$AB$1,0))))</f>
        <v/>
      </c>
      <c r="X31" s="68" t="str">
        <f t="shared" si="21"/>
        <v>-</v>
      </c>
      <c r="Y31" s="66" t="str">
        <f>IF(Y$7="","",IF(INDEX('Rooms Walls and Glass'!$D$35:$AB$42, MATCH($D31,'Rooms Walls and Glass'!$A$35:$A$42,0), MATCH('Unit 3 a'!Y$7,'Rooms Walls and Glass'!$D$1:$AB$1,0))=0,"",INDEX('Rooms Walls and Glass'!$D$35:$AB$42, MATCH($D31,'Rooms Walls and Glass'!$A$35:$A$42,0), MATCH('Unit 3 a'!Y$7,'Rooms Walls and Glass'!$D$1:$AB$1,0))))</f>
        <v/>
      </c>
      <c r="Z31" s="68" t="str">
        <f t="shared" si="22"/>
        <v>-</v>
      </c>
      <c r="AA31" s="66" t="str">
        <f>IF(AA$7="","",IF(INDEX('Rooms Walls and Glass'!$D$35:$AB$42, MATCH($D31,'Rooms Walls and Glass'!$A$35:$A$42,0), MATCH('Unit 3 a'!AA$7,'Rooms Walls and Glass'!$D$1:$AB$1,0))=0,"",INDEX('Rooms Walls and Glass'!$D$35:$AB$42, MATCH($D31,'Rooms Walls and Glass'!$A$35:$A$42,0), MATCH('Unit 3 a'!AA$7,'Rooms Walls and Glass'!$D$1:$AB$1,0))))</f>
        <v/>
      </c>
      <c r="AB31" s="68" t="str">
        <f t="shared" si="23"/>
        <v>-</v>
      </c>
      <c r="AC31" s="66" t="str">
        <f>IF(AC$7="","",IF(INDEX('Rooms Walls and Glass'!$D$35:$AB$42, MATCH($D31,'Rooms Walls and Glass'!$A$35:$A$42,0), MATCH('Unit 3 a'!AC$7,'Rooms Walls and Glass'!$D$1:$AB$1,0))=0,"",INDEX('Rooms Walls and Glass'!$D$35:$AB$42, MATCH($D31,'Rooms Walls and Glass'!$A$35:$A$42,0), MATCH('Unit 3 a'!AC$7,'Rooms Walls and Glass'!$D$1:$AB$1,0))))</f>
        <v/>
      </c>
      <c r="AD31" s="68" t="str">
        <f t="shared" si="30"/>
        <v>-</v>
      </c>
      <c r="AE31" s="66" t="str">
        <f>IF(AE$7="","",IF(INDEX('Rooms Walls and Glass'!$D$35:$AB$42, MATCH($D31,'Rooms Walls and Glass'!$A$35:$A$42,0), MATCH('Unit 3 a'!AE$7,'Rooms Walls and Glass'!$D$1:$AB$1,0))=0,"",INDEX('Rooms Walls and Glass'!$D$35:$AB$42, MATCH($D31,'Rooms Walls and Glass'!$A$35:$A$42,0), MATCH('Unit 3 a'!AE$7,'Rooms Walls and Glass'!$D$1:$AB$1,0))))</f>
        <v/>
      </c>
      <c r="AF31" s="68" t="str">
        <f t="shared" si="31"/>
        <v>-</v>
      </c>
      <c r="AG31" s="66" t="str">
        <f>IF(AG$7="","",IF(INDEX('Rooms Walls and Glass'!$D$35:$AB$42, MATCH($D31,'Rooms Walls and Glass'!$A$35:$A$42,0), MATCH('Unit 3 a'!AG$7,'Rooms Walls and Glass'!$D$1:$AB$1,0))=0,"",INDEX('Rooms Walls and Glass'!$D$35:$AB$42, MATCH($D31,'Rooms Walls and Glass'!$A$35:$A$42,0), MATCH('Unit 3 a'!AG$7,'Rooms Walls and Glass'!$D$1:$AB$1,0))))</f>
        <v/>
      </c>
      <c r="AH31" s="68" t="str">
        <f t="shared" si="25"/>
        <v>-</v>
      </c>
      <c r="AI31" s="66" t="str">
        <f>IF(AI$7="","",IF(INDEX('Rooms Walls and Glass'!$D$35:$AB$42, MATCH($D31,'Rooms Walls and Glass'!$A$35:$A$42,0), MATCH('Unit 3 a'!AI$7,'Rooms Walls and Glass'!$D$1:$AB$1,0))=0,"",INDEX('Rooms Walls and Glass'!$D$35:$AB$42, MATCH($D31,'Rooms Walls and Glass'!$A$35:$A$42,0), MATCH('Unit 3 a'!AI$7,'Rooms Walls and Glass'!$D$1:$AB$1,0))))</f>
        <v/>
      </c>
      <c r="AJ31" s="69" t="str">
        <f t="shared" si="26"/>
        <v>-</v>
      </c>
      <c r="AK31" s="66" t="str">
        <f>IF(AK$7="","",IF(INDEX('Rooms Walls and Glass'!$D$35:$AB$42, MATCH($D31,'Rooms Walls and Glass'!$A$35:$A$42,0), MATCH('Unit 3 a'!AK$7,'Rooms Walls and Glass'!$D$1:$AB$1,0))=0,"",INDEX('Rooms Walls and Glass'!$D$35:$AB$42, MATCH($D31,'Rooms Walls and Glass'!$A$35:$A$42,0), MATCH('Unit 3 a'!AK$7,'Rooms Walls and Glass'!$D$1:$AB$1,0))))</f>
        <v/>
      </c>
      <c r="AL31" s="68" t="str">
        <f t="shared" si="27"/>
        <v>-</v>
      </c>
      <c r="AM31" s="66" t="str">
        <f>IF(AM$7="","",IF(INDEX('Rooms Walls and Glass'!$D$35:$AB$42, MATCH($D31,'Rooms Walls and Glass'!$A$35:$A$42,0), MATCH('Unit 3 a'!AM$7,'Rooms Walls and Glass'!$D$1:$AB$1,0))=0,"",INDEX('Rooms Walls and Glass'!$D$35:$AB$42, MATCH($D31,'Rooms Walls and Glass'!$A$35:$A$42,0), MATCH('Unit 3 a'!AM$7,'Rooms Walls and Glass'!$D$1:$AB$1,0))))</f>
        <v/>
      </c>
      <c r="AN31" s="69" t="str">
        <f t="shared" si="28"/>
        <v>-</v>
      </c>
    </row>
    <row r="32" spans="2:40" ht="11.25" customHeight="1" thickBot="1" x14ac:dyDescent="0.2">
      <c r="B32" s="214"/>
      <c r="C32" s="15" t="s">
        <v>38</v>
      </c>
      <c r="D32" s="13" t="str">
        <f>'Rooms Walls and Glass'!A38</f>
        <v>East</v>
      </c>
      <c r="E32" s="13">
        <f>INDEX('Glass CLF Calculation'!$A$20:$G$27,MATCH('Unit 3 a'!D32,'Glass CLF Calculation'!$A$20:$A$27,0),7)</f>
        <v>23</v>
      </c>
      <c r="F32" s="14">
        <f>INDEX(Summary!$F$19:$F$30,MATCH('Unit 3 a'!C32,Summary!$D$19:$D$30,0))</f>
        <v>7.6999999999999999E-2</v>
      </c>
      <c r="G32" s="14">
        <f t="shared" si="29"/>
        <v>1.7709999999999999</v>
      </c>
      <c r="H32" s="16" t="s">
        <v>6</v>
      </c>
      <c r="I32" s="65">
        <f t="shared" si="13"/>
        <v>0</v>
      </c>
      <c r="J32" s="68">
        <f t="shared" si="14"/>
        <v>0</v>
      </c>
      <c r="K32" s="66" t="str">
        <f>IF(K$7="","",IF(INDEX('Rooms Walls and Glass'!$D$35:$AB$42, MATCH($D32,'Rooms Walls and Glass'!$A$35:$A$42,0), MATCH('Unit 3 a'!K$7,'Rooms Walls and Glass'!$D$1:$AB$1,0))=0,"",INDEX('Rooms Walls and Glass'!$D$35:$AB$42, MATCH($D32,'Rooms Walls and Glass'!$A$35:$A$42,0), MATCH('Unit 3 a'!K$7,'Rooms Walls and Glass'!$D$1:$AB$1,0))))</f>
        <v/>
      </c>
      <c r="L32" s="68" t="str">
        <f t="shared" si="15"/>
        <v>-</v>
      </c>
      <c r="M32" s="66" t="str">
        <f>IF(M$7="","",IF(INDEX('Rooms Walls and Glass'!$D$35:$AB$42, MATCH($D32,'Rooms Walls and Glass'!$A$35:$A$42,0), MATCH('Unit 3 a'!M$7,'Rooms Walls and Glass'!$D$1:$AB$1,0))=0,"",INDEX('Rooms Walls and Glass'!$D$35:$AB$42, MATCH($D32,'Rooms Walls and Glass'!$A$35:$A$42,0), MATCH('Unit 3 a'!M$7,'Rooms Walls and Glass'!$D$1:$AB$1,0))))</f>
        <v/>
      </c>
      <c r="N32" s="68" t="str">
        <f t="shared" si="16"/>
        <v>-</v>
      </c>
      <c r="O32" s="66" t="str">
        <f>IF(O$7="","",IF(INDEX('Rooms Walls and Glass'!$D$35:$AB$42, MATCH($D32,'Rooms Walls and Glass'!$A$35:$A$42,0), MATCH('Unit 3 a'!O$7,'Rooms Walls and Glass'!$D$1:$AB$1,0))=0,"",INDEX('Rooms Walls and Glass'!$D$35:$AB$42, MATCH($D32,'Rooms Walls and Glass'!$A$35:$A$42,0), MATCH('Unit 3 a'!O$7,'Rooms Walls and Glass'!$D$1:$AB$1,0))))</f>
        <v/>
      </c>
      <c r="P32" s="68" t="str">
        <f t="shared" si="17"/>
        <v>-</v>
      </c>
      <c r="Q32" s="66" t="str">
        <f>IF(Q$7="","",IF(INDEX('Rooms Walls and Glass'!$D$35:$AB$42, MATCH($D32,'Rooms Walls and Glass'!$A$35:$A$42,0), MATCH('Unit 3 a'!Q$7,'Rooms Walls and Glass'!$D$1:$AB$1,0))=0,"",INDEX('Rooms Walls and Glass'!$D$35:$AB$42, MATCH($D32,'Rooms Walls and Glass'!$A$35:$A$42,0), MATCH('Unit 3 a'!Q$7,'Rooms Walls and Glass'!$D$1:$AB$1,0))))</f>
        <v/>
      </c>
      <c r="R32" s="68" t="str">
        <f t="shared" si="18"/>
        <v>-</v>
      </c>
      <c r="S32" s="66" t="str">
        <f>IF(S$7="","",IF(INDEX('Rooms Walls and Glass'!$D$35:$AB$42, MATCH($D32,'Rooms Walls and Glass'!$A$35:$A$42,0), MATCH('Unit 3 a'!S$7,'Rooms Walls and Glass'!$D$1:$AB$1,0))=0,"",INDEX('Rooms Walls and Glass'!$D$35:$AB$42, MATCH($D32,'Rooms Walls and Glass'!$A$35:$A$42,0), MATCH('Unit 3 a'!S$7,'Rooms Walls and Glass'!$D$1:$AB$1,0))))</f>
        <v/>
      </c>
      <c r="T32" s="68" t="str">
        <f t="shared" si="19"/>
        <v>-</v>
      </c>
      <c r="U32" s="66" t="str">
        <f>IF(U$7="","",IF(INDEX('Rooms Walls and Glass'!$D$35:$AB$42, MATCH($D32,'Rooms Walls and Glass'!$A$35:$A$42,0), MATCH('Unit 3 a'!U$7,'Rooms Walls and Glass'!$D$1:$AB$1,0))=0,"",INDEX('Rooms Walls and Glass'!$D$35:$AB$42, MATCH($D32,'Rooms Walls and Glass'!$A$35:$A$42,0), MATCH('Unit 3 a'!U$7,'Rooms Walls and Glass'!$D$1:$AB$1,0))))</f>
        <v/>
      </c>
      <c r="V32" s="68" t="str">
        <f t="shared" si="20"/>
        <v>-</v>
      </c>
      <c r="W32" s="66" t="str">
        <f>IF(W$7="","",IF(INDEX('Rooms Walls and Glass'!$D$35:$AB$42, MATCH($D32,'Rooms Walls and Glass'!$A$35:$A$42,0), MATCH('Unit 3 a'!W$7,'Rooms Walls and Glass'!$D$1:$AB$1,0))=0,"",INDEX('Rooms Walls and Glass'!$D$35:$AB$42, MATCH($D32,'Rooms Walls and Glass'!$A$35:$A$42,0), MATCH('Unit 3 a'!W$7,'Rooms Walls and Glass'!$D$1:$AB$1,0))))</f>
        <v/>
      </c>
      <c r="X32" s="68" t="str">
        <f t="shared" si="21"/>
        <v>-</v>
      </c>
      <c r="Y32" s="66" t="str">
        <f>IF(Y$7="","",IF(INDEX('Rooms Walls and Glass'!$D$35:$AB$42, MATCH($D32,'Rooms Walls and Glass'!$A$35:$A$42,0), MATCH('Unit 3 a'!Y$7,'Rooms Walls and Glass'!$D$1:$AB$1,0))=0,"",INDEX('Rooms Walls and Glass'!$D$35:$AB$42, MATCH($D32,'Rooms Walls and Glass'!$A$35:$A$42,0), MATCH('Unit 3 a'!Y$7,'Rooms Walls and Glass'!$D$1:$AB$1,0))))</f>
        <v/>
      </c>
      <c r="Z32" s="68" t="str">
        <f t="shared" si="22"/>
        <v>-</v>
      </c>
      <c r="AA32" s="66" t="str">
        <f>IF(AA$7="","",IF(INDEX('Rooms Walls and Glass'!$D$35:$AB$42, MATCH($D32,'Rooms Walls and Glass'!$A$35:$A$42,0), MATCH('Unit 3 a'!AA$7,'Rooms Walls and Glass'!$D$1:$AB$1,0))=0,"",INDEX('Rooms Walls and Glass'!$D$35:$AB$42, MATCH($D32,'Rooms Walls and Glass'!$A$35:$A$42,0), MATCH('Unit 3 a'!AA$7,'Rooms Walls and Glass'!$D$1:$AB$1,0))))</f>
        <v/>
      </c>
      <c r="AB32" s="68" t="str">
        <f t="shared" si="23"/>
        <v>-</v>
      </c>
      <c r="AC32" s="66" t="str">
        <f>IF(AC$7="","",IF(INDEX('Rooms Walls and Glass'!$D$35:$AB$42, MATCH($D32,'Rooms Walls and Glass'!$A$35:$A$42,0), MATCH('Unit 3 a'!AC$7,'Rooms Walls and Glass'!$D$1:$AB$1,0))=0,"",INDEX('Rooms Walls and Glass'!$D$35:$AB$42, MATCH($D32,'Rooms Walls and Glass'!$A$35:$A$42,0), MATCH('Unit 3 a'!AC$7,'Rooms Walls and Glass'!$D$1:$AB$1,0))))</f>
        <v/>
      </c>
      <c r="AD32" s="68" t="str">
        <f t="shared" si="30"/>
        <v>-</v>
      </c>
      <c r="AE32" s="66" t="str">
        <f>IF(AE$7="","",IF(INDEX('Rooms Walls and Glass'!$D$35:$AB$42, MATCH($D32,'Rooms Walls and Glass'!$A$35:$A$42,0), MATCH('Unit 3 a'!AE$7,'Rooms Walls and Glass'!$D$1:$AB$1,0))=0,"",INDEX('Rooms Walls and Glass'!$D$35:$AB$42, MATCH($D32,'Rooms Walls and Glass'!$A$35:$A$42,0), MATCH('Unit 3 a'!AE$7,'Rooms Walls and Glass'!$D$1:$AB$1,0))))</f>
        <v/>
      </c>
      <c r="AF32" s="68" t="str">
        <f t="shared" si="31"/>
        <v>-</v>
      </c>
      <c r="AG32" s="66" t="str">
        <f>IF(AG$7="","",IF(INDEX('Rooms Walls and Glass'!$D$35:$AB$42, MATCH($D32,'Rooms Walls and Glass'!$A$35:$A$42,0), MATCH('Unit 3 a'!AG$7,'Rooms Walls and Glass'!$D$1:$AB$1,0))=0,"",INDEX('Rooms Walls and Glass'!$D$35:$AB$42, MATCH($D32,'Rooms Walls and Glass'!$A$35:$A$42,0), MATCH('Unit 3 a'!AG$7,'Rooms Walls and Glass'!$D$1:$AB$1,0))))</f>
        <v/>
      </c>
      <c r="AH32" s="68" t="str">
        <f t="shared" si="25"/>
        <v>-</v>
      </c>
      <c r="AI32" s="66" t="str">
        <f>IF(AI$7="","",IF(INDEX('Rooms Walls and Glass'!$D$35:$AB$42, MATCH($D32,'Rooms Walls and Glass'!$A$35:$A$42,0), MATCH('Unit 3 a'!AI$7,'Rooms Walls and Glass'!$D$1:$AB$1,0))=0,"",INDEX('Rooms Walls and Glass'!$D$35:$AB$42, MATCH($D32,'Rooms Walls and Glass'!$A$35:$A$42,0), MATCH('Unit 3 a'!AI$7,'Rooms Walls and Glass'!$D$1:$AB$1,0))))</f>
        <v/>
      </c>
      <c r="AJ32" s="69" t="str">
        <f t="shared" si="26"/>
        <v>-</v>
      </c>
      <c r="AK32" s="66" t="str">
        <f>IF(AK$7="","",IF(INDEX('Rooms Walls and Glass'!$D$35:$AB$42, MATCH($D32,'Rooms Walls and Glass'!$A$35:$A$42,0), MATCH('Unit 3 a'!AK$7,'Rooms Walls and Glass'!$D$1:$AB$1,0))=0,"",INDEX('Rooms Walls and Glass'!$D$35:$AB$42, MATCH($D32,'Rooms Walls and Glass'!$A$35:$A$42,0), MATCH('Unit 3 a'!AK$7,'Rooms Walls and Glass'!$D$1:$AB$1,0))))</f>
        <v/>
      </c>
      <c r="AL32" s="68" t="str">
        <f t="shared" si="27"/>
        <v>-</v>
      </c>
      <c r="AM32" s="66" t="str">
        <f>IF(AM$7="","",IF(INDEX('Rooms Walls and Glass'!$D$35:$AB$42, MATCH($D32,'Rooms Walls and Glass'!$A$35:$A$42,0), MATCH('Unit 3 a'!AM$7,'Rooms Walls and Glass'!$D$1:$AB$1,0))=0,"",INDEX('Rooms Walls and Glass'!$D$35:$AB$42, MATCH($D32,'Rooms Walls and Glass'!$A$35:$A$42,0), MATCH('Unit 3 a'!AM$7,'Rooms Walls and Glass'!$D$1:$AB$1,0))))</f>
        <v/>
      </c>
      <c r="AN32" s="69" t="str">
        <f t="shared" si="28"/>
        <v>-</v>
      </c>
    </row>
    <row r="33" spans="2:40" ht="11.25" customHeight="1" thickBot="1" x14ac:dyDescent="0.2">
      <c r="B33" s="214"/>
      <c r="C33" s="15" t="s">
        <v>38</v>
      </c>
      <c r="D33" s="13" t="str">
        <f>'Rooms Walls and Glass'!A39</f>
        <v>SouthEast</v>
      </c>
      <c r="E33" s="13">
        <f>INDEX('Glass CLF Calculation'!$A$20:$G$27,MATCH('Unit 3 a'!D33,'Glass CLF Calculation'!$A$20:$A$27,0),7)</f>
        <v>21</v>
      </c>
      <c r="F33" s="14">
        <f>INDEX(Summary!$F$19:$F$30,MATCH('Unit 3 a'!C33,Summary!$D$19:$D$30,0))</f>
        <v>7.6999999999999999E-2</v>
      </c>
      <c r="G33" s="14">
        <f t="shared" si="29"/>
        <v>1.617</v>
      </c>
      <c r="H33" s="16" t="s">
        <v>6</v>
      </c>
      <c r="I33" s="65">
        <f t="shared" si="13"/>
        <v>0</v>
      </c>
      <c r="J33" s="68">
        <f t="shared" si="14"/>
        <v>0</v>
      </c>
      <c r="K33" s="66" t="str">
        <f>IF(K$7="","",IF(INDEX('Rooms Walls and Glass'!$D$35:$AB$42, MATCH($D33,'Rooms Walls and Glass'!$A$35:$A$42,0), MATCH('Unit 3 a'!K$7,'Rooms Walls and Glass'!$D$1:$AB$1,0))=0,"",INDEX('Rooms Walls and Glass'!$D$35:$AB$42, MATCH($D33,'Rooms Walls and Glass'!$A$35:$A$42,0), MATCH('Unit 3 a'!K$7,'Rooms Walls and Glass'!$D$1:$AB$1,0))))</f>
        <v/>
      </c>
      <c r="L33" s="68" t="str">
        <f t="shared" si="15"/>
        <v>-</v>
      </c>
      <c r="M33" s="66" t="str">
        <f>IF(M$7="","",IF(INDEX('Rooms Walls and Glass'!$D$35:$AB$42, MATCH($D33,'Rooms Walls and Glass'!$A$35:$A$42,0), MATCH('Unit 3 a'!M$7,'Rooms Walls and Glass'!$D$1:$AB$1,0))=0,"",INDEX('Rooms Walls and Glass'!$D$35:$AB$42, MATCH($D33,'Rooms Walls and Glass'!$A$35:$A$42,0), MATCH('Unit 3 a'!M$7,'Rooms Walls and Glass'!$D$1:$AB$1,0))))</f>
        <v/>
      </c>
      <c r="N33" s="68" t="str">
        <f t="shared" si="16"/>
        <v>-</v>
      </c>
      <c r="O33" s="66" t="str">
        <f>IF(O$7="","",IF(INDEX('Rooms Walls and Glass'!$D$35:$AB$42, MATCH($D33,'Rooms Walls and Glass'!$A$35:$A$42,0), MATCH('Unit 3 a'!O$7,'Rooms Walls and Glass'!$D$1:$AB$1,0))=0,"",INDEX('Rooms Walls and Glass'!$D$35:$AB$42, MATCH($D33,'Rooms Walls and Glass'!$A$35:$A$42,0), MATCH('Unit 3 a'!O$7,'Rooms Walls and Glass'!$D$1:$AB$1,0))))</f>
        <v/>
      </c>
      <c r="P33" s="68" t="str">
        <f t="shared" si="17"/>
        <v>-</v>
      </c>
      <c r="Q33" s="66" t="str">
        <f>IF(Q$7="","",IF(INDEX('Rooms Walls and Glass'!$D$35:$AB$42, MATCH($D33,'Rooms Walls and Glass'!$A$35:$A$42,0), MATCH('Unit 3 a'!Q$7,'Rooms Walls and Glass'!$D$1:$AB$1,0))=0,"",INDEX('Rooms Walls and Glass'!$D$35:$AB$42, MATCH($D33,'Rooms Walls and Glass'!$A$35:$A$42,0), MATCH('Unit 3 a'!Q$7,'Rooms Walls and Glass'!$D$1:$AB$1,0))))</f>
        <v/>
      </c>
      <c r="R33" s="68" t="str">
        <f t="shared" si="18"/>
        <v>-</v>
      </c>
      <c r="S33" s="66" t="str">
        <f>IF(S$7="","",IF(INDEX('Rooms Walls and Glass'!$D$35:$AB$42, MATCH($D33,'Rooms Walls and Glass'!$A$35:$A$42,0), MATCH('Unit 3 a'!S$7,'Rooms Walls and Glass'!$D$1:$AB$1,0))=0,"",INDEX('Rooms Walls and Glass'!$D$35:$AB$42, MATCH($D33,'Rooms Walls and Glass'!$A$35:$A$42,0), MATCH('Unit 3 a'!S$7,'Rooms Walls and Glass'!$D$1:$AB$1,0))))</f>
        <v/>
      </c>
      <c r="T33" s="68" t="str">
        <f t="shared" si="19"/>
        <v>-</v>
      </c>
      <c r="U33" s="66" t="str">
        <f>IF(U$7="","",IF(INDEX('Rooms Walls and Glass'!$D$35:$AB$42, MATCH($D33,'Rooms Walls and Glass'!$A$35:$A$42,0), MATCH('Unit 3 a'!U$7,'Rooms Walls and Glass'!$D$1:$AB$1,0))=0,"",INDEX('Rooms Walls and Glass'!$D$35:$AB$42, MATCH($D33,'Rooms Walls and Glass'!$A$35:$A$42,0), MATCH('Unit 3 a'!U$7,'Rooms Walls and Glass'!$D$1:$AB$1,0))))</f>
        <v/>
      </c>
      <c r="V33" s="68" t="str">
        <f t="shared" si="20"/>
        <v>-</v>
      </c>
      <c r="W33" s="66" t="str">
        <f>IF(W$7="","",IF(INDEX('Rooms Walls and Glass'!$D$35:$AB$42, MATCH($D33,'Rooms Walls and Glass'!$A$35:$A$42,0), MATCH('Unit 3 a'!W$7,'Rooms Walls and Glass'!$D$1:$AB$1,0))=0,"",INDEX('Rooms Walls and Glass'!$D$35:$AB$42, MATCH($D33,'Rooms Walls and Glass'!$A$35:$A$42,0), MATCH('Unit 3 a'!W$7,'Rooms Walls and Glass'!$D$1:$AB$1,0))))</f>
        <v/>
      </c>
      <c r="X33" s="68" t="str">
        <f t="shared" si="21"/>
        <v>-</v>
      </c>
      <c r="Y33" s="66" t="str">
        <f>IF(Y$7="","",IF(INDEX('Rooms Walls and Glass'!$D$35:$AB$42, MATCH($D33,'Rooms Walls and Glass'!$A$35:$A$42,0), MATCH('Unit 3 a'!Y$7,'Rooms Walls and Glass'!$D$1:$AB$1,0))=0,"",INDEX('Rooms Walls and Glass'!$D$35:$AB$42, MATCH($D33,'Rooms Walls and Glass'!$A$35:$A$42,0), MATCH('Unit 3 a'!Y$7,'Rooms Walls and Glass'!$D$1:$AB$1,0))))</f>
        <v/>
      </c>
      <c r="Z33" s="68" t="str">
        <f t="shared" si="22"/>
        <v>-</v>
      </c>
      <c r="AA33" s="66" t="str">
        <f>IF(AA$7="","",IF(INDEX('Rooms Walls and Glass'!$D$35:$AB$42, MATCH($D33,'Rooms Walls and Glass'!$A$35:$A$42,0), MATCH('Unit 3 a'!AA$7,'Rooms Walls and Glass'!$D$1:$AB$1,0))=0,"",INDEX('Rooms Walls and Glass'!$D$35:$AB$42, MATCH($D33,'Rooms Walls and Glass'!$A$35:$A$42,0), MATCH('Unit 3 a'!AA$7,'Rooms Walls and Glass'!$D$1:$AB$1,0))))</f>
        <v/>
      </c>
      <c r="AB33" s="68" t="str">
        <f t="shared" si="23"/>
        <v>-</v>
      </c>
      <c r="AC33" s="66" t="str">
        <f>IF(AC$7="","",IF(INDEX('Rooms Walls and Glass'!$D$35:$AB$42, MATCH($D33,'Rooms Walls and Glass'!$A$35:$A$42,0), MATCH('Unit 3 a'!AC$7,'Rooms Walls and Glass'!$D$1:$AB$1,0))=0,"",INDEX('Rooms Walls and Glass'!$D$35:$AB$42, MATCH($D33,'Rooms Walls and Glass'!$A$35:$A$42,0), MATCH('Unit 3 a'!AC$7,'Rooms Walls and Glass'!$D$1:$AB$1,0))))</f>
        <v/>
      </c>
      <c r="AD33" s="68" t="str">
        <f t="shared" si="30"/>
        <v>-</v>
      </c>
      <c r="AE33" s="66" t="str">
        <f>IF(AE$7="","",IF(INDEX('Rooms Walls and Glass'!$D$35:$AB$42, MATCH($D33,'Rooms Walls and Glass'!$A$35:$A$42,0), MATCH('Unit 3 a'!AE$7,'Rooms Walls and Glass'!$D$1:$AB$1,0))=0,"",INDEX('Rooms Walls and Glass'!$D$35:$AB$42, MATCH($D33,'Rooms Walls and Glass'!$A$35:$A$42,0), MATCH('Unit 3 a'!AE$7,'Rooms Walls and Glass'!$D$1:$AB$1,0))))</f>
        <v/>
      </c>
      <c r="AF33" s="68" t="str">
        <f t="shared" si="31"/>
        <v>-</v>
      </c>
      <c r="AG33" s="66" t="str">
        <f>IF(AG$7="","",IF(INDEX('Rooms Walls and Glass'!$D$35:$AB$42, MATCH($D33,'Rooms Walls and Glass'!$A$35:$A$42,0), MATCH('Unit 3 a'!AG$7,'Rooms Walls and Glass'!$D$1:$AB$1,0))=0,"",INDEX('Rooms Walls and Glass'!$D$35:$AB$42, MATCH($D33,'Rooms Walls and Glass'!$A$35:$A$42,0), MATCH('Unit 3 a'!AG$7,'Rooms Walls and Glass'!$D$1:$AB$1,0))))</f>
        <v/>
      </c>
      <c r="AH33" s="68" t="str">
        <f t="shared" si="25"/>
        <v>-</v>
      </c>
      <c r="AI33" s="66" t="str">
        <f>IF(AI$7="","",IF(INDEX('Rooms Walls and Glass'!$D$35:$AB$42, MATCH($D33,'Rooms Walls and Glass'!$A$35:$A$42,0), MATCH('Unit 3 a'!AI$7,'Rooms Walls and Glass'!$D$1:$AB$1,0))=0,"",INDEX('Rooms Walls and Glass'!$D$35:$AB$42, MATCH($D33,'Rooms Walls and Glass'!$A$35:$A$42,0), MATCH('Unit 3 a'!AI$7,'Rooms Walls and Glass'!$D$1:$AB$1,0))))</f>
        <v/>
      </c>
      <c r="AJ33" s="69" t="str">
        <f t="shared" si="26"/>
        <v>-</v>
      </c>
      <c r="AK33" s="66" t="str">
        <f>IF(AK$7="","",IF(INDEX('Rooms Walls and Glass'!$D$35:$AB$42, MATCH($D33,'Rooms Walls and Glass'!$A$35:$A$42,0), MATCH('Unit 3 a'!AK$7,'Rooms Walls and Glass'!$D$1:$AB$1,0))=0,"",INDEX('Rooms Walls and Glass'!$D$35:$AB$42, MATCH($D33,'Rooms Walls and Glass'!$A$35:$A$42,0), MATCH('Unit 3 a'!AK$7,'Rooms Walls and Glass'!$D$1:$AB$1,0))))</f>
        <v/>
      </c>
      <c r="AL33" s="68" t="str">
        <f t="shared" si="27"/>
        <v>-</v>
      </c>
      <c r="AM33" s="66" t="str">
        <f>IF(AM$7="","",IF(INDEX('Rooms Walls and Glass'!$D$35:$AB$42, MATCH($D33,'Rooms Walls and Glass'!$A$35:$A$42,0), MATCH('Unit 3 a'!AM$7,'Rooms Walls and Glass'!$D$1:$AB$1,0))=0,"",INDEX('Rooms Walls and Glass'!$D$35:$AB$42, MATCH($D33,'Rooms Walls and Glass'!$A$35:$A$42,0), MATCH('Unit 3 a'!AM$7,'Rooms Walls and Glass'!$D$1:$AB$1,0))))</f>
        <v/>
      </c>
      <c r="AN33" s="69" t="str">
        <f t="shared" si="28"/>
        <v>-</v>
      </c>
    </row>
    <row r="34" spans="2:40" ht="11.25" customHeight="1" thickBot="1" x14ac:dyDescent="0.2">
      <c r="B34" s="214"/>
      <c r="C34" s="15" t="s">
        <v>38</v>
      </c>
      <c r="D34" s="13" t="str">
        <f>'Rooms Walls and Glass'!A40</f>
        <v>South</v>
      </c>
      <c r="E34" s="13">
        <f>INDEX('Glass CLF Calculation'!$A$20:$G$27,MATCH('Unit 3 a'!D34,'Glass CLF Calculation'!$A$20:$A$27,0),7)</f>
        <v>16</v>
      </c>
      <c r="F34" s="14">
        <f>INDEX(Summary!$F$19:$F$30,MATCH('Unit 3 a'!C34,Summary!$D$19:$D$30,0))</f>
        <v>7.6999999999999999E-2</v>
      </c>
      <c r="G34" s="14">
        <f t="shared" si="29"/>
        <v>1.232</v>
      </c>
      <c r="H34" s="16" t="s">
        <v>6</v>
      </c>
      <c r="I34" s="65">
        <f t="shared" si="13"/>
        <v>0</v>
      </c>
      <c r="J34" s="68">
        <f t="shared" si="14"/>
        <v>0</v>
      </c>
      <c r="K34" s="66" t="str">
        <f>IF(K$7="","",IF(INDEX('Rooms Walls and Glass'!$D$35:$AB$42, MATCH($D34,'Rooms Walls and Glass'!$A$35:$A$42,0), MATCH('Unit 3 a'!K$7,'Rooms Walls and Glass'!$D$1:$AB$1,0))=0,"",INDEX('Rooms Walls and Glass'!$D$35:$AB$42, MATCH($D34,'Rooms Walls and Glass'!$A$35:$A$42,0), MATCH('Unit 3 a'!K$7,'Rooms Walls and Glass'!$D$1:$AB$1,0))))</f>
        <v/>
      </c>
      <c r="L34" s="68" t="str">
        <f t="shared" si="15"/>
        <v>-</v>
      </c>
      <c r="M34" s="66" t="str">
        <f>IF(M$7="","",IF(INDEX('Rooms Walls and Glass'!$D$35:$AB$42, MATCH($D34,'Rooms Walls and Glass'!$A$35:$A$42,0), MATCH('Unit 3 a'!M$7,'Rooms Walls and Glass'!$D$1:$AB$1,0))=0,"",INDEX('Rooms Walls and Glass'!$D$35:$AB$42, MATCH($D34,'Rooms Walls and Glass'!$A$35:$A$42,0), MATCH('Unit 3 a'!M$7,'Rooms Walls and Glass'!$D$1:$AB$1,0))))</f>
        <v/>
      </c>
      <c r="N34" s="68" t="str">
        <f t="shared" si="16"/>
        <v>-</v>
      </c>
      <c r="O34" s="66" t="str">
        <f>IF(O$7="","",IF(INDEX('Rooms Walls and Glass'!$D$35:$AB$42, MATCH($D34,'Rooms Walls and Glass'!$A$35:$A$42,0), MATCH('Unit 3 a'!O$7,'Rooms Walls and Glass'!$D$1:$AB$1,0))=0,"",INDEX('Rooms Walls and Glass'!$D$35:$AB$42, MATCH($D34,'Rooms Walls and Glass'!$A$35:$A$42,0), MATCH('Unit 3 a'!O$7,'Rooms Walls and Glass'!$D$1:$AB$1,0))))</f>
        <v/>
      </c>
      <c r="P34" s="68" t="str">
        <f t="shared" si="17"/>
        <v>-</v>
      </c>
      <c r="Q34" s="66" t="str">
        <f>IF(Q$7="","",IF(INDEX('Rooms Walls and Glass'!$D$35:$AB$42, MATCH($D34,'Rooms Walls and Glass'!$A$35:$A$42,0), MATCH('Unit 3 a'!Q$7,'Rooms Walls and Glass'!$D$1:$AB$1,0))=0,"",INDEX('Rooms Walls and Glass'!$D$35:$AB$42, MATCH($D34,'Rooms Walls and Glass'!$A$35:$A$42,0), MATCH('Unit 3 a'!Q$7,'Rooms Walls and Glass'!$D$1:$AB$1,0))))</f>
        <v/>
      </c>
      <c r="R34" s="68" t="str">
        <f t="shared" si="18"/>
        <v>-</v>
      </c>
      <c r="S34" s="66" t="str">
        <f>IF(S$7="","",IF(INDEX('Rooms Walls and Glass'!$D$35:$AB$42, MATCH($D34,'Rooms Walls and Glass'!$A$35:$A$42,0), MATCH('Unit 3 a'!S$7,'Rooms Walls and Glass'!$D$1:$AB$1,0))=0,"",INDEX('Rooms Walls and Glass'!$D$35:$AB$42, MATCH($D34,'Rooms Walls and Glass'!$A$35:$A$42,0), MATCH('Unit 3 a'!S$7,'Rooms Walls and Glass'!$D$1:$AB$1,0))))</f>
        <v/>
      </c>
      <c r="T34" s="68" t="str">
        <f t="shared" si="19"/>
        <v>-</v>
      </c>
      <c r="U34" s="66" t="str">
        <f>IF(U$7="","",IF(INDEX('Rooms Walls and Glass'!$D$35:$AB$42, MATCH($D34,'Rooms Walls and Glass'!$A$35:$A$42,0), MATCH('Unit 3 a'!U$7,'Rooms Walls and Glass'!$D$1:$AB$1,0))=0,"",INDEX('Rooms Walls and Glass'!$D$35:$AB$42, MATCH($D34,'Rooms Walls and Glass'!$A$35:$A$42,0), MATCH('Unit 3 a'!U$7,'Rooms Walls and Glass'!$D$1:$AB$1,0))))</f>
        <v/>
      </c>
      <c r="V34" s="68" t="str">
        <f t="shared" si="20"/>
        <v>-</v>
      </c>
      <c r="W34" s="66" t="str">
        <f>IF(W$7="","",IF(INDEX('Rooms Walls and Glass'!$D$35:$AB$42, MATCH($D34,'Rooms Walls and Glass'!$A$35:$A$42,0), MATCH('Unit 3 a'!W$7,'Rooms Walls and Glass'!$D$1:$AB$1,0))=0,"",INDEX('Rooms Walls and Glass'!$D$35:$AB$42, MATCH($D34,'Rooms Walls and Glass'!$A$35:$A$42,0), MATCH('Unit 3 a'!W$7,'Rooms Walls and Glass'!$D$1:$AB$1,0))))</f>
        <v/>
      </c>
      <c r="X34" s="68" t="str">
        <f t="shared" si="21"/>
        <v>-</v>
      </c>
      <c r="Y34" s="66" t="str">
        <f>IF(Y$7="","",IF(INDEX('Rooms Walls and Glass'!$D$35:$AB$42, MATCH($D34,'Rooms Walls and Glass'!$A$35:$A$42,0), MATCH('Unit 3 a'!Y$7,'Rooms Walls and Glass'!$D$1:$AB$1,0))=0,"",INDEX('Rooms Walls and Glass'!$D$35:$AB$42, MATCH($D34,'Rooms Walls and Glass'!$A$35:$A$42,0), MATCH('Unit 3 a'!Y$7,'Rooms Walls and Glass'!$D$1:$AB$1,0))))</f>
        <v/>
      </c>
      <c r="Z34" s="68" t="str">
        <f t="shared" si="22"/>
        <v>-</v>
      </c>
      <c r="AA34" s="66" t="str">
        <f>IF(AA$7="","",IF(INDEX('Rooms Walls and Glass'!$D$35:$AB$42, MATCH($D34,'Rooms Walls and Glass'!$A$35:$A$42,0), MATCH('Unit 3 a'!AA$7,'Rooms Walls and Glass'!$D$1:$AB$1,0))=0,"",INDEX('Rooms Walls and Glass'!$D$35:$AB$42, MATCH($D34,'Rooms Walls and Glass'!$A$35:$A$42,0), MATCH('Unit 3 a'!AA$7,'Rooms Walls and Glass'!$D$1:$AB$1,0))))</f>
        <v/>
      </c>
      <c r="AB34" s="68" t="str">
        <f t="shared" si="23"/>
        <v>-</v>
      </c>
      <c r="AC34" s="66" t="str">
        <f>IF(AC$7="","",IF(INDEX('Rooms Walls and Glass'!$D$35:$AB$42, MATCH($D34,'Rooms Walls and Glass'!$A$35:$A$42,0), MATCH('Unit 3 a'!AC$7,'Rooms Walls and Glass'!$D$1:$AB$1,0))=0,"",INDEX('Rooms Walls and Glass'!$D$35:$AB$42, MATCH($D34,'Rooms Walls and Glass'!$A$35:$A$42,0), MATCH('Unit 3 a'!AC$7,'Rooms Walls and Glass'!$D$1:$AB$1,0))))</f>
        <v/>
      </c>
      <c r="AD34" s="68" t="str">
        <f t="shared" si="30"/>
        <v>-</v>
      </c>
      <c r="AE34" s="66" t="str">
        <f>IF(AE$7="","",IF(INDEX('Rooms Walls and Glass'!$D$35:$AB$42, MATCH($D34,'Rooms Walls and Glass'!$A$35:$A$42,0), MATCH('Unit 3 a'!AE$7,'Rooms Walls and Glass'!$D$1:$AB$1,0))=0,"",INDEX('Rooms Walls and Glass'!$D$35:$AB$42, MATCH($D34,'Rooms Walls and Glass'!$A$35:$A$42,0), MATCH('Unit 3 a'!AE$7,'Rooms Walls and Glass'!$D$1:$AB$1,0))))</f>
        <v/>
      </c>
      <c r="AF34" s="68" t="str">
        <f t="shared" si="31"/>
        <v>-</v>
      </c>
      <c r="AG34" s="66" t="str">
        <f>IF(AG$7="","",IF(INDEX('Rooms Walls and Glass'!$D$35:$AB$42, MATCH($D34,'Rooms Walls and Glass'!$A$35:$A$42,0), MATCH('Unit 3 a'!AG$7,'Rooms Walls and Glass'!$D$1:$AB$1,0))=0,"",INDEX('Rooms Walls and Glass'!$D$35:$AB$42, MATCH($D34,'Rooms Walls and Glass'!$A$35:$A$42,0), MATCH('Unit 3 a'!AG$7,'Rooms Walls and Glass'!$D$1:$AB$1,0))))</f>
        <v/>
      </c>
      <c r="AH34" s="68" t="str">
        <f t="shared" si="25"/>
        <v>-</v>
      </c>
      <c r="AI34" s="66" t="str">
        <f>IF(AI$7="","",IF(INDEX('Rooms Walls and Glass'!$D$35:$AB$42, MATCH($D34,'Rooms Walls and Glass'!$A$35:$A$42,0), MATCH('Unit 3 a'!AI$7,'Rooms Walls and Glass'!$D$1:$AB$1,0))=0,"",INDEX('Rooms Walls and Glass'!$D$35:$AB$42, MATCH($D34,'Rooms Walls and Glass'!$A$35:$A$42,0), MATCH('Unit 3 a'!AI$7,'Rooms Walls and Glass'!$D$1:$AB$1,0))))</f>
        <v/>
      </c>
      <c r="AJ34" s="69" t="str">
        <f t="shared" si="26"/>
        <v>-</v>
      </c>
      <c r="AK34" s="66" t="str">
        <f>IF(AK$7="","",IF(INDEX('Rooms Walls and Glass'!$D$35:$AB$42, MATCH($D34,'Rooms Walls and Glass'!$A$35:$A$42,0), MATCH('Unit 3 a'!AK$7,'Rooms Walls and Glass'!$D$1:$AB$1,0))=0,"",INDEX('Rooms Walls and Glass'!$D$35:$AB$42, MATCH($D34,'Rooms Walls and Glass'!$A$35:$A$42,0), MATCH('Unit 3 a'!AK$7,'Rooms Walls and Glass'!$D$1:$AB$1,0))))</f>
        <v/>
      </c>
      <c r="AL34" s="68" t="str">
        <f t="shared" si="27"/>
        <v>-</v>
      </c>
      <c r="AM34" s="66" t="str">
        <f>IF(AM$7="","",IF(INDEX('Rooms Walls and Glass'!$D$35:$AB$42, MATCH($D34,'Rooms Walls and Glass'!$A$35:$A$42,0), MATCH('Unit 3 a'!AM$7,'Rooms Walls and Glass'!$D$1:$AB$1,0))=0,"",INDEX('Rooms Walls and Glass'!$D$35:$AB$42, MATCH($D34,'Rooms Walls and Glass'!$A$35:$A$42,0), MATCH('Unit 3 a'!AM$7,'Rooms Walls and Glass'!$D$1:$AB$1,0))))</f>
        <v/>
      </c>
      <c r="AN34" s="69" t="str">
        <f t="shared" si="28"/>
        <v>-</v>
      </c>
    </row>
    <row r="35" spans="2:40" ht="11.25" customHeight="1" thickBot="1" x14ac:dyDescent="0.2">
      <c r="B35" s="214"/>
      <c r="C35" s="15" t="s">
        <v>38</v>
      </c>
      <c r="D35" s="13" t="str">
        <f>'Rooms Walls and Glass'!A41</f>
        <v>SouthWest</v>
      </c>
      <c r="E35" s="13">
        <f>INDEX('Glass CLF Calculation'!$A$20:$G$27,MATCH('Unit 3 a'!D35,'Glass CLF Calculation'!$A$20:$A$27,0),7)</f>
        <v>21</v>
      </c>
      <c r="F35" s="14">
        <f>INDEX(Summary!$F$19:$F$30,MATCH('Unit 3 a'!C35,Summary!$D$19:$D$30,0))</f>
        <v>7.6999999999999999E-2</v>
      </c>
      <c r="G35" s="14">
        <f t="shared" si="29"/>
        <v>1.617</v>
      </c>
      <c r="H35" s="16" t="s">
        <v>6</v>
      </c>
      <c r="I35" s="65">
        <f t="shared" si="13"/>
        <v>0</v>
      </c>
      <c r="J35" s="68">
        <f t="shared" si="14"/>
        <v>0</v>
      </c>
      <c r="K35" s="66" t="str">
        <f>IF(K$7="","",IF(INDEX('Rooms Walls and Glass'!$D$35:$AB$42, MATCH($D35,'Rooms Walls and Glass'!$A$35:$A$42,0), MATCH('Unit 3 a'!K$7,'Rooms Walls and Glass'!$D$1:$AB$1,0))=0,"",INDEX('Rooms Walls and Glass'!$D$35:$AB$42, MATCH($D35,'Rooms Walls and Glass'!$A$35:$A$42,0), MATCH('Unit 3 a'!K$7,'Rooms Walls and Glass'!$D$1:$AB$1,0))))</f>
        <v/>
      </c>
      <c r="L35" s="68" t="str">
        <f t="shared" si="15"/>
        <v>-</v>
      </c>
      <c r="M35" s="66" t="str">
        <f>IF(M$7="","",IF(INDEX('Rooms Walls and Glass'!$D$35:$AB$42, MATCH($D35,'Rooms Walls and Glass'!$A$35:$A$42,0), MATCH('Unit 3 a'!M$7,'Rooms Walls and Glass'!$D$1:$AB$1,0))=0,"",INDEX('Rooms Walls and Glass'!$D$35:$AB$42, MATCH($D35,'Rooms Walls and Glass'!$A$35:$A$42,0), MATCH('Unit 3 a'!M$7,'Rooms Walls and Glass'!$D$1:$AB$1,0))))</f>
        <v/>
      </c>
      <c r="N35" s="68" t="str">
        <f t="shared" si="16"/>
        <v>-</v>
      </c>
      <c r="O35" s="66" t="str">
        <f>IF(O$7="","",IF(INDEX('Rooms Walls and Glass'!$D$35:$AB$42, MATCH($D35,'Rooms Walls and Glass'!$A$35:$A$42,0), MATCH('Unit 3 a'!O$7,'Rooms Walls and Glass'!$D$1:$AB$1,0))=0,"",INDEX('Rooms Walls and Glass'!$D$35:$AB$42, MATCH($D35,'Rooms Walls and Glass'!$A$35:$A$42,0), MATCH('Unit 3 a'!O$7,'Rooms Walls and Glass'!$D$1:$AB$1,0))))</f>
        <v/>
      </c>
      <c r="P35" s="68" t="str">
        <f t="shared" si="17"/>
        <v>-</v>
      </c>
      <c r="Q35" s="66" t="str">
        <f>IF(Q$7="","",IF(INDEX('Rooms Walls and Glass'!$D$35:$AB$42, MATCH($D35,'Rooms Walls and Glass'!$A$35:$A$42,0), MATCH('Unit 3 a'!Q$7,'Rooms Walls and Glass'!$D$1:$AB$1,0))=0,"",INDEX('Rooms Walls and Glass'!$D$35:$AB$42, MATCH($D35,'Rooms Walls and Glass'!$A$35:$A$42,0), MATCH('Unit 3 a'!Q$7,'Rooms Walls and Glass'!$D$1:$AB$1,0))))</f>
        <v/>
      </c>
      <c r="R35" s="68" t="str">
        <f t="shared" si="18"/>
        <v>-</v>
      </c>
      <c r="S35" s="66" t="str">
        <f>IF(S$7="","",IF(INDEX('Rooms Walls and Glass'!$D$35:$AB$42, MATCH($D35,'Rooms Walls and Glass'!$A$35:$A$42,0), MATCH('Unit 3 a'!S$7,'Rooms Walls and Glass'!$D$1:$AB$1,0))=0,"",INDEX('Rooms Walls and Glass'!$D$35:$AB$42, MATCH($D35,'Rooms Walls and Glass'!$A$35:$A$42,0), MATCH('Unit 3 a'!S$7,'Rooms Walls and Glass'!$D$1:$AB$1,0))))</f>
        <v/>
      </c>
      <c r="T35" s="68" t="str">
        <f t="shared" si="19"/>
        <v>-</v>
      </c>
      <c r="U35" s="66" t="str">
        <f>IF(U$7="","",IF(INDEX('Rooms Walls and Glass'!$D$35:$AB$42, MATCH($D35,'Rooms Walls and Glass'!$A$35:$A$42,0), MATCH('Unit 3 a'!U$7,'Rooms Walls and Glass'!$D$1:$AB$1,0))=0,"",INDEX('Rooms Walls and Glass'!$D$35:$AB$42, MATCH($D35,'Rooms Walls and Glass'!$A$35:$A$42,0), MATCH('Unit 3 a'!U$7,'Rooms Walls and Glass'!$D$1:$AB$1,0))))</f>
        <v/>
      </c>
      <c r="V35" s="68" t="str">
        <f t="shared" si="20"/>
        <v>-</v>
      </c>
      <c r="W35" s="66" t="str">
        <f>IF(W$7="","",IF(INDEX('Rooms Walls and Glass'!$D$35:$AB$42, MATCH($D35,'Rooms Walls and Glass'!$A$35:$A$42,0), MATCH('Unit 3 a'!W$7,'Rooms Walls and Glass'!$D$1:$AB$1,0))=0,"",INDEX('Rooms Walls and Glass'!$D$35:$AB$42, MATCH($D35,'Rooms Walls and Glass'!$A$35:$A$42,0), MATCH('Unit 3 a'!W$7,'Rooms Walls and Glass'!$D$1:$AB$1,0))))</f>
        <v/>
      </c>
      <c r="X35" s="68" t="str">
        <f t="shared" si="21"/>
        <v>-</v>
      </c>
      <c r="Y35" s="66" t="str">
        <f>IF(Y$7="","",IF(INDEX('Rooms Walls and Glass'!$D$35:$AB$42, MATCH($D35,'Rooms Walls and Glass'!$A$35:$A$42,0), MATCH('Unit 3 a'!Y$7,'Rooms Walls and Glass'!$D$1:$AB$1,0))=0,"",INDEX('Rooms Walls and Glass'!$D$35:$AB$42, MATCH($D35,'Rooms Walls and Glass'!$A$35:$A$42,0), MATCH('Unit 3 a'!Y$7,'Rooms Walls and Glass'!$D$1:$AB$1,0))))</f>
        <v/>
      </c>
      <c r="Z35" s="68" t="str">
        <f t="shared" si="22"/>
        <v>-</v>
      </c>
      <c r="AA35" s="66" t="str">
        <f>IF(AA$7="","",IF(INDEX('Rooms Walls and Glass'!$D$35:$AB$42, MATCH($D35,'Rooms Walls and Glass'!$A$35:$A$42,0), MATCH('Unit 3 a'!AA$7,'Rooms Walls and Glass'!$D$1:$AB$1,0))=0,"",INDEX('Rooms Walls and Glass'!$D$35:$AB$42, MATCH($D35,'Rooms Walls and Glass'!$A$35:$A$42,0), MATCH('Unit 3 a'!AA$7,'Rooms Walls and Glass'!$D$1:$AB$1,0))))</f>
        <v/>
      </c>
      <c r="AB35" s="68" t="str">
        <f t="shared" si="23"/>
        <v>-</v>
      </c>
      <c r="AC35" s="66" t="str">
        <f>IF(AC$7="","",IF(INDEX('Rooms Walls and Glass'!$D$35:$AB$42, MATCH($D35,'Rooms Walls and Glass'!$A$35:$A$42,0), MATCH('Unit 3 a'!AC$7,'Rooms Walls and Glass'!$D$1:$AB$1,0))=0,"",INDEX('Rooms Walls and Glass'!$D$35:$AB$42, MATCH($D35,'Rooms Walls and Glass'!$A$35:$A$42,0), MATCH('Unit 3 a'!AC$7,'Rooms Walls and Glass'!$D$1:$AB$1,0))))</f>
        <v/>
      </c>
      <c r="AD35" s="68" t="str">
        <f t="shared" si="30"/>
        <v>-</v>
      </c>
      <c r="AE35" s="66" t="str">
        <f>IF(AE$7="","",IF(INDEX('Rooms Walls and Glass'!$D$35:$AB$42, MATCH($D35,'Rooms Walls and Glass'!$A$35:$A$42,0), MATCH('Unit 3 a'!AE$7,'Rooms Walls and Glass'!$D$1:$AB$1,0))=0,"",INDEX('Rooms Walls and Glass'!$D$35:$AB$42, MATCH($D35,'Rooms Walls and Glass'!$A$35:$A$42,0), MATCH('Unit 3 a'!AE$7,'Rooms Walls and Glass'!$D$1:$AB$1,0))))</f>
        <v/>
      </c>
      <c r="AF35" s="68" t="str">
        <f t="shared" si="31"/>
        <v>-</v>
      </c>
      <c r="AG35" s="66" t="str">
        <f>IF(AG$7="","",IF(INDEX('Rooms Walls and Glass'!$D$35:$AB$42, MATCH($D35,'Rooms Walls and Glass'!$A$35:$A$42,0), MATCH('Unit 3 a'!AG$7,'Rooms Walls and Glass'!$D$1:$AB$1,0))=0,"",INDEX('Rooms Walls and Glass'!$D$35:$AB$42, MATCH($D35,'Rooms Walls and Glass'!$A$35:$A$42,0), MATCH('Unit 3 a'!AG$7,'Rooms Walls and Glass'!$D$1:$AB$1,0))))</f>
        <v/>
      </c>
      <c r="AH35" s="68" t="str">
        <f t="shared" si="25"/>
        <v>-</v>
      </c>
      <c r="AI35" s="66" t="str">
        <f>IF(AI$7="","",IF(INDEX('Rooms Walls and Glass'!$D$35:$AB$42, MATCH($D35,'Rooms Walls and Glass'!$A$35:$A$42,0), MATCH('Unit 3 a'!AI$7,'Rooms Walls and Glass'!$D$1:$AB$1,0))=0,"",INDEX('Rooms Walls and Glass'!$D$35:$AB$42, MATCH($D35,'Rooms Walls and Glass'!$A$35:$A$42,0), MATCH('Unit 3 a'!AI$7,'Rooms Walls and Glass'!$D$1:$AB$1,0))))</f>
        <v/>
      </c>
      <c r="AJ35" s="69" t="str">
        <f t="shared" si="26"/>
        <v>-</v>
      </c>
      <c r="AK35" s="66" t="str">
        <f>IF(AK$7="","",IF(INDEX('Rooms Walls and Glass'!$D$35:$AB$42, MATCH($D35,'Rooms Walls and Glass'!$A$35:$A$42,0), MATCH('Unit 3 a'!AK$7,'Rooms Walls and Glass'!$D$1:$AB$1,0))=0,"",INDEX('Rooms Walls and Glass'!$D$35:$AB$42, MATCH($D35,'Rooms Walls and Glass'!$A$35:$A$42,0), MATCH('Unit 3 a'!AK$7,'Rooms Walls and Glass'!$D$1:$AB$1,0))))</f>
        <v/>
      </c>
      <c r="AL35" s="68" t="str">
        <f t="shared" si="27"/>
        <v>-</v>
      </c>
      <c r="AM35" s="66" t="str">
        <f>IF(AM$7="","",IF(INDEX('Rooms Walls and Glass'!$D$35:$AB$42, MATCH($D35,'Rooms Walls and Glass'!$A$35:$A$42,0), MATCH('Unit 3 a'!AM$7,'Rooms Walls and Glass'!$D$1:$AB$1,0))=0,"",INDEX('Rooms Walls and Glass'!$D$35:$AB$42, MATCH($D35,'Rooms Walls and Glass'!$A$35:$A$42,0), MATCH('Unit 3 a'!AM$7,'Rooms Walls and Glass'!$D$1:$AB$1,0))))</f>
        <v/>
      </c>
      <c r="AN35" s="69" t="str">
        <f t="shared" si="28"/>
        <v>-</v>
      </c>
    </row>
    <row r="36" spans="2:40" ht="11.25" customHeight="1" thickBot="1" x14ac:dyDescent="0.2">
      <c r="B36" s="213"/>
      <c r="C36" s="17" t="s">
        <v>38</v>
      </c>
      <c r="D36" s="13" t="str">
        <f>'Rooms Walls and Glass'!A42</f>
        <v>West</v>
      </c>
      <c r="E36" s="13">
        <f>INDEX('Glass CLF Calculation'!$A$20:$G$27,MATCH('Unit 3 a'!D36,'Glass CLF Calculation'!$A$20:$A$27,0),7)</f>
        <v>23</v>
      </c>
      <c r="F36" s="14">
        <f>INDEX(Summary!$F$19:$F$30,MATCH('Unit 3 a'!C36,Summary!$D$19:$D$30,0))</f>
        <v>7.6999999999999999E-2</v>
      </c>
      <c r="G36" s="14">
        <f t="shared" si="29"/>
        <v>1.7709999999999999</v>
      </c>
      <c r="H36" s="18" t="s">
        <v>6</v>
      </c>
      <c r="I36" s="65">
        <f t="shared" si="13"/>
        <v>0</v>
      </c>
      <c r="J36" s="70">
        <f t="shared" si="14"/>
        <v>0</v>
      </c>
      <c r="K36" s="66" t="str">
        <f>IF(K$7="","",IF(INDEX('Rooms Walls and Glass'!$D$35:$AB$42, MATCH($D36,'Rooms Walls and Glass'!$A$35:$A$42,0), MATCH('Unit 3 a'!K$7,'Rooms Walls and Glass'!$D$1:$AB$1,0))=0,"",INDEX('Rooms Walls and Glass'!$D$35:$AB$42, MATCH($D36,'Rooms Walls and Glass'!$A$35:$A$42,0), MATCH('Unit 3 a'!K$7,'Rooms Walls and Glass'!$D$1:$AB$1,0))))</f>
        <v/>
      </c>
      <c r="L36" s="70" t="str">
        <f t="shared" si="15"/>
        <v>-</v>
      </c>
      <c r="M36" s="66" t="str">
        <f>IF(M$7="","",IF(INDEX('Rooms Walls and Glass'!$D$35:$AB$42, MATCH($D36,'Rooms Walls and Glass'!$A$35:$A$42,0), MATCH('Unit 3 a'!M$7,'Rooms Walls and Glass'!$D$1:$AB$1,0))=0,"",INDEX('Rooms Walls and Glass'!$D$35:$AB$42, MATCH($D36,'Rooms Walls and Glass'!$A$35:$A$42,0), MATCH('Unit 3 a'!M$7,'Rooms Walls and Glass'!$D$1:$AB$1,0))))</f>
        <v/>
      </c>
      <c r="N36" s="70" t="str">
        <f t="shared" si="16"/>
        <v>-</v>
      </c>
      <c r="O36" s="66" t="str">
        <f>IF(O$7="","",IF(INDEX('Rooms Walls and Glass'!$D$35:$AB$42, MATCH($D36,'Rooms Walls and Glass'!$A$35:$A$42,0), MATCH('Unit 3 a'!O$7,'Rooms Walls and Glass'!$D$1:$AB$1,0))=0,"",INDEX('Rooms Walls and Glass'!$D$35:$AB$42, MATCH($D36,'Rooms Walls and Glass'!$A$35:$A$42,0), MATCH('Unit 3 a'!O$7,'Rooms Walls and Glass'!$D$1:$AB$1,0))))</f>
        <v/>
      </c>
      <c r="P36" s="70" t="str">
        <f t="shared" si="17"/>
        <v>-</v>
      </c>
      <c r="Q36" s="66" t="str">
        <f>IF(Q$7="","",IF(INDEX('Rooms Walls and Glass'!$D$35:$AB$42, MATCH($D36,'Rooms Walls and Glass'!$A$35:$A$42,0), MATCH('Unit 3 a'!Q$7,'Rooms Walls and Glass'!$D$1:$AB$1,0))=0,"",INDEX('Rooms Walls and Glass'!$D$35:$AB$42, MATCH($D36,'Rooms Walls and Glass'!$A$35:$A$42,0), MATCH('Unit 3 a'!Q$7,'Rooms Walls and Glass'!$D$1:$AB$1,0))))</f>
        <v/>
      </c>
      <c r="R36" s="70" t="str">
        <f t="shared" si="18"/>
        <v>-</v>
      </c>
      <c r="S36" s="66" t="str">
        <f>IF(S$7="","",IF(INDEX('Rooms Walls and Glass'!$D$35:$AB$42, MATCH($D36,'Rooms Walls and Glass'!$A$35:$A$42,0), MATCH('Unit 3 a'!S$7,'Rooms Walls and Glass'!$D$1:$AB$1,0))=0,"",INDEX('Rooms Walls and Glass'!$D$35:$AB$42, MATCH($D36,'Rooms Walls and Glass'!$A$35:$A$42,0), MATCH('Unit 3 a'!S$7,'Rooms Walls and Glass'!$D$1:$AB$1,0))))</f>
        <v/>
      </c>
      <c r="T36" s="70" t="str">
        <f t="shared" si="19"/>
        <v>-</v>
      </c>
      <c r="U36" s="66" t="str">
        <f>IF(U$7="","",IF(INDEX('Rooms Walls and Glass'!$D$35:$AB$42, MATCH($D36,'Rooms Walls and Glass'!$A$35:$A$42,0), MATCH('Unit 3 a'!U$7,'Rooms Walls and Glass'!$D$1:$AB$1,0))=0,"",INDEX('Rooms Walls and Glass'!$D$35:$AB$42, MATCH($D36,'Rooms Walls and Glass'!$A$35:$A$42,0), MATCH('Unit 3 a'!U$7,'Rooms Walls and Glass'!$D$1:$AB$1,0))))</f>
        <v/>
      </c>
      <c r="V36" s="70" t="str">
        <f t="shared" si="20"/>
        <v>-</v>
      </c>
      <c r="W36" s="66" t="str">
        <f>IF(W$7="","",IF(INDEX('Rooms Walls and Glass'!$D$35:$AB$42, MATCH($D36,'Rooms Walls and Glass'!$A$35:$A$42,0), MATCH('Unit 3 a'!W$7,'Rooms Walls and Glass'!$D$1:$AB$1,0))=0,"",INDEX('Rooms Walls and Glass'!$D$35:$AB$42, MATCH($D36,'Rooms Walls and Glass'!$A$35:$A$42,0), MATCH('Unit 3 a'!W$7,'Rooms Walls and Glass'!$D$1:$AB$1,0))))</f>
        <v/>
      </c>
      <c r="X36" s="70" t="str">
        <f t="shared" si="21"/>
        <v>-</v>
      </c>
      <c r="Y36" s="66" t="str">
        <f>IF(Y$7="","",IF(INDEX('Rooms Walls and Glass'!$D$35:$AB$42, MATCH($D36,'Rooms Walls and Glass'!$A$35:$A$42,0), MATCH('Unit 3 a'!Y$7,'Rooms Walls and Glass'!$D$1:$AB$1,0))=0,"",INDEX('Rooms Walls and Glass'!$D$35:$AB$42, MATCH($D36,'Rooms Walls and Glass'!$A$35:$A$42,0), MATCH('Unit 3 a'!Y$7,'Rooms Walls and Glass'!$D$1:$AB$1,0))))</f>
        <v/>
      </c>
      <c r="Z36" s="70" t="str">
        <f t="shared" si="22"/>
        <v>-</v>
      </c>
      <c r="AA36" s="66" t="str">
        <f>IF(AA$7="","",IF(INDEX('Rooms Walls and Glass'!$D$35:$AB$42, MATCH($D36,'Rooms Walls and Glass'!$A$35:$A$42,0), MATCH('Unit 3 a'!AA$7,'Rooms Walls and Glass'!$D$1:$AB$1,0))=0,"",INDEX('Rooms Walls and Glass'!$D$35:$AB$42, MATCH($D36,'Rooms Walls and Glass'!$A$35:$A$42,0), MATCH('Unit 3 a'!AA$7,'Rooms Walls and Glass'!$D$1:$AB$1,0))))</f>
        <v/>
      </c>
      <c r="AB36" s="70" t="str">
        <f t="shared" si="23"/>
        <v>-</v>
      </c>
      <c r="AC36" s="66" t="str">
        <f>IF(AC$7="","",IF(INDEX('Rooms Walls and Glass'!$D$35:$AB$42, MATCH($D36,'Rooms Walls and Glass'!$A$35:$A$42,0), MATCH('Unit 3 a'!AC$7,'Rooms Walls and Glass'!$D$1:$AB$1,0))=0,"",INDEX('Rooms Walls and Glass'!$D$35:$AB$42, MATCH($D36,'Rooms Walls and Glass'!$A$35:$A$42,0), MATCH('Unit 3 a'!AC$7,'Rooms Walls and Glass'!$D$1:$AB$1,0))))</f>
        <v/>
      </c>
      <c r="AD36" s="70" t="str">
        <f t="shared" si="30"/>
        <v>-</v>
      </c>
      <c r="AE36" s="66" t="str">
        <f>IF(AE$7="","",IF(INDEX('Rooms Walls and Glass'!$D$35:$AB$42, MATCH($D36,'Rooms Walls and Glass'!$A$35:$A$42,0), MATCH('Unit 3 a'!AE$7,'Rooms Walls and Glass'!$D$1:$AB$1,0))=0,"",INDEX('Rooms Walls and Glass'!$D$35:$AB$42, MATCH($D36,'Rooms Walls and Glass'!$A$35:$A$42,0), MATCH('Unit 3 a'!AE$7,'Rooms Walls and Glass'!$D$1:$AB$1,0))))</f>
        <v/>
      </c>
      <c r="AF36" s="70" t="str">
        <f t="shared" si="31"/>
        <v>-</v>
      </c>
      <c r="AG36" s="66" t="str">
        <f>IF(AG$7="","",IF(INDEX('Rooms Walls and Glass'!$D$35:$AB$42, MATCH($D36,'Rooms Walls and Glass'!$A$35:$A$42,0), MATCH('Unit 3 a'!AG$7,'Rooms Walls and Glass'!$D$1:$AB$1,0))=0,"",INDEX('Rooms Walls and Glass'!$D$35:$AB$42, MATCH($D36,'Rooms Walls and Glass'!$A$35:$A$42,0), MATCH('Unit 3 a'!AG$7,'Rooms Walls and Glass'!$D$1:$AB$1,0))))</f>
        <v/>
      </c>
      <c r="AH36" s="70" t="str">
        <f t="shared" si="25"/>
        <v>-</v>
      </c>
      <c r="AI36" s="66" t="str">
        <f>IF(AI$7="","",IF(INDEX('Rooms Walls and Glass'!$D$35:$AB$42, MATCH($D36,'Rooms Walls and Glass'!$A$35:$A$42,0), MATCH('Unit 3 a'!AI$7,'Rooms Walls and Glass'!$D$1:$AB$1,0))=0,"",INDEX('Rooms Walls and Glass'!$D$35:$AB$42, MATCH($D36,'Rooms Walls and Glass'!$A$35:$A$42,0), MATCH('Unit 3 a'!AI$7,'Rooms Walls and Glass'!$D$1:$AB$1,0))))</f>
        <v/>
      </c>
      <c r="AJ36" s="71" t="str">
        <f t="shared" si="26"/>
        <v>-</v>
      </c>
      <c r="AK36" s="66" t="str">
        <f>IF(AK$7="","",IF(INDEX('Rooms Walls and Glass'!$D$35:$AB$42, MATCH($D36,'Rooms Walls and Glass'!$A$35:$A$42,0), MATCH('Unit 3 a'!AK$7,'Rooms Walls and Glass'!$D$1:$AB$1,0))=0,"",INDEX('Rooms Walls and Glass'!$D$35:$AB$42, MATCH($D36,'Rooms Walls and Glass'!$A$35:$A$42,0), MATCH('Unit 3 a'!AK$7,'Rooms Walls and Glass'!$D$1:$AB$1,0))))</f>
        <v/>
      </c>
      <c r="AL36" s="70" t="str">
        <f t="shared" si="27"/>
        <v>-</v>
      </c>
      <c r="AM36" s="66" t="str">
        <f>IF(AM$7="","",IF(INDEX('Rooms Walls and Glass'!$D$35:$AB$42, MATCH($D36,'Rooms Walls and Glass'!$A$35:$A$42,0), MATCH('Unit 3 a'!AM$7,'Rooms Walls and Glass'!$D$1:$AB$1,0))=0,"",INDEX('Rooms Walls and Glass'!$D$35:$AB$42, MATCH($D36,'Rooms Walls and Glass'!$A$35:$A$42,0), MATCH('Unit 3 a'!AM$7,'Rooms Walls and Glass'!$D$1:$AB$1,0))))</f>
        <v/>
      </c>
      <c r="AN36" s="71" t="str">
        <f t="shared" si="28"/>
        <v>-</v>
      </c>
    </row>
    <row r="37" spans="2:40" ht="11.25" customHeight="1" thickBot="1" x14ac:dyDescent="0.2">
      <c r="B37" s="212" t="s">
        <v>80</v>
      </c>
      <c r="C37" s="12" t="s">
        <v>39</v>
      </c>
      <c r="D37" s="13" t="s">
        <v>45</v>
      </c>
      <c r="E37" s="13">
        <v>0</v>
      </c>
      <c r="F37" s="14">
        <f>INDEX(Summary!$F$19:$F$30,MATCH('Unit 3 a'!C37,Summary!$D$19:$D$30,0))</f>
        <v>6.7000000000000004E-2</v>
      </c>
      <c r="G37" s="14">
        <f t="shared" si="29"/>
        <v>0</v>
      </c>
      <c r="H37" s="13" t="s">
        <v>6</v>
      </c>
      <c r="I37" s="65">
        <f t="shared" si="13"/>
        <v>0</v>
      </c>
      <c r="J37" s="65">
        <f t="shared" si="14"/>
        <v>0</v>
      </c>
      <c r="K37" s="66" t="str">
        <f>IF(K$7="","",IF(INDEX('Rooms Walls and Glass'!$D$46:$AB$50, MATCH($D37,'Rooms Walls and Glass'!$A$46:$A$50,0), MATCH('Unit 3 a'!K$7,'Rooms Walls and Glass'!$D$1:$AB$1,0))=0,"",INDEX('Rooms Walls and Glass'!$D$46:$AB$50, MATCH($D37,'Rooms Walls and Glass'!$A$46:$A$50,0), MATCH('Unit 3 a'!K$7,'Rooms Walls and Glass'!$D$1:$AB$1,0))))</f>
        <v/>
      </c>
      <c r="L37" s="65" t="str">
        <f t="shared" si="15"/>
        <v>-</v>
      </c>
      <c r="M37" s="66" t="str">
        <f>IF(M$7="","",IF(INDEX('Rooms Walls and Glass'!$D$46:$AB$50, MATCH($D37,'Rooms Walls and Glass'!$A$46:$A$50,0), MATCH('Unit 3 a'!M$7,'Rooms Walls and Glass'!$D$1:$AB$1,0))=0,"",INDEX('Rooms Walls and Glass'!$D$46:$AB$50, MATCH($D37,'Rooms Walls and Glass'!$A$46:$A$50,0), MATCH('Unit 3 a'!M$7,'Rooms Walls and Glass'!$D$1:$AB$1,0))))</f>
        <v/>
      </c>
      <c r="N37" s="65" t="str">
        <f t="shared" si="16"/>
        <v>-</v>
      </c>
      <c r="O37" s="66" t="str">
        <f>IF(O$7="","",IF(INDEX('Rooms Walls and Glass'!$D$46:$AB$50, MATCH($D37,'Rooms Walls and Glass'!$A$46:$A$50,0), MATCH('Unit 3 a'!O$7,'Rooms Walls and Glass'!$D$1:$AB$1,0))=0,"",INDEX('Rooms Walls and Glass'!$D$46:$AB$50, MATCH($D37,'Rooms Walls and Glass'!$A$46:$A$50,0), MATCH('Unit 3 a'!O$7,'Rooms Walls and Glass'!$D$1:$AB$1,0))))</f>
        <v/>
      </c>
      <c r="P37" s="65" t="str">
        <f t="shared" si="17"/>
        <v>-</v>
      </c>
      <c r="Q37" s="66" t="str">
        <f>IF(Q$7="","",IF(INDEX('Rooms Walls and Glass'!$D$46:$AB$50, MATCH($D37,'Rooms Walls and Glass'!$A$46:$A$50,0), MATCH('Unit 3 a'!Q$7,'Rooms Walls and Glass'!$D$1:$AB$1,0))=0,"",INDEX('Rooms Walls and Glass'!$D$46:$AB$50, MATCH($D37,'Rooms Walls and Glass'!$A$46:$A$50,0), MATCH('Unit 3 a'!Q$7,'Rooms Walls and Glass'!$D$1:$AB$1,0))))</f>
        <v/>
      </c>
      <c r="R37" s="65" t="str">
        <f t="shared" si="18"/>
        <v>-</v>
      </c>
      <c r="S37" s="66" t="str">
        <f>IF(S$7="","",IF(INDEX('Rooms Walls and Glass'!$D$46:$AB$50, MATCH($D37,'Rooms Walls and Glass'!$A$46:$A$50,0), MATCH('Unit 3 a'!S$7,'Rooms Walls and Glass'!$D$1:$AB$1,0))=0,"",INDEX('Rooms Walls and Glass'!$D$46:$AB$50, MATCH($D37,'Rooms Walls and Glass'!$A$46:$A$50,0), MATCH('Unit 3 a'!S$7,'Rooms Walls and Glass'!$D$1:$AB$1,0))))</f>
        <v/>
      </c>
      <c r="T37" s="65" t="str">
        <f t="shared" si="19"/>
        <v>-</v>
      </c>
      <c r="U37" s="66" t="str">
        <f>IF(U$7="","",IF(INDEX('Rooms Walls and Glass'!$D$46:$AB$50, MATCH($D37,'Rooms Walls and Glass'!$A$46:$A$50,0), MATCH('Unit 3 a'!U$7,'Rooms Walls and Glass'!$D$1:$AB$1,0))=0,"",INDEX('Rooms Walls and Glass'!$D$46:$AB$50, MATCH($D37,'Rooms Walls and Glass'!$A$46:$A$50,0), MATCH('Unit 3 a'!U$7,'Rooms Walls and Glass'!$D$1:$AB$1,0))))</f>
        <v/>
      </c>
      <c r="V37" s="65" t="str">
        <f t="shared" si="20"/>
        <v>-</v>
      </c>
      <c r="W37" s="66" t="str">
        <f>IF(W$7="","",IF(INDEX('Rooms Walls and Glass'!$D$46:$AB$50, MATCH($D37,'Rooms Walls and Glass'!$A$46:$A$50,0), MATCH('Unit 3 a'!W$7,'Rooms Walls and Glass'!$D$1:$AB$1,0))=0,"",INDEX('Rooms Walls and Glass'!$D$46:$AB$50, MATCH($D37,'Rooms Walls and Glass'!$A$46:$A$50,0), MATCH('Unit 3 a'!W$7,'Rooms Walls and Glass'!$D$1:$AB$1,0))))</f>
        <v/>
      </c>
      <c r="X37" s="65" t="str">
        <f t="shared" si="21"/>
        <v>-</v>
      </c>
      <c r="Y37" s="66" t="str">
        <f>IF(Y$7="","",IF(INDEX('Rooms Walls and Glass'!$D$46:$AB$50, MATCH($D37,'Rooms Walls and Glass'!$A$46:$A$50,0), MATCH('Unit 3 a'!Y$7,'Rooms Walls and Glass'!$D$1:$AB$1,0))=0,"",INDEX('Rooms Walls and Glass'!$D$46:$AB$50, MATCH($D37,'Rooms Walls and Glass'!$A$46:$A$50,0), MATCH('Unit 3 a'!Y$7,'Rooms Walls and Glass'!$D$1:$AB$1,0))))</f>
        <v/>
      </c>
      <c r="Z37" s="65" t="str">
        <f t="shared" si="22"/>
        <v>-</v>
      </c>
      <c r="AA37" s="66" t="str">
        <f>IF(AA$7="","",IF(INDEX('Rooms Walls and Glass'!$D$46:$AB$50, MATCH($D37,'Rooms Walls and Glass'!$A$46:$A$50,0), MATCH('Unit 3 a'!AA$7,'Rooms Walls and Glass'!$D$1:$AB$1,0))=0,"",INDEX('Rooms Walls and Glass'!$D$46:$AB$50, MATCH($D37,'Rooms Walls and Glass'!$A$46:$A$50,0), MATCH('Unit 3 a'!AA$7,'Rooms Walls and Glass'!$D$1:$AB$1,0))))</f>
        <v/>
      </c>
      <c r="AB37" s="65" t="str">
        <f t="shared" si="23"/>
        <v>-</v>
      </c>
      <c r="AC37" s="66" t="str">
        <f>IF(AC$7="","",IF(INDEX('Rooms Walls and Glass'!$D$46:$AB$50, MATCH($D37,'Rooms Walls and Glass'!$A$46:$A$50,0), MATCH('Unit 3 a'!AC$7,'Rooms Walls and Glass'!$D$1:$AB$1,0))=0,"",INDEX('Rooms Walls and Glass'!$D$46:$AB$50, MATCH($D37,'Rooms Walls and Glass'!$A$46:$A$50,0), MATCH('Unit 3 a'!AC$7,'Rooms Walls and Glass'!$D$1:$AB$1,0))))</f>
        <v/>
      </c>
      <c r="AD37" s="65" t="str">
        <f t="shared" si="30"/>
        <v>-</v>
      </c>
      <c r="AE37" s="66" t="str">
        <f>IF(AE$7="","",IF(INDEX('Rooms Walls and Glass'!$D$46:$AB$50, MATCH($D37,'Rooms Walls and Glass'!$A$46:$A$50,0), MATCH('Unit 3 a'!AE$7,'Rooms Walls and Glass'!$D$1:$AB$1,0))=0,"",INDEX('Rooms Walls and Glass'!$D$46:$AB$50, MATCH($D37,'Rooms Walls and Glass'!$A$46:$A$50,0), MATCH('Unit 3 a'!AE$7,'Rooms Walls and Glass'!$D$1:$AB$1,0))))</f>
        <v/>
      </c>
      <c r="AF37" s="65" t="str">
        <f t="shared" si="31"/>
        <v>-</v>
      </c>
      <c r="AG37" s="66" t="str">
        <f>IF(AG$7="","",IF(INDEX('Rooms Walls and Glass'!$D$46:$AB$50, MATCH($D37,'Rooms Walls and Glass'!$A$46:$A$50,0), MATCH('Unit 3 a'!AG$7,'Rooms Walls and Glass'!$D$1:$AB$1,0))=0,"",INDEX('Rooms Walls and Glass'!$D$46:$AB$50, MATCH($D37,'Rooms Walls and Glass'!$A$46:$A$50,0), MATCH('Unit 3 a'!AG$7,'Rooms Walls and Glass'!$D$1:$AB$1,0))))</f>
        <v/>
      </c>
      <c r="AH37" s="65" t="str">
        <f t="shared" si="25"/>
        <v>-</v>
      </c>
      <c r="AI37" s="66" t="str">
        <f>IF(AI$7="","",IF(INDEX('Rooms Walls and Glass'!$D$46:$AB$50, MATCH($D37,'Rooms Walls and Glass'!$A$46:$A$50,0), MATCH('Unit 3 a'!AI$7,'Rooms Walls and Glass'!$D$1:$AB$1,0))=0,"",INDEX('Rooms Walls and Glass'!$D$46:$AB$50, MATCH($D37,'Rooms Walls and Glass'!$A$46:$A$50,0), MATCH('Unit 3 a'!AI$7,'Rooms Walls and Glass'!$D$1:$AB$1,0))))</f>
        <v/>
      </c>
      <c r="AJ37" s="67" t="str">
        <f t="shared" si="26"/>
        <v>-</v>
      </c>
      <c r="AK37" s="66" t="str">
        <f>IF(AK$7="","",IF(INDEX('Rooms Walls and Glass'!$D$46:$AB$50, MATCH($D37,'Rooms Walls and Glass'!$A$46:$A$50,0), MATCH('Unit 3 a'!AK$7,'Rooms Walls and Glass'!$D$1:$AB$1,0))=0,"",INDEX('Rooms Walls and Glass'!$D$46:$AB$50, MATCH($D37,'Rooms Walls and Glass'!$A$46:$A$50,0), MATCH('Unit 3 a'!AK$7,'Rooms Walls and Glass'!$D$1:$AB$1,0))))</f>
        <v/>
      </c>
      <c r="AL37" s="65" t="str">
        <f t="shared" si="27"/>
        <v>-</v>
      </c>
      <c r="AM37" s="66" t="str">
        <f>IF(AM$7="","",IF(INDEX('Rooms Walls and Glass'!$D$46:$AB$50, MATCH($D37,'Rooms Walls and Glass'!$A$46:$A$50,0), MATCH('Unit 3 a'!AM$7,'Rooms Walls and Glass'!$D$1:$AB$1,0))=0,"",INDEX('Rooms Walls and Glass'!$D$46:$AB$50, MATCH($D37,'Rooms Walls and Glass'!$A$46:$A$50,0), MATCH('Unit 3 a'!AM$7,'Rooms Walls and Glass'!$D$1:$AB$1,0))))</f>
        <v/>
      </c>
      <c r="AN37" s="67" t="str">
        <f t="shared" si="28"/>
        <v>-</v>
      </c>
    </row>
    <row r="38" spans="2:40" ht="11.25" customHeight="1" thickBot="1" x14ac:dyDescent="0.2">
      <c r="B38" s="214"/>
      <c r="C38" s="15" t="s">
        <v>38</v>
      </c>
      <c r="D38" s="16" t="s">
        <v>46</v>
      </c>
      <c r="E38" s="16">
        <v>10</v>
      </c>
      <c r="F38" s="14">
        <f>INDEX(Summary!$F$19:$F$30,MATCH('Unit 3 a'!C38,Summary!$D$19:$D$30,0))</f>
        <v>7.6999999999999999E-2</v>
      </c>
      <c r="G38" s="14">
        <f t="shared" si="29"/>
        <v>0.77</v>
      </c>
      <c r="H38" s="16" t="s">
        <v>6</v>
      </c>
      <c r="I38" s="65">
        <f t="shared" si="13"/>
        <v>0</v>
      </c>
      <c r="J38" s="68">
        <f t="shared" si="14"/>
        <v>0</v>
      </c>
      <c r="K38" s="66" t="str">
        <f>IF(K$7="","",IF(INDEX('Rooms Walls and Glass'!$D$46:$AB$50, MATCH($D38,'Rooms Walls and Glass'!$A$46:$A$50,0), MATCH('Unit 3 a'!K$7,'Rooms Walls and Glass'!$D$1:$AB$1,0))=0,"",INDEX('Rooms Walls and Glass'!$D$46:$AB$50, MATCH($D38,'Rooms Walls and Glass'!$A$46:$A$50,0), MATCH('Unit 3 a'!K$7,'Rooms Walls and Glass'!$D$1:$AB$1,0))))</f>
        <v/>
      </c>
      <c r="L38" s="68" t="str">
        <f t="shared" si="15"/>
        <v>-</v>
      </c>
      <c r="M38" s="66" t="str">
        <f>IF(M$7="","",IF(INDEX('Rooms Walls and Glass'!$D$46:$AB$50, MATCH($D38,'Rooms Walls and Glass'!$A$46:$A$50,0), MATCH('Unit 3 a'!M$7,'Rooms Walls and Glass'!$D$1:$AB$1,0))=0,"",INDEX('Rooms Walls and Glass'!$D$46:$AB$50, MATCH($D38,'Rooms Walls and Glass'!$A$46:$A$50,0), MATCH('Unit 3 a'!M$7,'Rooms Walls and Glass'!$D$1:$AB$1,0))))</f>
        <v/>
      </c>
      <c r="N38" s="68" t="str">
        <f t="shared" si="16"/>
        <v>-</v>
      </c>
      <c r="O38" s="66" t="str">
        <f>IF(O$7="","",IF(INDEX('Rooms Walls and Glass'!$D$46:$AB$50, MATCH($D38,'Rooms Walls and Glass'!$A$46:$A$50,0), MATCH('Unit 3 a'!O$7,'Rooms Walls and Glass'!$D$1:$AB$1,0))=0,"",INDEX('Rooms Walls and Glass'!$D$46:$AB$50, MATCH($D38,'Rooms Walls and Glass'!$A$46:$A$50,0), MATCH('Unit 3 a'!O$7,'Rooms Walls and Glass'!$D$1:$AB$1,0))))</f>
        <v/>
      </c>
      <c r="P38" s="68" t="str">
        <f t="shared" si="17"/>
        <v>-</v>
      </c>
      <c r="Q38" s="66" t="str">
        <f>IF(Q$7="","",IF(INDEX('Rooms Walls and Glass'!$D$46:$AB$50, MATCH($D38,'Rooms Walls and Glass'!$A$46:$A$50,0), MATCH('Unit 3 a'!Q$7,'Rooms Walls and Glass'!$D$1:$AB$1,0))=0,"",INDEX('Rooms Walls and Glass'!$D$46:$AB$50, MATCH($D38,'Rooms Walls and Glass'!$A$46:$A$50,0), MATCH('Unit 3 a'!Q$7,'Rooms Walls and Glass'!$D$1:$AB$1,0))))</f>
        <v/>
      </c>
      <c r="R38" s="68" t="str">
        <f t="shared" si="18"/>
        <v>-</v>
      </c>
      <c r="S38" s="66" t="str">
        <f>IF(S$7="","",IF(INDEX('Rooms Walls and Glass'!$D$46:$AB$50, MATCH($D38,'Rooms Walls and Glass'!$A$46:$A$50,0), MATCH('Unit 3 a'!S$7,'Rooms Walls and Glass'!$D$1:$AB$1,0))=0,"",INDEX('Rooms Walls and Glass'!$D$46:$AB$50, MATCH($D38,'Rooms Walls and Glass'!$A$46:$A$50,0), MATCH('Unit 3 a'!S$7,'Rooms Walls and Glass'!$D$1:$AB$1,0))))</f>
        <v/>
      </c>
      <c r="T38" s="68" t="str">
        <f t="shared" si="19"/>
        <v>-</v>
      </c>
      <c r="U38" s="66" t="str">
        <f>IF(U$7="","",IF(INDEX('Rooms Walls and Glass'!$D$46:$AB$50, MATCH($D38,'Rooms Walls and Glass'!$A$46:$A$50,0), MATCH('Unit 3 a'!U$7,'Rooms Walls and Glass'!$D$1:$AB$1,0))=0,"",INDEX('Rooms Walls and Glass'!$D$46:$AB$50, MATCH($D38,'Rooms Walls and Glass'!$A$46:$A$50,0), MATCH('Unit 3 a'!U$7,'Rooms Walls and Glass'!$D$1:$AB$1,0))))</f>
        <v/>
      </c>
      <c r="V38" s="68" t="str">
        <f t="shared" si="20"/>
        <v>-</v>
      </c>
      <c r="W38" s="66" t="str">
        <f>IF(W$7="","",IF(INDEX('Rooms Walls and Glass'!$D$46:$AB$50, MATCH($D38,'Rooms Walls and Glass'!$A$46:$A$50,0), MATCH('Unit 3 a'!W$7,'Rooms Walls and Glass'!$D$1:$AB$1,0))=0,"",INDEX('Rooms Walls and Glass'!$D$46:$AB$50, MATCH($D38,'Rooms Walls and Glass'!$A$46:$A$50,0), MATCH('Unit 3 a'!W$7,'Rooms Walls and Glass'!$D$1:$AB$1,0))))</f>
        <v/>
      </c>
      <c r="X38" s="68" t="str">
        <f t="shared" si="21"/>
        <v>-</v>
      </c>
      <c r="Y38" s="66" t="str">
        <f>IF(Y$7="","",IF(INDEX('Rooms Walls and Glass'!$D$46:$AB$50, MATCH($D38,'Rooms Walls and Glass'!$A$46:$A$50,0), MATCH('Unit 3 a'!Y$7,'Rooms Walls and Glass'!$D$1:$AB$1,0))=0,"",INDEX('Rooms Walls and Glass'!$D$46:$AB$50, MATCH($D38,'Rooms Walls and Glass'!$A$46:$A$50,0), MATCH('Unit 3 a'!Y$7,'Rooms Walls and Glass'!$D$1:$AB$1,0))))</f>
        <v/>
      </c>
      <c r="Z38" s="68" t="str">
        <f t="shared" si="22"/>
        <v>-</v>
      </c>
      <c r="AA38" s="66" t="str">
        <f>IF(AA$7="","",IF(INDEX('Rooms Walls and Glass'!$D$46:$AB$50, MATCH($D38,'Rooms Walls and Glass'!$A$46:$A$50,0), MATCH('Unit 3 a'!AA$7,'Rooms Walls and Glass'!$D$1:$AB$1,0))=0,"",INDEX('Rooms Walls and Glass'!$D$46:$AB$50, MATCH($D38,'Rooms Walls and Glass'!$A$46:$A$50,0), MATCH('Unit 3 a'!AA$7,'Rooms Walls and Glass'!$D$1:$AB$1,0))))</f>
        <v/>
      </c>
      <c r="AB38" s="68" t="str">
        <f t="shared" si="23"/>
        <v>-</v>
      </c>
      <c r="AC38" s="66" t="str">
        <f>IF(AC$7="","",IF(INDEX('Rooms Walls and Glass'!$D$46:$AB$50, MATCH($D38,'Rooms Walls and Glass'!$A$46:$A$50,0), MATCH('Unit 3 a'!AC$7,'Rooms Walls and Glass'!$D$1:$AB$1,0))=0,"",INDEX('Rooms Walls and Glass'!$D$46:$AB$50, MATCH($D38,'Rooms Walls and Glass'!$A$46:$A$50,0), MATCH('Unit 3 a'!AC$7,'Rooms Walls and Glass'!$D$1:$AB$1,0))))</f>
        <v/>
      </c>
      <c r="AD38" s="68" t="str">
        <f t="shared" si="30"/>
        <v>-</v>
      </c>
      <c r="AE38" s="66" t="str">
        <f>IF(AE$7="","",IF(INDEX('Rooms Walls and Glass'!$D$46:$AB$50, MATCH($D38,'Rooms Walls and Glass'!$A$46:$A$50,0), MATCH('Unit 3 a'!AE$7,'Rooms Walls and Glass'!$D$1:$AB$1,0))=0,"",INDEX('Rooms Walls and Glass'!$D$46:$AB$50, MATCH($D38,'Rooms Walls and Glass'!$A$46:$A$50,0), MATCH('Unit 3 a'!AE$7,'Rooms Walls and Glass'!$D$1:$AB$1,0))))</f>
        <v/>
      </c>
      <c r="AF38" s="68" t="str">
        <f t="shared" si="31"/>
        <v>-</v>
      </c>
      <c r="AG38" s="66" t="str">
        <f>IF(AG$7="","",IF(INDEX('Rooms Walls and Glass'!$D$46:$AB$50, MATCH($D38,'Rooms Walls and Glass'!$A$46:$A$50,0), MATCH('Unit 3 a'!AG$7,'Rooms Walls and Glass'!$D$1:$AB$1,0))=0,"",INDEX('Rooms Walls and Glass'!$D$46:$AB$50, MATCH($D38,'Rooms Walls and Glass'!$A$46:$A$50,0), MATCH('Unit 3 a'!AG$7,'Rooms Walls and Glass'!$D$1:$AB$1,0))))</f>
        <v/>
      </c>
      <c r="AH38" s="68" t="str">
        <f t="shared" si="25"/>
        <v>-</v>
      </c>
      <c r="AI38" s="66" t="str">
        <f>IF(AI$7="","",IF(INDEX('Rooms Walls and Glass'!$D$46:$AB$50, MATCH($D38,'Rooms Walls and Glass'!$A$46:$A$50,0), MATCH('Unit 3 a'!AI$7,'Rooms Walls and Glass'!$D$1:$AB$1,0))=0,"",INDEX('Rooms Walls and Glass'!$D$46:$AB$50, MATCH($D38,'Rooms Walls and Glass'!$A$46:$A$50,0), MATCH('Unit 3 a'!AI$7,'Rooms Walls and Glass'!$D$1:$AB$1,0))))</f>
        <v/>
      </c>
      <c r="AJ38" s="69" t="str">
        <f t="shared" si="26"/>
        <v>-</v>
      </c>
      <c r="AK38" s="66" t="str">
        <f>IF(AK$7="","",IF(INDEX('Rooms Walls and Glass'!$D$46:$AB$50, MATCH($D38,'Rooms Walls and Glass'!$A$46:$A$50,0), MATCH('Unit 3 a'!AK$7,'Rooms Walls and Glass'!$D$1:$AB$1,0))=0,"",INDEX('Rooms Walls and Glass'!$D$46:$AB$50, MATCH($D38,'Rooms Walls and Glass'!$A$46:$A$50,0), MATCH('Unit 3 a'!AK$7,'Rooms Walls and Glass'!$D$1:$AB$1,0))))</f>
        <v/>
      </c>
      <c r="AL38" s="68" t="str">
        <f t="shared" si="27"/>
        <v>-</v>
      </c>
      <c r="AM38" s="66" t="str">
        <f>IF(AM$7="","",IF(INDEX('Rooms Walls and Glass'!$D$46:$AB$50, MATCH($D38,'Rooms Walls and Glass'!$A$46:$A$50,0), MATCH('Unit 3 a'!AM$7,'Rooms Walls and Glass'!$D$1:$AB$1,0))=0,"",INDEX('Rooms Walls and Glass'!$D$46:$AB$50, MATCH($D38,'Rooms Walls and Glass'!$A$46:$A$50,0), MATCH('Unit 3 a'!AM$7,'Rooms Walls and Glass'!$D$1:$AB$1,0))))</f>
        <v/>
      </c>
      <c r="AN38" s="69" t="str">
        <f t="shared" si="28"/>
        <v>-</v>
      </c>
    </row>
    <row r="39" spans="2:40" ht="11.25" customHeight="1" thickBot="1" x14ac:dyDescent="0.2">
      <c r="B39" s="214"/>
      <c r="C39" s="15" t="s">
        <v>38</v>
      </c>
      <c r="D39" s="16" t="s">
        <v>36</v>
      </c>
      <c r="E39" s="16">
        <v>30</v>
      </c>
      <c r="F39" s="14">
        <f>INDEX(Summary!$F$19:$F$30,MATCH('Unit 3 a'!C39,Summary!$D$19:$D$30,0))</f>
        <v>7.6999999999999999E-2</v>
      </c>
      <c r="G39" s="14">
        <f t="shared" si="29"/>
        <v>2.31</v>
      </c>
      <c r="H39" s="19" t="s">
        <v>6</v>
      </c>
      <c r="I39" s="65">
        <f t="shared" si="13"/>
        <v>0</v>
      </c>
      <c r="J39" s="68">
        <f t="shared" si="14"/>
        <v>0</v>
      </c>
      <c r="K39" s="66" t="str">
        <f>IF(K$7="","",IF(INDEX('Rooms Walls and Glass'!$D$46:$AB$50, MATCH($D39,'Rooms Walls and Glass'!$A$46:$A$50,0), MATCH('Unit 3 a'!K$7,'Rooms Walls and Glass'!$D$1:$AB$1,0))=0,"",INDEX('Rooms Walls and Glass'!$D$46:$AB$50, MATCH($D39,'Rooms Walls and Glass'!$A$46:$A$50,0), MATCH('Unit 3 a'!K$7,'Rooms Walls and Glass'!$D$1:$AB$1,0))))</f>
        <v/>
      </c>
      <c r="L39" s="68" t="str">
        <f t="shared" si="15"/>
        <v>-</v>
      </c>
      <c r="M39" s="66" t="str">
        <f>IF(M$7="","",IF(INDEX('Rooms Walls and Glass'!$D$46:$AB$50, MATCH($D39,'Rooms Walls and Glass'!$A$46:$A$50,0), MATCH('Unit 3 a'!M$7,'Rooms Walls and Glass'!$D$1:$AB$1,0))=0,"",INDEX('Rooms Walls and Glass'!$D$46:$AB$50, MATCH($D39,'Rooms Walls and Glass'!$A$46:$A$50,0), MATCH('Unit 3 a'!M$7,'Rooms Walls and Glass'!$D$1:$AB$1,0))))</f>
        <v/>
      </c>
      <c r="N39" s="68" t="str">
        <f t="shared" si="16"/>
        <v>-</v>
      </c>
      <c r="O39" s="66" t="str">
        <f>IF(O$7="","",IF(INDEX('Rooms Walls and Glass'!$D$46:$AB$50, MATCH($D39,'Rooms Walls and Glass'!$A$46:$A$50,0), MATCH('Unit 3 a'!O$7,'Rooms Walls and Glass'!$D$1:$AB$1,0))=0,"",INDEX('Rooms Walls and Glass'!$D$46:$AB$50, MATCH($D39,'Rooms Walls and Glass'!$A$46:$A$50,0), MATCH('Unit 3 a'!O$7,'Rooms Walls and Glass'!$D$1:$AB$1,0))))</f>
        <v/>
      </c>
      <c r="P39" s="68" t="str">
        <f t="shared" si="17"/>
        <v>-</v>
      </c>
      <c r="Q39" s="66" t="str">
        <f>IF(Q$7="","",IF(INDEX('Rooms Walls and Glass'!$D$46:$AB$50, MATCH($D39,'Rooms Walls and Glass'!$A$46:$A$50,0), MATCH('Unit 3 a'!Q$7,'Rooms Walls and Glass'!$D$1:$AB$1,0))=0,"",INDEX('Rooms Walls and Glass'!$D$46:$AB$50, MATCH($D39,'Rooms Walls and Glass'!$A$46:$A$50,0), MATCH('Unit 3 a'!Q$7,'Rooms Walls and Glass'!$D$1:$AB$1,0))))</f>
        <v/>
      </c>
      <c r="R39" s="68" t="str">
        <f t="shared" si="18"/>
        <v>-</v>
      </c>
      <c r="S39" s="66" t="str">
        <f>IF(S$7="","",IF(INDEX('Rooms Walls and Glass'!$D$46:$AB$50, MATCH($D39,'Rooms Walls and Glass'!$A$46:$A$50,0), MATCH('Unit 3 a'!S$7,'Rooms Walls and Glass'!$D$1:$AB$1,0))=0,"",INDEX('Rooms Walls and Glass'!$D$46:$AB$50, MATCH($D39,'Rooms Walls and Glass'!$A$46:$A$50,0), MATCH('Unit 3 a'!S$7,'Rooms Walls and Glass'!$D$1:$AB$1,0))))</f>
        <v/>
      </c>
      <c r="T39" s="68" t="str">
        <f t="shared" si="19"/>
        <v>-</v>
      </c>
      <c r="U39" s="66" t="str">
        <f>IF(U$7="","",IF(INDEX('Rooms Walls and Glass'!$D$46:$AB$50, MATCH($D39,'Rooms Walls and Glass'!$A$46:$A$50,0), MATCH('Unit 3 a'!U$7,'Rooms Walls and Glass'!$D$1:$AB$1,0))=0,"",INDEX('Rooms Walls and Glass'!$D$46:$AB$50, MATCH($D39,'Rooms Walls and Glass'!$A$46:$A$50,0), MATCH('Unit 3 a'!U$7,'Rooms Walls and Glass'!$D$1:$AB$1,0))))</f>
        <v/>
      </c>
      <c r="V39" s="68" t="str">
        <f t="shared" si="20"/>
        <v>-</v>
      </c>
      <c r="W39" s="66" t="str">
        <f>IF(W$7="","",IF(INDEX('Rooms Walls and Glass'!$D$46:$AB$50, MATCH($D39,'Rooms Walls and Glass'!$A$46:$A$50,0), MATCH('Unit 3 a'!W$7,'Rooms Walls and Glass'!$D$1:$AB$1,0))=0,"",INDEX('Rooms Walls and Glass'!$D$46:$AB$50, MATCH($D39,'Rooms Walls and Glass'!$A$46:$A$50,0), MATCH('Unit 3 a'!W$7,'Rooms Walls and Glass'!$D$1:$AB$1,0))))</f>
        <v/>
      </c>
      <c r="X39" s="68" t="str">
        <f t="shared" si="21"/>
        <v>-</v>
      </c>
      <c r="Y39" s="66" t="str">
        <f>IF(Y$7="","",IF(INDEX('Rooms Walls and Glass'!$D$46:$AB$50, MATCH($D39,'Rooms Walls and Glass'!$A$46:$A$50,0), MATCH('Unit 3 a'!Y$7,'Rooms Walls and Glass'!$D$1:$AB$1,0))=0,"",INDEX('Rooms Walls and Glass'!$D$46:$AB$50, MATCH($D39,'Rooms Walls and Glass'!$A$46:$A$50,0), MATCH('Unit 3 a'!Y$7,'Rooms Walls and Glass'!$D$1:$AB$1,0))))</f>
        <v/>
      </c>
      <c r="Z39" s="68" t="str">
        <f t="shared" si="22"/>
        <v>-</v>
      </c>
      <c r="AA39" s="66" t="str">
        <f>IF(AA$7="","",IF(INDEX('Rooms Walls and Glass'!$D$46:$AB$50, MATCH($D39,'Rooms Walls and Glass'!$A$46:$A$50,0), MATCH('Unit 3 a'!AA$7,'Rooms Walls and Glass'!$D$1:$AB$1,0))=0,"",INDEX('Rooms Walls and Glass'!$D$46:$AB$50, MATCH($D39,'Rooms Walls and Glass'!$A$46:$A$50,0), MATCH('Unit 3 a'!AA$7,'Rooms Walls and Glass'!$D$1:$AB$1,0))))</f>
        <v/>
      </c>
      <c r="AB39" s="68" t="str">
        <f t="shared" si="23"/>
        <v>-</v>
      </c>
      <c r="AC39" s="66" t="str">
        <f>IF(AC$7="","",IF(INDEX('Rooms Walls and Glass'!$D$46:$AB$50, MATCH($D39,'Rooms Walls and Glass'!$A$46:$A$50,0), MATCH('Unit 3 a'!AC$7,'Rooms Walls and Glass'!$D$1:$AB$1,0))=0,"",INDEX('Rooms Walls and Glass'!$D$46:$AB$50, MATCH($D39,'Rooms Walls and Glass'!$A$46:$A$50,0), MATCH('Unit 3 a'!AC$7,'Rooms Walls and Glass'!$D$1:$AB$1,0))))</f>
        <v/>
      </c>
      <c r="AD39" s="68" t="str">
        <f t="shared" si="30"/>
        <v>-</v>
      </c>
      <c r="AE39" s="66" t="str">
        <f>IF(AE$7="","",IF(INDEX('Rooms Walls and Glass'!$D$46:$AB$50, MATCH($D39,'Rooms Walls and Glass'!$A$46:$A$50,0), MATCH('Unit 3 a'!AE$7,'Rooms Walls and Glass'!$D$1:$AB$1,0))=0,"",INDEX('Rooms Walls and Glass'!$D$46:$AB$50, MATCH($D39,'Rooms Walls and Glass'!$A$46:$A$50,0), MATCH('Unit 3 a'!AE$7,'Rooms Walls and Glass'!$D$1:$AB$1,0))))</f>
        <v/>
      </c>
      <c r="AF39" s="68" t="str">
        <f t="shared" si="31"/>
        <v>-</v>
      </c>
      <c r="AG39" s="66" t="str">
        <f>IF(AG$7="","",IF(INDEX('Rooms Walls and Glass'!$D$46:$AB$50, MATCH($D39,'Rooms Walls and Glass'!$A$46:$A$50,0), MATCH('Unit 3 a'!AG$7,'Rooms Walls and Glass'!$D$1:$AB$1,0))=0,"",INDEX('Rooms Walls and Glass'!$D$46:$AB$50, MATCH($D39,'Rooms Walls and Glass'!$A$46:$A$50,0), MATCH('Unit 3 a'!AG$7,'Rooms Walls and Glass'!$D$1:$AB$1,0))))</f>
        <v/>
      </c>
      <c r="AH39" s="68" t="str">
        <f t="shared" si="25"/>
        <v>-</v>
      </c>
      <c r="AI39" s="66" t="str">
        <f>IF(AI$7="","",IF(INDEX('Rooms Walls and Glass'!$D$46:$AB$50, MATCH($D39,'Rooms Walls and Glass'!$A$46:$A$50,0), MATCH('Unit 3 a'!AI$7,'Rooms Walls and Glass'!$D$1:$AB$1,0))=0,"",INDEX('Rooms Walls and Glass'!$D$46:$AB$50, MATCH($D39,'Rooms Walls and Glass'!$A$46:$A$50,0), MATCH('Unit 3 a'!AI$7,'Rooms Walls and Glass'!$D$1:$AB$1,0))))</f>
        <v/>
      </c>
      <c r="AJ39" s="69" t="str">
        <f t="shared" si="26"/>
        <v>-</v>
      </c>
      <c r="AK39" s="66" t="str">
        <f>IF(AK$7="","",IF(INDEX('Rooms Walls and Glass'!$D$46:$AB$50, MATCH($D39,'Rooms Walls and Glass'!$A$46:$A$50,0), MATCH('Unit 3 a'!AK$7,'Rooms Walls and Glass'!$D$1:$AB$1,0))=0,"",INDEX('Rooms Walls and Glass'!$D$46:$AB$50, MATCH($D39,'Rooms Walls and Glass'!$A$46:$A$50,0), MATCH('Unit 3 a'!AK$7,'Rooms Walls and Glass'!$D$1:$AB$1,0))))</f>
        <v/>
      </c>
      <c r="AL39" s="68" t="str">
        <f t="shared" si="27"/>
        <v>-</v>
      </c>
      <c r="AM39" s="66" t="str">
        <f>IF(AM$7="","",IF(INDEX('Rooms Walls and Glass'!$D$46:$AB$50, MATCH($D39,'Rooms Walls and Glass'!$A$46:$A$50,0), MATCH('Unit 3 a'!AM$7,'Rooms Walls and Glass'!$D$1:$AB$1,0))=0,"",INDEX('Rooms Walls and Glass'!$D$46:$AB$50, MATCH($D39,'Rooms Walls and Glass'!$A$46:$A$50,0), MATCH('Unit 3 a'!AM$7,'Rooms Walls and Glass'!$D$1:$AB$1,0))))</f>
        <v/>
      </c>
      <c r="AN39" s="69" t="str">
        <f t="shared" si="28"/>
        <v>-</v>
      </c>
    </row>
    <row r="40" spans="2:40" ht="11.25" customHeight="1" thickBot="1" x14ac:dyDescent="0.2">
      <c r="B40" s="214"/>
      <c r="C40" s="15" t="s">
        <v>40</v>
      </c>
      <c r="D40" s="16" t="s">
        <v>47</v>
      </c>
      <c r="E40" s="16">
        <f>IF(Summary!P26="R-21 Spray Foam",15,55)</f>
        <v>55</v>
      </c>
      <c r="F40" s="14">
        <f>INDEX(Summary!$F$19:$F$30,MATCH('Unit 3 a'!C40,Summary!$D$19:$D$30,0))</f>
        <v>5.2999999999999999E-2</v>
      </c>
      <c r="G40" s="14">
        <f t="shared" si="29"/>
        <v>2.915</v>
      </c>
      <c r="H40" s="16" t="s">
        <v>6</v>
      </c>
      <c r="I40" s="65">
        <f t="shared" si="13"/>
        <v>0</v>
      </c>
      <c r="J40" s="68">
        <f t="shared" si="14"/>
        <v>0</v>
      </c>
      <c r="K40" s="66" t="str">
        <f>IF(K$7="","",IF(INDEX('Rooms Walls and Glass'!$D$46:$AB$50, MATCH($D40,'Rooms Walls and Glass'!$A$46:$A$50,0), MATCH('Unit 3 a'!K$7,'Rooms Walls and Glass'!$D$1:$AB$1,0))=0,"",INDEX('Rooms Walls and Glass'!$D$46:$AB$50, MATCH($D40,'Rooms Walls and Glass'!$A$46:$A$50,0), MATCH('Unit 3 a'!K$7,'Rooms Walls and Glass'!$D$1:$AB$1,0))))</f>
        <v/>
      </c>
      <c r="L40" s="68" t="str">
        <f t="shared" si="15"/>
        <v>-</v>
      </c>
      <c r="M40" s="66" t="str">
        <f>IF(M$7="","",IF(INDEX('Rooms Walls and Glass'!$D$46:$AB$50, MATCH($D40,'Rooms Walls and Glass'!$A$46:$A$50,0), MATCH('Unit 3 a'!M$7,'Rooms Walls and Glass'!$D$1:$AB$1,0))=0,"",INDEX('Rooms Walls and Glass'!$D$46:$AB$50, MATCH($D40,'Rooms Walls and Glass'!$A$46:$A$50,0), MATCH('Unit 3 a'!M$7,'Rooms Walls and Glass'!$D$1:$AB$1,0))))</f>
        <v/>
      </c>
      <c r="N40" s="68" t="str">
        <f t="shared" si="16"/>
        <v>-</v>
      </c>
      <c r="O40" s="66" t="str">
        <f>IF(O$7="","",IF(INDEX('Rooms Walls and Glass'!$D$46:$AB$50, MATCH($D40,'Rooms Walls and Glass'!$A$46:$A$50,0), MATCH('Unit 3 a'!O$7,'Rooms Walls and Glass'!$D$1:$AB$1,0))=0,"",INDEX('Rooms Walls and Glass'!$D$46:$AB$50, MATCH($D40,'Rooms Walls and Glass'!$A$46:$A$50,0), MATCH('Unit 3 a'!O$7,'Rooms Walls and Glass'!$D$1:$AB$1,0))))</f>
        <v/>
      </c>
      <c r="P40" s="68" t="str">
        <f t="shared" si="17"/>
        <v>-</v>
      </c>
      <c r="Q40" s="66" t="str">
        <f>IF(Q$7="","",IF(INDEX('Rooms Walls and Glass'!$D$46:$AB$50, MATCH($D40,'Rooms Walls and Glass'!$A$46:$A$50,0), MATCH('Unit 3 a'!Q$7,'Rooms Walls and Glass'!$D$1:$AB$1,0))=0,"",INDEX('Rooms Walls and Glass'!$D$46:$AB$50, MATCH($D40,'Rooms Walls and Glass'!$A$46:$A$50,0), MATCH('Unit 3 a'!Q$7,'Rooms Walls and Glass'!$D$1:$AB$1,0))))</f>
        <v/>
      </c>
      <c r="R40" s="68" t="str">
        <f t="shared" si="18"/>
        <v>-</v>
      </c>
      <c r="S40" s="66" t="str">
        <f>IF(S$7="","",IF(INDEX('Rooms Walls and Glass'!$D$46:$AB$50, MATCH($D40,'Rooms Walls and Glass'!$A$46:$A$50,0), MATCH('Unit 3 a'!S$7,'Rooms Walls and Glass'!$D$1:$AB$1,0))=0,"",INDEX('Rooms Walls and Glass'!$D$46:$AB$50, MATCH($D40,'Rooms Walls and Glass'!$A$46:$A$50,0), MATCH('Unit 3 a'!S$7,'Rooms Walls and Glass'!$D$1:$AB$1,0))))</f>
        <v/>
      </c>
      <c r="T40" s="68" t="str">
        <f t="shared" si="19"/>
        <v>-</v>
      </c>
      <c r="U40" s="66" t="str">
        <f>IF(U$7="","",IF(INDEX('Rooms Walls and Glass'!$D$46:$AB$50, MATCH($D40,'Rooms Walls and Glass'!$A$46:$A$50,0), MATCH('Unit 3 a'!U$7,'Rooms Walls and Glass'!$D$1:$AB$1,0))=0,"",INDEX('Rooms Walls and Glass'!$D$46:$AB$50, MATCH($D40,'Rooms Walls and Glass'!$A$46:$A$50,0), MATCH('Unit 3 a'!U$7,'Rooms Walls and Glass'!$D$1:$AB$1,0))))</f>
        <v/>
      </c>
      <c r="V40" s="68" t="str">
        <f t="shared" si="20"/>
        <v>-</v>
      </c>
      <c r="W40" s="66" t="str">
        <f>IF(W$7="","",IF(INDEX('Rooms Walls and Glass'!$D$46:$AB$50, MATCH($D40,'Rooms Walls and Glass'!$A$46:$A$50,0), MATCH('Unit 3 a'!W$7,'Rooms Walls and Glass'!$D$1:$AB$1,0))=0,"",INDEX('Rooms Walls and Glass'!$D$46:$AB$50, MATCH($D40,'Rooms Walls and Glass'!$A$46:$A$50,0), MATCH('Unit 3 a'!W$7,'Rooms Walls and Glass'!$D$1:$AB$1,0))))</f>
        <v/>
      </c>
      <c r="X40" s="68" t="str">
        <f t="shared" si="21"/>
        <v>-</v>
      </c>
      <c r="Y40" s="66" t="str">
        <f>IF(Y$7="","",IF(INDEX('Rooms Walls and Glass'!$D$46:$AB$50, MATCH($D40,'Rooms Walls and Glass'!$A$46:$A$50,0), MATCH('Unit 3 a'!Y$7,'Rooms Walls and Glass'!$D$1:$AB$1,0))=0,"",INDEX('Rooms Walls and Glass'!$D$46:$AB$50, MATCH($D40,'Rooms Walls and Glass'!$A$46:$A$50,0), MATCH('Unit 3 a'!Y$7,'Rooms Walls and Glass'!$D$1:$AB$1,0))))</f>
        <v/>
      </c>
      <c r="Z40" s="68" t="str">
        <f t="shared" si="22"/>
        <v>-</v>
      </c>
      <c r="AA40" s="66" t="str">
        <f>IF(AA$7="","",IF(INDEX('Rooms Walls and Glass'!$D$46:$AB$50, MATCH($D40,'Rooms Walls and Glass'!$A$46:$A$50,0), MATCH('Unit 3 a'!AA$7,'Rooms Walls and Glass'!$D$1:$AB$1,0))=0,"",INDEX('Rooms Walls and Glass'!$D$46:$AB$50, MATCH($D40,'Rooms Walls and Glass'!$A$46:$A$50,0), MATCH('Unit 3 a'!AA$7,'Rooms Walls and Glass'!$D$1:$AB$1,0))))</f>
        <v/>
      </c>
      <c r="AB40" s="68" t="str">
        <f t="shared" si="23"/>
        <v>-</v>
      </c>
      <c r="AC40" s="66" t="str">
        <f>IF(AC$7="","",IF(INDEX('Rooms Walls and Glass'!$D$46:$AB$50, MATCH($D40,'Rooms Walls and Glass'!$A$46:$A$50,0), MATCH('Unit 3 a'!AC$7,'Rooms Walls and Glass'!$D$1:$AB$1,0))=0,"",INDEX('Rooms Walls and Glass'!$D$46:$AB$50, MATCH($D40,'Rooms Walls and Glass'!$A$46:$A$50,0), MATCH('Unit 3 a'!AC$7,'Rooms Walls and Glass'!$D$1:$AB$1,0))))</f>
        <v/>
      </c>
      <c r="AD40" s="68" t="str">
        <f t="shared" si="30"/>
        <v>-</v>
      </c>
      <c r="AE40" s="66" t="str">
        <f>IF(AE$7="","",IF(INDEX('Rooms Walls and Glass'!$D$46:$AB$50, MATCH($D40,'Rooms Walls and Glass'!$A$46:$A$50,0), MATCH('Unit 3 a'!AE$7,'Rooms Walls and Glass'!$D$1:$AB$1,0))=0,"",INDEX('Rooms Walls and Glass'!$D$46:$AB$50, MATCH($D40,'Rooms Walls and Glass'!$A$46:$A$50,0), MATCH('Unit 3 a'!AE$7,'Rooms Walls and Glass'!$D$1:$AB$1,0))))</f>
        <v/>
      </c>
      <c r="AF40" s="68" t="str">
        <f t="shared" si="31"/>
        <v>-</v>
      </c>
      <c r="AG40" s="66" t="str">
        <f>IF(AG$7="","",IF(INDEX('Rooms Walls and Glass'!$D$46:$AB$50, MATCH($D40,'Rooms Walls and Glass'!$A$46:$A$50,0), MATCH('Unit 3 a'!AG$7,'Rooms Walls and Glass'!$D$1:$AB$1,0))=0,"",INDEX('Rooms Walls and Glass'!$D$46:$AB$50, MATCH($D40,'Rooms Walls and Glass'!$A$46:$A$50,0), MATCH('Unit 3 a'!AG$7,'Rooms Walls and Glass'!$D$1:$AB$1,0))))</f>
        <v/>
      </c>
      <c r="AH40" s="68" t="str">
        <f t="shared" si="25"/>
        <v>-</v>
      </c>
      <c r="AI40" s="66" t="str">
        <f>IF(AI$7="","",IF(INDEX('Rooms Walls and Glass'!$D$46:$AB$50, MATCH($D40,'Rooms Walls and Glass'!$A$46:$A$50,0), MATCH('Unit 3 a'!AI$7,'Rooms Walls and Glass'!$D$1:$AB$1,0))=0,"",INDEX('Rooms Walls and Glass'!$D$46:$AB$50, MATCH($D40,'Rooms Walls and Glass'!$A$46:$A$50,0), MATCH('Unit 3 a'!AI$7,'Rooms Walls and Glass'!$D$1:$AB$1,0))))</f>
        <v/>
      </c>
      <c r="AJ40" s="69" t="str">
        <f t="shared" si="26"/>
        <v>-</v>
      </c>
      <c r="AK40" s="66" t="str">
        <f>IF(AK$7="","",IF(INDEX('Rooms Walls and Glass'!$D$46:$AB$50, MATCH($D40,'Rooms Walls and Glass'!$A$46:$A$50,0), MATCH('Unit 3 a'!AK$7,'Rooms Walls and Glass'!$D$1:$AB$1,0))=0,"",INDEX('Rooms Walls and Glass'!$D$46:$AB$50, MATCH($D40,'Rooms Walls and Glass'!$A$46:$A$50,0), MATCH('Unit 3 a'!AK$7,'Rooms Walls and Glass'!$D$1:$AB$1,0))))</f>
        <v/>
      </c>
      <c r="AL40" s="68" t="str">
        <f t="shared" si="27"/>
        <v>-</v>
      </c>
      <c r="AM40" s="66" t="str">
        <f>IF(AM$7="","",IF(INDEX('Rooms Walls and Glass'!$D$46:$AB$50, MATCH($D40,'Rooms Walls and Glass'!$A$46:$A$50,0), MATCH('Unit 3 a'!AM$7,'Rooms Walls and Glass'!$D$1:$AB$1,0))=0,"",INDEX('Rooms Walls and Glass'!$D$46:$AB$50, MATCH($D40,'Rooms Walls and Glass'!$A$46:$A$50,0), MATCH('Unit 3 a'!AM$7,'Rooms Walls and Glass'!$D$1:$AB$1,0))))</f>
        <v/>
      </c>
      <c r="AN40" s="69" t="str">
        <f t="shared" si="28"/>
        <v>-</v>
      </c>
    </row>
    <row r="41" spans="2:40" ht="11.25" customHeight="1" thickBot="1" x14ac:dyDescent="0.2">
      <c r="B41" s="213"/>
      <c r="C41" s="17" t="s">
        <v>40</v>
      </c>
      <c r="D41" s="18" t="s">
        <v>48</v>
      </c>
      <c r="E41" s="16">
        <f>IF(Summary!P27="R-21 Spray Foam",15,55)</f>
        <v>55</v>
      </c>
      <c r="F41" s="14">
        <f>INDEX(Summary!$F$19:$F$30,MATCH('Unit 3 a'!C41,Summary!$D$19:$D$30,0))</f>
        <v>5.2999999999999999E-2</v>
      </c>
      <c r="G41" s="14">
        <f t="shared" si="29"/>
        <v>2.915</v>
      </c>
      <c r="H41" s="18" t="s">
        <v>6</v>
      </c>
      <c r="I41" s="65">
        <f t="shared" si="13"/>
        <v>0</v>
      </c>
      <c r="J41" s="70">
        <f t="shared" si="14"/>
        <v>0</v>
      </c>
      <c r="K41" s="66" t="str">
        <f>IF(K$7="","",IF(INDEX('Rooms Walls and Glass'!$D$46:$AB$50, MATCH($D41,'Rooms Walls and Glass'!$A$46:$A$50,0), MATCH('Unit 3 a'!K$7,'Rooms Walls and Glass'!$D$1:$AB$1,0))=0,"",INDEX('Rooms Walls and Glass'!$D$46:$AB$50, MATCH($D41,'Rooms Walls and Glass'!$A$46:$A$50,0), MATCH('Unit 3 a'!K$7,'Rooms Walls and Glass'!$D$1:$AB$1,0))))</f>
        <v/>
      </c>
      <c r="L41" s="70" t="str">
        <f t="shared" si="15"/>
        <v>-</v>
      </c>
      <c r="M41" s="66" t="str">
        <f>IF(M$7="","",IF(INDEX('Rooms Walls and Glass'!$D$46:$AB$50, MATCH($D41,'Rooms Walls and Glass'!$A$46:$A$50,0), MATCH('Unit 3 a'!M$7,'Rooms Walls and Glass'!$D$1:$AB$1,0))=0,"",INDEX('Rooms Walls and Glass'!$D$46:$AB$50, MATCH($D41,'Rooms Walls and Glass'!$A$46:$A$50,0), MATCH('Unit 3 a'!M$7,'Rooms Walls and Glass'!$D$1:$AB$1,0))))</f>
        <v/>
      </c>
      <c r="N41" s="70" t="str">
        <f t="shared" si="16"/>
        <v>-</v>
      </c>
      <c r="O41" s="66" t="str">
        <f>IF(O$7="","",IF(INDEX('Rooms Walls and Glass'!$D$46:$AB$50, MATCH($D41,'Rooms Walls and Glass'!$A$46:$A$50,0), MATCH('Unit 3 a'!O$7,'Rooms Walls and Glass'!$D$1:$AB$1,0))=0,"",INDEX('Rooms Walls and Glass'!$D$46:$AB$50, MATCH($D41,'Rooms Walls and Glass'!$A$46:$A$50,0), MATCH('Unit 3 a'!O$7,'Rooms Walls and Glass'!$D$1:$AB$1,0))))</f>
        <v/>
      </c>
      <c r="P41" s="70" t="str">
        <f t="shared" si="17"/>
        <v>-</v>
      </c>
      <c r="Q41" s="66" t="str">
        <f>IF(Q$7="","",IF(INDEX('Rooms Walls and Glass'!$D$46:$AB$50, MATCH($D41,'Rooms Walls and Glass'!$A$46:$A$50,0), MATCH('Unit 3 a'!Q$7,'Rooms Walls and Glass'!$D$1:$AB$1,0))=0,"",INDEX('Rooms Walls and Glass'!$D$46:$AB$50, MATCH($D41,'Rooms Walls and Glass'!$A$46:$A$50,0), MATCH('Unit 3 a'!Q$7,'Rooms Walls and Glass'!$D$1:$AB$1,0))))</f>
        <v/>
      </c>
      <c r="R41" s="70" t="str">
        <f t="shared" si="18"/>
        <v>-</v>
      </c>
      <c r="S41" s="66" t="str">
        <f>IF(S$7="","",IF(INDEX('Rooms Walls and Glass'!$D$46:$AB$50, MATCH($D41,'Rooms Walls and Glass'!$A$46:$A$50,0), MATCH('Unit 3 a'!S$7,'Rooms Walls and Glass'!$D$1:$AB$1,0))=0,"",INDEX('Rooms Walls and Glass'!$D$46:$AB$50, MATCH($D41,'Rooms Walls and Glass'!$A$46:$A$50,0), MATCH('Unit 3 a'!S$7,'Rooms Walls and Glass'!$D$1:$AB$1,0))))</f>
        <v/>
      </c>
      <c r="T41" s="70" t="str">
        <f t="shared" si="19"/>
        <v>-</v>
      </c>
      <c r="U41" s="66" t="str">
        <f>IF(U$7="","",IF(INDEX('Rooms Walls and Glass'!$D$46:$AB$50, MATCH($D41,'Rooms Walls and Glass'!$A$46:$A$50,0), MATCH('Unit 3 a'!U$7,'Rooms Walls and Glass'!$D$1:$AB$1,0))=0,"",INDEX('Rooms Walls and Glass'!$D$46:$AB$50, MATCH($D41,'Rooms Walls and Glass'!$A$46:$A$50,0), MATCH('Unit 3 a'!U$7,'Rooms Walls and Glass'!$D$1:$AB$1,0))))</f>
        <v/>
      </c>
      <c r="V41" s="70" t="str">
        <f t="shared" si="20"/>
        <v>-</v>
      </c>
      <c r="W41" s="66" t="str">
        <f>IF(W$7="","",IF(INDEX('Rooms Walls and Glass'!$D$46:$AB$50, MATCH($D41,'Rooms Walls and Glass'!$A$46:$A$50,0), MATCH('Unit 3 a'!W$7,'Rooms Walls and Glass'!$D$1:$AB$1,0))=0,"",INDEX('Rooms Walls and Glass'!$D$46:$AB$50, MATCH($D41,'Rooms Walls and Glass'!$A$46:$A$50,0), MATCH('Unit 3 a'!W$7,'Rooms Walls and Glass'!$D$1:$AB$1,0))))</f>
        <v/>
      </c>
      <c r="X41" s="70" t="str">
        <f t="shared" si="21"/>
        <v>-</v>
      </c>
      <c r="Y41" s="66" t="str">
        <f>IF(Y$7="","",IF(INDEX('Rooms Walls and Glass'!$D$46:$AB$50, MATCH($D41,'Rooms Walls and Glass'!$A$46:$A$50,0), MATCH('Unit 3 a'!Y$7,'Rooms Walls and Glass'!$D$1:$AB$1,0))=0,"",INDEX('Rooms Walls and Glass'!$D$46:$AB$50, MATCH($D41,'Rooms Walls and Glass'!$A$46:$A$50,0), MATCH('Unit 3 a'!Y$7,'Rooms Walls and Glass'!$D$1:$AB$1,0))))</f>
        <v/>
      </c>
      <c r="Z41" s="70" t="str">
        <f t="shared" si="22"/>
        <v>-</v>
      </c>
      <c r="AA41" s="66" t="str">
        <f>IF(AA$7="","",IF(INDEX('Rooms Walls and Glass'!$D$46:$AB$50, MATCH($D41,'Rooms Walls and Glass'!$A$46:$A$50,0), MATCH('Unit 3 a'!AA$7,'Rooms Walls and Glass'!$D$1:$AB$1,0))=0,"",INDEX('Rooms Walls and Glass'!$D$46:$AB$50, MATCH($D41,'Rooms Walls and Glass'!$A$46:$A$50,0), MATCH('Unit 3 a'!AA$7,'Rooms Walls and Glass'!$D$1:$AB$1,0))))</f>
        <v/>
      </c>
      <c r="AB41" s="70" t="str">
        <f t="shared" si="23"/>
        <v>-</v>
      </c>
      <c r="AC41" s="66" t="str">
        <f>IF(AC$7="","",IF(INDEX('Rooms Walls and Glass'!$D$46:$AB$50, MATCH($D41,'Rooms Walls and Glass'!$A$46:$A$50,0), MATCH('Unit 3 a'!AC$7,'Rooms Walls and Glass'!$D$1:$AB$1,0))=0,"",INDEX('Rooms Walls and Glass'!$D$46:$AB$50, MATCH($D41,'Rooms Walls and Glass'!$A$46:$A$50,0), MATCH('Unit 3 a'!AC$7,'Rooms Walls and Glass'!$D$1:$AB$1,0))))</f>
        <v/>
      </c>
      <c r="AD41" s="70" t="str">
        <f t="shared" si="30"/>
        <v>-</v>
      </c>
      <c r="AE41" s="66" t="str">
        <f>IF(AE$7="","",IF(INDEX('Rooms Walls and Glass'!$D$46:$AB$50, MATCH($D41,'Rooms Walls and Glass'!$A$46:$A$50,0), MATCH('Unit 3 a'!AE$7,'Rooms Walls and Glass'!$D$1:$AB$1,0))=0,"",INDEX('Rooms Walls and Glass'!$D$46:$AB$50, MATCH($D41,'Rooms Walls and Glass'!$A$46:$A$50,0), MATCH('Unit 3 a'!AE$7,'Rooms Walls and Glass'!$D$1:$AB$1,0))))</f>
        <v/>
      </c>
      <c r="AF41" s="70" t="str">
        <f t="shared" si="31"/>
        <v>-</v>
      </c>
      <c r="AG41" s="66" t="str">
        <f>IF(AG$7="","",IF(INDEX('Rooms Walls and Glass'!$D$46:$AB$50, MATCH($D41,'Rooms Walls and Glass'!$A$46:$A$50,0), MATCH('Unit 3 a'!AG$7,'Rooms Walls and Glass'!$D$1:$AB$1,0))=0,"",INDEX('Rooms Walls and Glass'!$D$46:$AB$50, MATCH($D41,'Rooms Walls and Glass'!$A$46:$A$50,0), MATCH('Unit 3 a'!AG$7,'Rooms Walls and Glass'!$D$1:$AB$1,0))))</f>
        <v/>
      </c>
      <c r="AH41" s="70" t="str">
        <f t="shared" si="25"/>
        <v>-</v>
      </c>
      <c r="AI41" s="66" t="str">
        <f>IF(AI$7="","",IF(INDEX('Rooms Walls and Glass'!$D$46:$AB$50, MATCH($D41,'Rooms Walls and Glass'!$A$46:$A$50,0), MATCH('Unit 3 a'!AI$7,'Rooms Walls and Glass'!$D$1:$AB$1,0))=0,"",INDEX('Rooms Walls and Glass'!$D$46:$AB$50, MATCH($D41,'Rooms Walls and Glass'!$A$46:$A$50,0), MATCH('Unit 3 a'!AI$7,'Rooms Walls and Glass'!$D$1:$AB$1,0))))</f>
        <v/>
      </c>
      <c r="AJ41" s="71" t="str">
        <f t="shared" si="26"/>
        <v>-</v>
      </c>
      <c r="AK41" s="66" t="str">
        <f>IF(AK$7="","",IF(INDEX('Rooms Walls and Glass'!$D$46:$AB$50, MATCH($D41,'Rooms Walls and Glass'!$A$46:$A$50,0), MATCH('Unit 3 a'!AK$7,'Rooms Walls and Glass'!$D$1:$AB$1,0))=0,"",INDEX('Rooms Walls and Glass'!$D$46:$AB$50, MATCH($D41,'Rooms Walls and Glass'!$A$46:$A$50,0), MATCH('Unit 3 a'!AK$7,'Rooms Walls and Glass'!$D$1:$AB$1,0))))</f>
        <v/>
      </c>
      <c r="AL41" s="70" t="str">
        <f t="shared" si="27"/>
        <v>-</v>
      </c>
      <c r="AM41" s="66" t="str">
        <f>IF(AM$7="","",IF(INDEX('Rooms Walls and Glass'!$D$46:$AB$50, MATCH($D41,'Rooms Walls and Glass'!$A$46:$A$50,0), MATCH('Unit 3 a'!AM$7,'Rooms Walls and Glass'!$D$1:$AB$1,0))=0,"",INDEX('Rooms Walls and Glass'!$D$46:$AB$50, MATCH($D41,'Rooms Walls and Glass'!$A$46:$A$50,0), MATCH('Unit 3 a'!AM$7,'Rooms Walls and Glass'!$D$1:$AB$1,0))))</f>
        <v/>
      </c>
      <c r="AN41" s="71" t="str">
        <f t="shared" si="28"/>
        <v>-</v>
      </c>
    </row>
    <row r="42" spans="2:40" ht="11.25" customHeight="1" thickBot="1" x14ac:dyDescent="0.2">
      <c r="B42" s="212" t="s">
        <v>81</v>
      </c>
      <c r="C42" s="12" t="s">
        <v>41</v>
      </c>
      <c r="D42" s="13" t="s">
        <v>49</v>
      </c>
      <c r="E42" s="13">
        <v>55</v>
      </c>
      <c r="F42" s="14">
        <f>INDEX(Summary!$F$19:$F$30,MATCH('Unit 3 a'!C42,Summary!$D$19:$D$30,0))</f>
        <v>2.5999999999999999E-2</v>
      </c>
      <c r="G42" s="14">
        <f t="shared" si="29"/>
        <v>1.43</v>
      </c>
      <c r="H42" s="13" t="s">
        <v>6</v>
      </c>
      <c r="I42" s="65">
        <f t="shared" si="13"/>
        <v>0</v>
      </c>
      <c r="J42" s="65">
        <f t="shared" si="14"/>
        <v>0</v>
      </c>
      <c r="K42" s="66" t="str">
        <f>IF(K$7="","",IF(INDEX('Rooms Walls and Glass'!$D$53:$AB$57, MATCH($D42,'Rooms Walls and Glass'!$A$53:$A$57,0), MATCH('Unit 3 a'!K$7,'Rooms Walls and Glass'!$D$1:$AB$1,0))=0,"",INDEX('Rooms Walls and Glass'!$D$53:$AB$57, MATCH($D42,'Rooms Walls and Glass'!$A$53:$A$57,0), MATCH('Unit 3 a'!K$7,'Rooms Walls and Glass'!$D$1:$AB$1,0))))</f>
        <v/>
      </c>
      <c r="L42" s="65" t="str">
        <f t="shared" si="15"/>
        <v>-</v>
      </c>
      <c r="M42" s="66" t="str">
        <f>IF(M$7="","",IF(INDEX('Rooms Walls and Glass'!$D$53:$AB$57, MATCH($D42,'Rooms Walls and Glass'!$A$53:$A$57,0), MATCH('Unit 3 a'!M$7,'Rooms Walls and Glass'!$D$1:$AB$1,0))=0,"",INDEX('Rooms Walls and Glass'!$D$53:$AB$57, MATCH($D42,'Rooms Walls and Glass'!$A$53:$A$57,0), MATCH('Unit 3 a'!M$7,'Rooms Walls and Glass'!$D$1:$AB$1,0))))</f>
        <v/>
      </c>
      <c r="N42" s="65" t="str">
        <f t="shared" si="16"/>
        <v>-</v>
      </c>
      <c r="O42" s="66" t="str">
        <f>IF(O$7="","",IF(INDEX('Rooms Walls and Glass'!$D$53:$AB$57, MATCH($D42,'Rooms Walls and Glass'!$A$53:$A$57,0), MATCH('Unit 3 a'!O$7,'Rooms Walls and Glass'!$D$1:$AB$1,0))=0,"",INDEX('Rooms Walls and Glass'!$D$53:$AB$57, MATCH($D42,'Rooms Walls and Glass'!$A$53:$A$57,0), MATCH('Unit 3 a'!O$7,'Rooms Walls and Glass'!$D$1:$AB$1,0))))</f>
        <v/>
      </c>
      <c r="P42" s="65" t="str">
        <f t="shared" si="17"/>
        <v>-</v>
      </c>
      <c r="Q42" s="66" t="str">
        <f>IF(Q$7="","",IF(INDEX('Rooms Walls and Glass'!$D$53:$AB$57, MATCH($D42,'Rooms Walls and Glass'!$A$53:$A$57,0), MATCH('Unit 3 a'!Q$7,'Rooms Walls and Glass'!$D$1:$AB$1,0))=0,"",INDEX('Rooms Walls and Glass'!$D$53:$AB$57, MATCH($D42,'Rooms Walls and Glass'!$A$53:$A$57,0), MATCH('Unit 3 a'!Q$7,'Rooms Walls and Glass'!$D$1:$AB$1,0))))</f>
        <v/>
      </c>
      <c r="R42" s="65" t="str">
        <f t="shared" si="18"/>
        <v>-</v>
      </c>
      <c r="S42" s="66" t="str">
        <f>IF(S$7="","",IF(INDEX('Rooms Walls and Glass'!$D$53:$AB$57, MATCH($D42,'Rooms Walls and Glass'!$A$53:$A$57,0), MATCH('Unit 3 a'!S$7,'Rooms Walls and Glass'!$D$1:$AB$1,0))=0,"",INDEX('Rooms Walls and Glass'!$D$53:$AB$57, MATCH($D42,'Rooms Walls and Glass'!$A$53:$A$57,0), MATCH('Unit 3 a'!S$7,'Rooms Walls and Glass'!$D$1:$AB$1,0))))</f>
        <v/>
      </c>
      <c r="T42" s="65" t="str">
        <f t="shared" si="19"/>
        <v>-</v>
      </c>
      <c r="U42" s="66" t="str">
        <f>IF(U$7="","",IF(INDEX('Rooms Walls and Glass'!$D$53:$AB$57, MATCH($D42,'Rooms Walls and Glass'!$A$53:$A$57,0), MATCH('Unit 3 a'!U$7,'Rooms Walls and Glass'!$D$1:$AB$1,0))=0,"",INDEX('Rooms Walls and Glass'!$D$53:$AB$57, MATCH($D42,'Rooms Walls and Glass'!$A$53:$A$57,0), MATCH('Unit 3 a'!U$7,'Rooms Walls and Glass'!$D$1:$AB$1,0))))</f>
        <v/>
      </c>
      <c r="V42" s="65" t="str">
        <f t="shared" si="20"/>
        <v>-</v>
      </c>
      <c r="W42" s="66" t="str">
        <f>IF(W$7="","",IF(INDEX('Rooms Walls and Glass'!$D$53:$AB$57, MATCH($D42,'Rooms Walls and Glass'!$A$53:$A$57,0), MATCH('Unit 3 a'!W$7,'Rooms Walls and Glass'!$D$1:$AB$1,0))=0,"",INDEX('Rooms Walls and Glass'!$D$53:$AB$57, MATCH($D42,'Rooms Walls and Glass'!$A$53:$A$57,0), MATCH('Unit 3 a'!W$7,'Rooms Walls and Glass'!$D$1:$AB$1,0))))</f>
        <v/>
      </c>
      <c r="X42" s="65" t="str">
        <f t="shared" si="21"/>
        <v>-</v>
      </c>
      <c r="Y42" s="66" t="str">
        <f>IF(Y$7="","",IF(INDEX('Rooms Walls and Glass'!$D$53:$AB$57, MATCH($D42,'Rooms Walls and Glass'!$A$53:$A$57,0), MATCH('Unit 3 a'!Y$7,'Rooms Walls and Glass'!$D$1:$AB$1,0))=0,"",INDEX('Rooms Walls and Glass'!$D$53:$AB$57, MATCH($D42,'Rooms Walls and Glass'!$A$53:$A$57,0), MATCH('Unit 3 a'!Y$7,'Rooms Walls and Glass'!$D$1:$AB$1,0))))</f>
        <v/>
      </c>
      <c r="Z42" s="65" t="str">
        <f t="shared" si="22"/>
        <v>-</v>
      </c>
      <c r="AA42" s="66" t="str">
        <f>IF(AA$7="","",IF(INDEX('Rooms Walls and Glass'!$D$53:$AB$57, MATCH($D42,'Rooms Walls and Glass'!$A$53:$A$57,0), MATCH('Unit 3 a'!AA$7,'Rooms Walls and Glass'!$D$1:$AB$1,0))=0,"",INDEX('Rooms Walls and Glass'!$D$53:$AB$57, MATCH($D42,'Rooms Walls and Glass'!$A$53:$A$57,0), MATCH('Unit 3 a'!AA$7,'Rooms Walls and Glass'!$D$1:$AB$1,0))))</f>
        <v/>
      </c>
      <c r="AB42" s="65" t="str">
        <f t="shared" si="23"/>
        <v>-</v>
      </c>
      <c r="AC42" s="66" t="str">
        <f>IF(AC$7="","",IF(INDEX('Rooms Walls and Glass'!$D$53:$AB$57, MATCH($D42,'Rooms Walls and Glass'!$A$53:$A$57,0), MATCH('Unit 3 a'!AC$7,'Rooms Walls and Glass'!$D$1:$AB$1,0))=0,"",INDEX('Rooms Walls and Glass'!$D$53:$AB$57, MATCH($D42,'Rooms Walls and Glass'!$A$53:$A$57,0), MATCH('Unit 3 a'!AC$7,'Rooms Walls and Glass'!$D$1:$AB$1,0))))</f>
        <v/>
      </c>
      <c r="AD42" s="65" t="str">
        <f t="shared" si="30"/>
        <v>-</v>
      </c>
      <c r="AE42" s="66" t="str">
        <f>IF(AE$7="","",IF(INDEX('Rooms Walls and Glass'!$D$53:$AB$57, MATCH($D42,'Rooms Walls and Glass'!$A$53:$A$57,0), MATCH('Unit 3 a'!AE$7,'Rooms Walls and Glass'!$D$1:$AB$1,0))=0,"",INDEX('Rooms Walls and Glass'!$D$53:$AB$57, MATCH($D42,'Rooms Walls and Glass'!$A$53:$A$57,0), MATCH('Unit 3 a'!AE$7,'Rooms Walls and Glass'!$D$1:$AB$1,0))))</f>
        <v/>
      </c>
      <c r="AF42" s="65" t="str">
        <f t="shared" si="31"/>
        <v>-</v>
      </c>
      <c r="AG42" s="66" t="str">
        <f>IF(AG$7="","",IF(INDEX('Rooms Walls and Glass'!$D$53:$AB$57, MATCH($D42,'Rooms Walls and Glass'!$A$53:$A$57,0), MATCH('Unit 3 a'!AG$7,'Rooms Walls and Glass'!$D$1:$AB$1,0))=0,"",INDEX('Rooms Walls and Glass'!$D$53:$AB$57, MATCH($D42,'Rooms Walls and Glass'!$A$53:$A$57,0), MATCH('Unit 3 a'!AG$7,'Rooms Walls and Glass'!$D$1:$AB$1,0))))</f>
        <v/>
      </c>
      <c r="AH42" s="65" t="str">
        <f t="shared" si="25"/>
        <v>-</v>
      </c>
      <c r="AI42" s="66" t="str">
        <f>IF(AI$7="","",IF(INDEX('Rooms Walls and Glass'!$D$53:$AB$57, MATCH($D42,'Rooms Walls and Glass'!$A$53:$A$57,0), MATCH('Unit 3 a'!AI$7,'Rooms Walls and Glass'!$D$1:$AB$1,0))=0,"",INDEX('Rooms Walls and Glass'!$D$53:$AB$57, MATCH($D42,'Rooms Walls and Glass'!$A$53:$A$57,0), MATCH('Unit 3 a'!AI$7,'Rooms Walls and Glass'!$D$1:$AB$1,0))))</f>
        <v/>
      </c>
      <c r="AJ42" s="67" t="str">
        <f t="shared" si="26"/>
        <v>-</v>
      </c>
      <c r="AK42" s="66" t="str">
        <f>IF(AK$7="","",IF(INDEX('Rooms Walls and Glass'!$D$53:$AB$57, MATCH($D42,'Rooms Walls and Glass'!$A$53:$A$57,0), MATCH('Unit 3 a'!AK$7,'Rooms Walls and Glass'!$D$1:$AB$1,0))=0,"",INDEX('Rooms Walls and Glass'!$D$53:$AB$57, MATCH($D42,'Rooms Walls and Glass'!$A$53:$A$57,0), MATCH('Unit 3 a'!AK$7,'Rooms Walls and Glass'!$D$1:$AB$1,0))))</f>
        <v/>
      </c>
      <c r="AL42" s="65" t="str">
        <f t="shared" si="27"/>
        <v>-</v>
      </c>
      <c r="AM42" s="66" t="str">
        <f>IF(AM$7="","",IF(INDEX('Rooms Walls and Glass'!$D$53:$AB$57, MATCH($D42,'Rooms Walls and Glass'!$A$53:$A$57,0), MATCH('Unit 3 a'!AM$7,'Rooms Walls and Glass'!$D$1:$AB$1,0))=0,"",INDEX('Rooms Walls and Glass'!$D$53:$AB$57, MATCH($D42,'Rooms Walls and Glass'!$A$53:$A$57,0), MATCH('Unit 3 a'!AM$7,'Rooms Walls and Glass'!$D$1:$AB$1,0))))</f>
        <v/>
      </c>
      <c r="AN42" s="67" t="str">
        <f t="shared" si="28"/>
        <v>-</v>
      </c>
    </row>
    <row r="43" spans="2:40" ht="11.25" customHeight="1" thickBot="1" x14ac:dyDescent="0.2">
      <c r="B43" s="213"/>
      <c r="C43" s="17" t="s">
        <v>42</v>
      </c>
      <c r="D43" s="18" t="s">
        <v>50</v>
      </c>
      <c r="E43" s="18">
        <v>55</v>
      </c>
      <c r="F43" s="14">
        <f>INDEX(Summary!$F$19:$F$30,MATCH('Unit 3 a'!C43,Summary!$D$19:$D$30,0))</f>
        <v>0.26</v>
      </c>
      <c r="G43" s="14">
        <f t="shared" si="29"/>
        <v>14.3</v>
      </c>
      <c r="H43" s="18" t="s">
        <v>6</v>
      </c>
      <c r="I43" s="65">
        <f t="shared" si="13"/>
        <v>0</v>
      </c>
      <c r="J43" s="70">
        <f t="shared" si="14"/>
        <v>0</v>
      </c>
      <c r="K43" s="66" t="str">
        <f>IF(K$7="","",IF(INDEX('Rooms Walls and Glass'!$D$53:$AB$57, MATCH($D43,'Rooms Walls and Glass'!$A$53:$A$57,0), MATCH('Unit 3 a'!K$7,'Rooms Walls and Glass'!$D$1:$AB$1,0))=0,"",INDEX('Rooms Walls and Glass'!$D$53:$AB$57, MATCH($D43,'Rooms Walls and Glass'!$A$53:$A$57,0), MATCH('Unit 3 a'!K$7,'Rooms Walls and Glass'!$D$1:$AB$1,0))))</f>
        <v/>
      </c>
      <c r="L43" s="70" t="str">
        <f t="shared" si="15"/>
        <v>-</v>
      </c>
      <c r="M43" s="66" t="str">
        <f>IF(M$7="","",IF(INDEX('Rooms Walls and Glass'!$D$53:$AB$57, MATCH($D43,'Rooms Walls and Glass'!$A$53:$A$57,0), MATCH('Unit 3 a'!M$7,'Rooms Walls and Glass'!$D$1:$AB$1,0))=0,"",INDEX('Rooms Walls and Glass'!$D$53:$AB$57, MATCH($D43,'Rooms Walls and Glass'!$A$53:$A$57,0), MATCH('Unit 3 a'!M$7,'Rooms Walls and Glass'!$D$1:$AB$1,0))))</f>
        <v/>
      </c>
      <c r="N43" s="70" t="str">
        <f t="shared" si="16"/>
        <v>-</v>
      </c>
      <c r="O43" s="66" t="str">
        <f>IF(O$7="","",IF(INDEX('Rooms Walls and Glass'!$D$53:$AB$57, MATCH($D43,'Rooms Walls and Glass'!$A$53:$A$57,0), MATCH('Unit 3 a'!O$7,'Rooms Walls and Glass'!$D$1:$AB$1,0))=0,"",INDEX('Rooms Walls and Glass'!$D$53:$AB$57, MATCH($D43,'Rooms Walls and Glass'!$A$53:$A$57,0), MATCH('Unit 3 a'!O$7,'Rooms Walls and Glass'!$D$1:$AB$1,0))))</f>
        <v/>
      </c>
      <c r="P43" s="70" t="str">
        <f t="shared" si="17"/>
        <v>-</v>
      </c>
      <c r="Q43" s="66" t="str">
        <f>IF(Q$7="","",IF(INDEX('Rooms Walls and Glass'!$D$53:$AB$57, MATCH($D43,'Rooms Walls and Glass'!$A$53:$A$57,0), MATCH('Unit 3 a'!Q$7,'Rooms Walls and Glass'!$D$1:$AB$1,0))=0,"",INDEX('Rooms Walls and Glass'!$D$53:$AB$57, MATCH($D43,'Rooms Walls and Glass'!$A$53:$A$57,0), MATCH('Unit 3 a'!Q$7,'Rooms Walls and Glass'!$D$1:$AB$1,0))))</f>
        <v/>
      </c>
      <c r="R43" s="70" t="str">
        <f t="shared" si="18"/>
        <v>-</v>
      </c>
      <c r="S43" s="66" t="str">
        <f>IF(S$7="","",IF(INDEX('Rooms Walls and Glass'!$D$53:$AB$57, MATCH($D43,'Rooms Walls and Glass'!$A$53:$A$57,0), MATCH('Unit 3 a'!S$7,'Rooms Walls and Glass'!$D$1:$AB$1,0))=0,"",INDEX('Rooms Walls and Glass'!$D$53:$AB$57, MATCH($D43,'Rooms Walls and Glass'!$A$53:$A$57,0), MATCH('Unit 3 a'!S$7,'Rooms Walls and Glass'!$D$1:$AB$1,0))))</f>
        <v/>
      </c>
      <c r="T43" s="70" t="str">
        <f t="shared" si="19"/>
        <v>-</v>
      </c>
      <c r="U43" s="66" t="str">
        <f>IF(U$7="","",IF(INDEX('Rooms Walls and Glass'!$D$53:$AB$57, MATCH($D43,'Rooms Walls and Glass'!$A$53:$A$57,0), MATCH('Unit 3 a'!U$7,'Rooms Walls and Glass'!$D$1:$AB$1,0))=0,"",INDEX('Rooms Walls and Glass'!$D$53:$AB$57, MATCH($D43,'Rooms Walls and Glass'!$A$53:$A$57,0), MATCH('Unit 3 a'!U$7,'Rooms Walls and Glass'!$D$1:$AB$1,0))))</f>
        <v/>
      </c>
      <c r="V43" s="70" t="str">
        <f t="shared" si="20"/>
        <v>-</v>
      </c>
      <c r="W43" s="66" t="str">
        <f>IF(W$7="","",IF(INDEX('Rooms Walls and Glass'!$D$53:$AB$57, MATCH($D43,'Rooms Walls and Glass'!$A$53:$A$57,0), MATCH('Unit 3 a'!W$7,'Rooms Walls and Glass'!$D$1:$AB$1,0))=0,"",INDEX('Rooms Walls and Glass'!$D$53:$AB$57, MATCH($D43,'Rooms Walls and Glass'!$A$53:$A$57,0), MATCH('Unit 3 a'!W$7,'Rooms Walls and Glass'!$D$1:$AB$1,0))))</f>
        <v/>
      </c>
      <c r="X43" s="70" t="str">
        <f t="shared" si="21"/>
        <v>-</v>
      </c>
      <c r="Y43" s="66" t="str">
        <f>IF(Y$7="","",IF(INDEX('Rooms Walls and Glass'!$D$53:$AB$57, MATCH($D43,'Rooms Walls and Glass'!$A$53:$A$57,0), MATCH('Unit 3 a'!Y$7,'Rooms Walls and Glass'!$D$1:$AB$1,0))=0,"",INDEX('Rooms Walls and Glass'!$D$53:$AB$57, MATCH($D43,'Rooms Walls and Glass'!$A$53:$A$57,0), MATCH('Unit 3 a'!Y$7,'Rooms Walls and Glass'!$D$1:$AB$1,0))))</f>
        <v/>
      </c>
      <c r="Z43" s="70" t="str">
        <f t="shared" si="22"/>
        <v>-</v>
      </c>
      <c r="AA43" s="66" t="str">
        <f>IF(AA$7="","",IF(INDEX('Rooms Walls and Glass'!$D$53:$AB$57, MATCH($D43,'Rooms Walls and Glass'!$A$53:$A$57,0), MATCH('Unit 3 a'!AA$7,'Rooms Walls and Glass'!$D$1:$AB$1,0))=0,"",INDEX('Rooms Walls and Glass'!$D$53:$AB$57, MATCH($D43,'Rooms Walls and Glass'!$A$53:$A$57,0), MATCH('Unit 3 a'!AA$7,'Rooms Walls and Glass'!$D$1:$AB$1,0))))</f>
        <v/>
      </c>
      <c r="AB43" s="70" t="str">
        <f t="shared" si="23"/>
        <v>-</v>
      </c>
      <c r="AC43" s="66" t="str">
        <f>IF(AC$7="","",IF(INDEX('Rooms Walls and Glass'!$D$53:$AB$57, MATCH($D43,'Rooms Walls and Glass'!$A$53:$A$57,0), MATCH('Unit 3 a'!AC$7,'Rooms Walls and Glass'!$D$1:$AB$1,0))=0,"",INDEX('Rooms Walls and Glass'!$D$53:$AB$57, MATCH($D43,'Rooms Walls and Glass'!$A$53:$A$57,0), MATCH('Unit 3 a'!AC$7,'Rooms Walls and Glass'!$D$1:$AB$1,0))))</f>
        <v/>
      </c>
      <c r="AD43" s="70" t="str">
        <f t="shared" si="30"/>
        <v>-</v>
      </c>
      <c r="AE43" s="66" t="str">
        <f>IF(AE$7="","",IF(INDEX('Rooms Walls and Glass'!$D$53:$AB$57, MATCH($D43,'Rooms Walls and Glass'!$A$53:$A$57,0), MATCH('Unit 3 a'!AE$7,'Rooms Walls and Glass'!$D$1:$AB$1,0))=0,"",INDEX('Rooms Walls and Glass'!$D$53:$AB$57, MATCH($D43,'Rooms Walls and Glass'!$A$53:$A$57,0), MATCH('Unit 3 a'!AE$7,'Rooms Walls and Glass'!$D$1:$AB$1,0))))</f>
        <v/>
      </c>
      <c r="AF43" s="70" t="str">
        <f t="shared" si="31"/>
        <v>-</v>
      </c>
      <c r="AG43" s="66" t="str">
        <f>IF(AG$7="","",IF(INDEX('Rooms Walls and Glass'!$D$53:$AB$57, MATCH($D43,'Rooms Walls and Glass'!$A$53:$A$57,0), MATCH('Unit 3 a'!AG$7,'Rooms Walls and Glass'!$D$1:$AB$1,0))=0,"",INDEX('Rooms Walls and Glass'!$D$53:$AB$57, MATCH($D43,'Rooms Walls and Glass'!$A$53:$A$57,0), MATCH('Unit 3 a'!AG$7,'Rooms Walls and Glass'!$D$1:$AB$1,0))))</f>
        <v/>
      </c>
      <c r="AH43" s="70" t="str">
        <f t="shared" si="25"/>
        <v>-</v>
      </c>
      <c r="AI43" s="66" t="str">
        <f>IF(AI$7="","",IF(INDEX('Rooms Walls and Glass'!$D$53:$AB$57, MATCH($D43,'Rooms Walls and Glass'!$A$53:$A$57,0), MATCH('Unit 3 a'!AI$7,'Rooms Walls and Glass'!$D$1:$AB$1,0))=0,"",INDEX('Rooms Walls and Glass'!$D$53:$AB$57, MATCH($D43,'Rooms Walls and Glass'!$A$53:$A$57,0), MATCH('Unit 3 a'!AI$7,'Rooms Walls and Glass'!$D$1:$AB$1,0))))</f>
        <v/>
      </c>
      <c r="AJ43" s="71" t="str">
        <f t="shared" si="26"/>
        <v>-</v>
      </c>
      <c r="AK43" s="66" t="str">
        <f>IF(AK$7="","",IF(INDEX('Rooms Walls and Glass'!$D$53:$AB$57, MATCH($D43,'Rooms Walls and Glass'!$A$53:$A$57,0), MATCH('Unit 3 a'!AK$7,'Rooms Walls and Glass'!$D$1:$AB$1,0))=0,"",INDEX('Rooms Walls and Glass'!$D$53:$AB$57, MATCH($D43,'Rooms Walls and Glass'!$A$53:$A$57,0), MATCH('Unit 3 a'!AK$7,'Rooms Walls and Glass'!$D$1:$AB$1,0))))</f>
        <v/>
      </c>
      <c r="AL43" s="70" t="str">
        <f t="shared" si="27"/>
        <v>-</v>
      </c>
      <c r="AM43" s="66" t="str">
        <f>IF(AM$7="","",IF(INDEX('Rooms Walls and Glass'!$D$53:$AB$57, MATCH($D43,'Rooms Walls and Glass'!$A$53:$A$57,0), MATCH('Unit 3 a'!AM$7,'Rooms Walls and Glass'!$D$1:$AB$1,0))=0,"",INDEX('Rooms Walls and Glass'!$D$53:$AB$57, MATCH($D43,'Rooms Walls and Glass'!$A$53:$A$57,0), MATCH('Unit 3 a'!AM$7,'Rooms Walls and Glass'!$D$1:$AB$1,0))))</f>
        <v/>
      </c>
      <c r="AN43" s="71" t="str">
        <f t="shared" si="28"/>
        <v>-</v>
      </c>
    </row>
    <row r="44" spans="2:40" ht="11.25" customHeight="1" thickBot="1" x14ac:dyDescent="0.2">
      <c r="B44" s="212" t="s">
        <v>82</v>
      </c>
      <c r="C44" s="12" t="s">
        <v>43</v>
      </c>
      <c r="D44" s="13" t="s">
        <v>51</v>
      </c>
      <c r="E44" s="13">
        <v>11</v>
      </c>
      <c r="F44" s="14">
        <f>INDEX(Summary!$F$19:$F$30,MATCH('Unit 3 a'!C44,Summary!$D$19:$D$30,0))</f>
        <v>5.2999999999999999E-2</v>
      </c>
      <c r="G44" s="14">
        <f t="shared" si="29"/>
        <v>0.58299999999999996</v>
      </c>
      <c r="H44" s="13" t="s">
        <v>6</v>
      </c>
      <c r="I44" s="65">
        <f t="shared" si="13"/>
        <v>0</v>
      </c>
      <c r="J44" s="65">
        <f t="shared" si="14"/>
        <v>0</v>
      </c>
      <c r="K44" s="66" t="str">
        <f>IF(K$7="","",IF(INDEX('Rooms Walls and Glass'!$D$53:$AB$57, MATCH($D44,'Rooms Walls and Glass'!$A$53:$A$57,0), MATCH('Unit 3 a'!K$7,'Rooms Walls and Glass'!$D$1:$AB$1,0))=0,"",INDEX('Rooms Walls and Glass'!$D$53:$AB$57, MATCH($D44,'Rooms Walls and Glass'!$A$53:$A$57,0), MATCH('Unit 3 a'!K$7,'Rooms Walls and Glass'!$D$1:$AB$1,0))))</f>
        <v/>
      </c>
      <c r="L44" s="65" t="str">
        <f t="shared" si="15"/>
        <v>-</v>
      </c>
      <c r="M44" s="66" t="str">
        <f>IF(M$7="","",IF(INDEX('Rooms Walls and Glass'!$D$53:$AB$57, MATCH($D44,'Rooms Walls and Glass'!$A$53:$A$57,0), MATCH('Unit 3 a'!M$7,'Rooms Walls and Glass'!$D$1:$AB$1,0))=0,"",INDEX('Rooms Walls and Glass'!$D$53:$AB$57, MATCH($D44,'Rooms Walls and Glass'!$A$53:$A$57,0), MATCH('Unit 3 a'!M$7,'Rooms Walls and Glass'!$D$1:$AB$1,0))))</f>
        <v/>
      </c>
      <c r="N44" s="65" t="str">
        <f t="shared" si="16"/>
        <v>-</v>
      </c>
      <c r="O44" s="66" t="str">
        <f>IF(O$7="","",IF(INDEX('Rooms Walls and Glass'!$D$53:$AB$57, MATCH($D44,'Rooms Walls and Glass'!$A$53:$A$57,0), MATCH('Unit 3 a'!O$7,'Rooms Walls and Glass'!$D$1:$AB$1,0))=0,"",INDEX('Rooms Walls and Glass'!$D$53:$AB$57, MATCH($D44,'Rooms Walls and Glass'!$A$53:$A$57,0), MATCH('Unit 3 a'!O$7,'Rooms Walls and Glass'!$D$1:$AB$1,0))))</f>
        <v/>
      </c>
      <c r="P44" s="65" t="str">
        <f t="shared" si="17"/>
        <v>-</v>
      </c>
      <c r="Q44" s="66" t="str">
        <f>IF(Q$7="","",IF(INDEX('Rooms Walls and Glass'!$D$53:$AB$57, MATCH($D44,'Rooms Walls and Glass'!$A$53:$A$57,0), MATCH('Unit 3 a'!Q$7,'Rooms Walls and Glass'!$D$1:$AB$1,0))=0,"",INDEX('Rooms Walls and Glass'!$D$53:$AB$57, MATCH($D44,'Rooms Walls and Glass'!$A$53:$A$57,0), MATCH('Unit 3 a'!Q$7,'Rooms Walls and Glass'!$D$1:$AB$1,0))))</f>
        <v/>
      </c>
      <c r="R44" s="65" t="str">
        <f t="shared" si="18"/>
        <v>-</v>
      </c>
      <c r="S44" s="66" t="str">
        <f>IF(S$7="","",IF(INDEX('Rooms Walls and Glass'!$D$53:$AB$57, MATCH($D44,'Rooms Walls and Glass'!$A$53:$A$57,0), MATCH('Unit 3 a'!S$7,'Rooms Walls and Glass'!$D$1:$AB$1,0))=0,"",INDEX('Rooms Walls and Glass'!$D$53:$AB$57, MATCH($D44,'Rooms Walls and Glass'!$A$53:$A$57,0), MATCH('Unit 3 a'!S$7,'Rooms Walls and Glass'!$D$1:$AB$1,0))))</f>
        <v/>
      </c>
      <c r="T44" s="65" t="str">
        <f t="shared" si="19"/>
        <v>-</v>
      </c>
      <c r="U44" s="66" t="str">
        <f>IF(U$7="","",IF(INDEX('Rooms Walls and Glass'!$D$53:$AB$57, MATCH($D44,'Rooms Walls and Glass'!$A$53:$A$57,0), MATCH('Unit 3 a'!U$7,'Rooms Walls and Glass'!$D$1:$AB$1,0))=0,"",INDEX('Rooms Walls and Glass'!$D$53:$AB$57, MATCH($D44,'Rooms Walls and Glass'!$A$53:$A$57,0), MATCH('Unit 3 a'!U$7,'Rooms Walls and Glass'!$D$1:$AB$1,0))))</f>
        <v/>
      </c>
      <c r="V44" s="65" t="str">
        <f t="shared" si="20"/>
        <v>-</v>
      </c>
      <c r="W44" s="66" t="str">
        <f>IF(W$7="","",IF(INDEX('Rooms Walls and Glass'!$D$53:$AB$57, MATCH($D44,'Rooms Walls and Glass'!$A$53:$A$57,0), MATCH('Unit 3 a'!W$7,'Rooms Walls and Glass'!$D$1:$AB$1,0))=0,"",INDEX('Rooms Walls and Glass'!$D$53:$AB$57, MATCH($D44,'Rooms Walls and Glass'!$A$53:$A$57,0), MATCH('Unit 3 a'!W$7,'Rooms Walls and Glass'!$D$1:$AB$1,0))))</f>
        <v/>
      </c>
      <c r="X44" s="65" t="str">
        <f t="shared" si="21"/>
        <v>-</v>
      </c>
      <c r="Y44" s="66" t="str">
        <f>IF(Y$7="","",IF(INDEX('Rooms Walls and Glass'!$D$53:$AB$57, MATCH($D44,'Rooms Walls and Glass'!$A$53:$A$57,0), MATCH('Unit 3 a'!Y$7,'Rooms Walls and Glass'!$D$1:$AB$1,0))=0,"",INDEX('Rooms Walls and Glass'!$D$53:$AB$57, MATCH($D44,'Rooms Walls and Glass'!$A$53:$A$57,0), MATCH('Unit 3 a'!Y$7,'Rooms Walls and Glass'!$D$1:$AB$1,0))))</f>
        <v/>
      </c>
      <c r="Z44" s="65" t="str">
        <f t="shared" si="22"/>
        <v>-</v>
      </c>
      <c r="AA44" s="66" t="str">
        <f>IF(AA$7="","",IF(INDEX('Rooms Walls and Glass'!$D$53:$AB$57, MATCH($D44,'Rooms Walls and Glass'!$A$53:$A$57,0), MATCH('Unit 3 a'!AA$7,'Rooms Walls and Glass'!$D$1:$AB$1,0))=0,"",INDEX('Rooms Walls and Glass'!$D$53:$AB$57, MATCH($D44,'Rooms Walls and Glass'!$A$53:$A$57,0), MATCH('Unit 3 a'!AA$7,'Rooms Walls and Glass'!$D$1:$AB$1,0))))</f>
        <v/>
      </c>
      <c r="AB44" s="65" t="str">
        <f t="shared" si="23"/>
        <v>-</v>
      </c>
      <c r="AC44" s="66" t="str">
        <f>IF(AC$7="","",IF(INDEX('Rooms Walls and Glass'!$D$53:$AB$57, MATCH($D44,'Rooms Walls and Glass'!$A$53:$A$57,0), MATCH('Unit 3 a'!AC$7,'Rooms Walls and Glass'!$D$1:$AB$1,0))=0,"",INDEX('Rooms Walls and Glass'!$D$53:$AB$57, MATCH($D44,'Rooms Walls and Glass'!$A$53:$A$57,0), MATCH('Unit 3 a'!AC$7,'Rooms Walls and Glass'!$D$1:$AB$1,0))))</f>
        <v/>
      </c>
      <c r="AD44" s="65" t="str">
        <f t="shared" si="30"/>
        <v>-</v>
      </c>
      <c r="AE44" s="66" t="str">
        <f>IF(AE$7="","",IF(INDEX('Rooms Walls and Glass'!$D$53:$AB$57, MATCH($D44,'Rooms Walls and Glass'!$A$53:$A$57,0), MATCH('Unit 3 a'!AE$7,'Rooms Walls and Glass'!$D$1:$AB$1,0))=0,"",INDEX('Rooms Walls and Glass'!$D$53:$AB$57, MATCH($D44,'Rooms Walls and Glass'!$A$53:$A$57,0), MATCH('Unit 3 a'!AE$7,'Rooms Walls and Glass'!$D$1:$AB$1,0))))</f>
        <v/>
      </c>
      <c r="AF44" s="65" t="str">
        <f t="shared" si="31"/>
        <v>-</v>
      </c>
      <c r="AG44" s="66" t="str">
        <f>IF(AG$7="","",IF(INDEX('Rooms Walls and Glass'!$D$53:$AB$57, MATCH($D44,'Rooms Walls and Glass'!$A$53:$A$57,0), MATCH('Unit 3 a'!AG$7,'Rooms Walls and Glass'!$D$1:$AB$1,0))=0,"",INDEX('Rooms Walls and Glass'!$D$53:$AB$57, MATCH($D44,'Rooms Walls and Glass'!$A$53:$A$57,0), MATCH('Unit 3 a'!AG$7,'Rooms Walls and Glass'!$D$1:$AB$1,0))))</f>
        <v/>
      </c>
      <c r="AH44" s="65" t="str">
        <f t="shared" si="25"/>
        <v>-</v>
      </c>
      <c r="AI44" s="66" t="str">
        <f>IF(AI$7="","",IF(INDEX('Rooms Walls and Glass'!$D$53:$AB$57, MATCH($D44,'Rooms Walls and Glass'!$A$53:$A$57,0), MATCH('Unit 3 a'!AI$7,'Rooms Walls and Glass'!$D$1:$AB$1,0))=0,"",INDEX('Rooms Walls and Glass'!$D$53:$AB$57, MATCH($D44,'Rooms Walls and Glass'!$A$53:$A$57,0), MATCH('Unit 3 a'!AI$7,'Rooms Walls and Glass'!$D$1:$AB$1,0))))</f>
        <v/>
      </c>
      <c r="AJ44" s="67" t="str">
        <f t="shared" si="26"/>
        <v>-</v>
      </c>
      <c r="AK44" s="66" t="str">
        <f>IF(AK$7="","",IF(INDEX('Rooms Walls and Glass'!$D$53:$AB$57, MATCH($D44,'Rooms Walls and Glass'!$A$53:$A$57,0), MATCH('Unit 3 a'!AK$7,'Rooms Walls and Glass'!$D$1:$AB$1,0))=0,"",INDEX('Rooms Walls and Glass'!$D$53:$AB$57, MATCH($D44,'Rooms Walls and Glass'!$A$53:$A$57,0), MATCH('Unit 3 a'!AK$7,'Rooms Walls and Glass'!$D$1:$AB$1,0))))</f>
        <v/>
      </c>
      <c r="AL44" s="65" t="str">
        <f t="shared" si="27"/>
        <v>-</v>
      </c>
      <c r="AM44" s="66" t="str">
        <f>IF(AM$7="","",IF(INDEX('Rooms Walls and Glass'!$D$53:$AB$57, MATCH($D44,'Rooms Walls and Glass'!$A$53:$A$57,0), MATCH('Unit 3 a'!AM$7,'Rooms Walls and Glass'!$D$1:$AB$1,0))=0,"",INDEX('Rooms Walls and Glass'!$D$53:$AB$57, MATCH($D44,'Rooms Walls and Glass'!$A$53:$A$57,0), MATCH('Unit 3 a'!AM$7,'Rooms Walls and Glass'!$D$1:$AB$1,0))))</f>
        <v/>
      </c>
      <c r="AN44" s="67" t="str">
        <f t="shared" si="28"/>
        <v>-</v>
      </c>
    </row>
    <row r="45" spans="2:40" ht="11.25" customHeight="1" thickBot="1" x14ac:dyDescent="0.2">
      <c r="B45" s="214"/>
      <c r="C45" s="15" t="s">
        <v>43</v>
      </c>
      <c r="D45" s="16" t="s">
        <v>36</v>
      </c>
      <c r="E45" s="16">
        <v>30</v>
      </c>
      <c r="F45" s="14">
        <f>INDEX(Summary!$F$19:$F$30,MATCH('Unit 3 a'!C45,Summary!$D$19:$D$30,0))</f>
        <v>5.2999999999999999E-2</v>
      </c>
      <c r="G45" s="14">
        <f t="shared" si="29"/>
        <v>1.5899999999999999</v>
      </c>
      <c r="H45" s="16" t="s">
        <v>6</v>
      </c>
      <c r="I45" s="65">
        <f t="shared" si="13"/>
        <v>0</v>
      </c>
      <c r="J45" s="68">
        <f t="shared" si="14"/>
        <v>0</v>
      </c>
      <c r="K45" s="66" t="str">
        <f>IF(K$7="","",IF(INDEX('Rooms Walls and Glass'!$D$53:$AB$57, MATCH($D45,'Rooms Walls and Glass'!$A$53:$A$57,0), MATCH('Unit 3 a'!K$7,'Rooms Walls and Glass'!$D$1:$AB$1,0))=0,"",INDEX('Rooms Walls and Glass'!$D$53:$AB$57, MATCH($D45,'Rooms Walls and Glass'!$A$53:$A$57,0), MATCH('Unit 3 a'!K$7,'Rooms Walls and Glass'!$D$1:$AB$1,0))))</f>
        <v/>
      </c>
      <c r="L45" s="68" t="str">
        <f t="shared" si="15"/>
        <v>-</v>
      </c>
      <c r="M45" s="66" t="str">
        <f>IF(M$7="","",IF(INDEX('Rooms Walls and Glass'!$D$53:$AB$57, MATCH($D45,'Rooms Walls and Glass'!$A$53:$A$57,0), MATCH('Unit 3 a'!M$7,'Rooms Walls and Glass'!$D$1:$AB$1,0))=0,"",INDEX('Rooms Walls and Glass'!$D$53:$AB$57, MATCH($D45,'Rooms Walls and Glass'!$A$53:$A$57,0), MATCH('Unit 3 a'!M$7,'Rooms Walls and Glass'!$D$1:$AB$1,0))))</f>
        <v/>
      </c>
      <c r="N45" s="68" t="str">
        <f t="shared" si="16"/>
        <v>-</v>
      </c>
      <c r="O45" s="66" t="str">
        <f>IF(O$7="","",IF(INDEX('Rooms Walls and Glass'!$D$53:$AB$57, MATCH($D45,'Rooms Walls and Glass'!$A$53:$A$57,0), MATCH('Unit 3 a'!O$7,'Rooms Walls and Glass'!$D$1:$AB$1,0))=0,"",INDEX('Rooms Walls and Glass'!$D$53:$AB$57, MATCH($D45,'Rooms Walls and Glass'!$A$53:$A$57,0), MATCH('Unit 3 a'!O$7,'Rooms Walls and Glass'!$D$1:$AB$1,0))))</f>
        <v/>
      </c>
      <c r="P45" s="68" t="str">
        <f t="shared" si="17"/>
        <v>-</v>
      </c>
      <c r="Q45" s="66" t="str">
        <f>IF(Q$7="","",IF(INDEX('Rooms Walls and Glass'!$D$53:$AB$57, MATCH($D45,'Rooms Walls and Glass'!$A$53:$A$57,0), MATCH('Unit 3 a'!Q$7,'Rooms Walls and Glass'!$D$1:$AB$1,0))=0,"",INDEX('Rooms Walls and Glass'!$D$53:$AB$57, MATCH($D45,'Rooms Walls and Glass'!$A$53:$A$57,0), MATCH('Unit 3 a'!Q$7,'Rooms Walls and Glass'!$D$1:$AB$1,0))))</f>
        <v/>
      </c>
      <c r="R45" s="68" t="str">
        <f t="shared" si="18"/>
        <v>-</v>
      </c>
      <c r="S45" s="66" t="str">
        <f>IF(S$7="","",IF(INDEX('Rooms Walls and Glass'!$D$53:$AB$57, MATCH($D45,'Rooms Walls and Glass'!$A$53:$A$57,0), MATCH('Unit 3 a'!S$7,'Rooms Walls and Glass'!$D$1:$AB$1,0))=0,"",INDEX('Rooms Walls and Glass'!$D$53:$AB$57, MATCH($D45,'Rooms Walls and Glass'!$A$53:$A$57,0), MATCH('Unit 3 a'!S$7,'Rooms Walls and Glass'!$D$1:$AB$1,0))))</f>
        <v/>
      </c>
      <c r="T45" s="68" t="str">
        <f t="shared" si="19"/>
        <v>-</v>
      </c>
      <c r="U45" s="66" t="str">
        <f>IF(U$7="","",IF(INDEX('Rooms Walls and Glass'!$D$53:$AB$57, MATCH($D45,'Rooms Walls and Glass'!$A$53:$A$57,0), MATCH('Unit 3 a'!U$7,'Rooms Walls and Glass'!$D$1:$AB$1,0))=0,"",INDEX('Rooms Walls and Glass'!$D$53:$AB$57, MATCH($D45,'Rooms Walls and Glass'!$A$53:$A$57,0), MATCH('Unit 3 a'!U$7,'Rooms Walls and Glass'!$D$1:$AB$1,0))))</f>
        <v/>
      </c>
      <c r="V45" s="68" t="str">
        <f t="shared" si="20"/>
        <v>-</v>
      </c>
      <c r="W45" s="66" t="str">
        <f>IF(W$7="","",IF(INDEX('Rooms Walls and Glass'!$D$53:$AB$57, MATCH($D45,'Rooms Walls and Glass'!$A$53:$A$57,0), MATCH('Unit 3 a'!W$7,'Rooms Walls and Glass'!$D$1:$AB$1,0))=0,"",INDEX('Rooms Walls and Glass'!$D$53:$AB$57, MATCH($D45,'Rooms Walls and Glass'!$A$53:$A$57,0), MATCH('Unit 3 a'!W$7,'Rooms Walls and Glass'!$D$1:$AB$1,0))))</f>
        <v/>
      </c>
      <c r="X45" s="68" t="str">
        <f t="shared" si="21"/>
        <v>-</v>
      </c>
      <c r="Y45" s="66" t="str">
        <f>IF(Y$7="","",IF(INDEX('Rooms Walls and Glass'!$D$53:$AB$57, MATCH($D45,'Rooms Walls and Glass'!$A$53:$A$57,0), MATCH('Unit 3 a'!Y$7,'Rooms Walls and Glass'!$D$1:$AB$1,0))=0,"",INDEX('Rooms Walls and Glass'!$D$53:$AB$57, MATCH($D45,'Rooms Walls and Glass'!$A$53:$A$57,0), MATCH('Unit 3 a'!Y$7,'Rooms Walls and Glass'!$D$1:$AB$1,0))))</f>
        <v/>
      </c>
      <c r="Z45" s="68" t="str">
        <f t="shared" si="22"/>
        <v>-</v>
      </c>
      <c r="AA45" s="66" t="str">
        <f>IF(AA$7="","",IF(INDEX('Rooms Walls and Glass'!$D$53:$AB$57, MATCH($D45,'Rooms Walls and Glass'!$A$53:$A$57,0), MATCH('Unit 3 a'!AA$7,'Rooms Walls and Glass'!$D$1:$AB$1,0))=0,"",INDEX('Rooms Walls and Glass'!$D$53:$AB$57, MATCH($D45,'Rooms Walls and Glass'!$A$53:$A$57,0), MATCH('Unit 3 a'!AA$7,'Rooms Walls and Glass'!$D$1:$AB$1,0))))</f>
        <v/>
      </c>
      <c r="AB45" s="68" t="str">
        <f t="shared" si="23"/>
        <v>-</v>
      </c>
      <c r="AC45" s="66" t="str">
        <f>IF(AC$7="","",IF(INDEX('Rooms Walls and Glass'!$D$53:$AB$57, MATCH($D45,'Rooms Walls and Glass'!$A$53:$A$57,0), MATCH('Unit 3 a'!AC$7,'Rooms Walls and Glass'!$D$1:$AB$1,0))=0,"",INDEX('Rooms Walls and Glass'!$D$53:$AB$57, MATCH($D45,'Rooms Walls and Glass'!$A$53:$A$57,0), MATCH('Unit 3 a'!AC$7,'Rooms Walls and Glass'!$D$1:$AB$1,0))))</f>
        <v/>
      </c>
      <c r="AD45" s="68" t="str">
        <f t="shared" si="30"/>
        <v>-</v>
      </c>
      <c r="AE45" s="66" t="str">
        <f>IF(AE$7="","",IF(INDEX('Rooms Walls and Glass'!$D$53:$AB$57, MATCH($D45,'Rooms Walls and Glass'!$A$53:$A$57,0), MATCH('Unit 3 a'!AE$7,'Rooms Walls and Glass'!$D$1:$AB$1,0))=0,"",INDEX('Rooms Walls and Glass'!$D$53:$AB$57, MATCH($D45,'Rooms Walls and Glass'!$A$53:$A$57,0), MATCH('Unit 3 a'!AE$7,'Rooms Walls and Glass'!$D$1:$AB$1,0))))</f>
        <v/>
      </c>
      <c r="AF45" s="68" t="str">
        <f t="shared" si="31"/>
        <v>-</v>
      </c>
      <c r="AG45" s="66" t="str">
        <f>IF(AG$7="","",IF(INDEX('Rooms Walls and Glass'!$D$53:$AB$57, MATCH($D45,'Rooms Walls and Glass'!$A$53:$A$57,0), MATCH('Unit 3 a'!AG$7,'Rooms Walls and Glass'!$D$1:$AB$1,0))=0,"",INDEX('Rooms Walls and Glass'!$D$53:$AB$57, MATCH($D45,'Rooms Walls and Glass'!$A$53:$A$57,0), MATCH('Unit 3 a'!AG$7,'Rooms Walls and Glass'!$D$1:$AB$1,0))))</f>
        <v/>
      </c>
      <c r="AH45" s="68" t="str">
        <f t="shared" si="25"/>
        <v>-</v>
      </c>
      <c r="AI45" s="66" t="str">
        <f>IF(AI$7="","",IF(INDEX('Rooms Walls and Glass'!$D$53:$AB$57, MATCH($D45,'Rooms Walls and Glass'!$A$53:$A$57,0), MATCH('Unit 3 a'!AI$7,'Rooms Walls and Glass'!$D$1:$AB$1,0))=0,"",INDEX('Rooms Walls and Glass'!$D$53:$AB$57, MATCH($D45,'Rooms Walls and Glass'!$A$53:$A$57,0), MATCH('Unit 3 a'!AI$7,'Rooms Walls and Glass'!$D$1:$AB$1,0))))</f>
        <v/>
      </c>
      <c r="AJ45" s="69" t="str">
        <f t="shared" si="26"/>
        <v>-</v>
      </c>
      <c r="AK45" s="66" t="str">
        <f>IF(AK$7="","",IF(INDEX('Rooms Walls and Glass'!$D$53:$AB$57, MATCH($D45,'Rooms Walls and Glass'!$A$53:$A$57,0), MATCH('Unit 3 a'!AK$7,'Rooms Walls and Glass'!$D$1:$AB$1,0))=0,"",INDEX('Rooms Walls and Glass'!$D$53:$AB$57, MATCH($D45,'Rooms Walls and Glass'!$A$53:$A$57,0), MATCH('Unit 3 a'!AK$7,'Rooms Walls and Glass'!$D$1:$AB$1,0))))</f>
        <v/>
      </c>
      <c r="AL45" s="68" t="str">
        <f t="shared" si="27"/>
        <v>-</v>
      </c>
      <c r="AM45" s="66" t="str">
        <f>IF(AM$7="","",IF(INDEX('Rooms Walls and Glass'!$D$53:$AB$57, MATCH($D45,'Rooms Walls and Glass'!$A$53:$A$57,0), MATCH('Unit 3 a'!AM$7,'Rooms Walls and Glass'!$D$1:$AB$1,0))=0,"",INDEX('Rooms Walls and Glass'!$D$53:$AB$57, MATCH($D45,'Rooms Walls and Glass'!$A$53:$A$57,0), MATCH('Unit 3 a'!AM$7,'Rooms Walls and Glass'!$D$1:$AB$1,0))))</f>
        <v/>
      </c>
      <c r="AN45" s="69" t="str">
        <f t="shared" si="28"/>
        <v>-</v>
      </c>
    </row>
    <row r="46" spans="2:40" ht="11.25" customHeight="1" thickBot="1" x14ac:dyDescent="0.2">
      <c r="B46" s="213"/>
      <c r="C46" s="17" t="s">
        <v>44</v>
      </c>
      <c r="D46" s="18" t="s">
        <v>52</v>
      </c>
      <c r="E46" s="18">
        <v>0</v>
      </c>
      <c r="F46" s="14">
        <f>INDEX(Summary!$F$19:$F$30,MATCH('Unit 3 a'!C46,Summary!$D$19:$D$30,0))</f>
        <v>0.1</v>
      </c>
      <c r="G46" s="14">
        <f t="shared" si="29"/>
        <v>0</v>
      </c>
      <c r="H46" s="18" t="s">
        <v>6</v>
      </c>
      <c r="I46" s="65">
        <f t="shared" si="13"/>
        <v>0</v>
      </c>
      <c r="J46" s="70">
        <f t="shared" si="14"/>
        <v>0</v>
      </c>
      <c r="K46" s="66" t="str">
        <f>IF(K$7="","",IF(INDEX('Rooms Walls and Glass'!$D$53:$AB$57, MATCH($D46,'Rooms Walls and Glass'!$A$53:$A$57,0), MATCH('Unit 3 a'!K$7,'Rooms Walls and Glass'!$D$1:$AB$1,0))=0,"",INDEX('Rooms Walls and Glass'!$D$53:$AB$57, MATCH($D46,'Rooms Walls and Glass'!$A$53:$A$57,0), MATCH('Unit 3 a'!K$7,'Rooms Walls and Glass'!$D$1:$AB$1,0))))</f>
        <v/>
      </c>
      <c r="L46" s="70" t="str">
        <f t="shared" si="15"/>
        <v>-</v>
      </c>
      <c r="M46" s="66" t="str">
        <f>IF(M$7="","",IF(INDEX('Rooms Walls and Glass'!$D$53:$AB$57, MATCH($D46,'Rooms Walls and Glass'!$A$53:$A$57,0), MATCH('Unit 3 a'!M$7,'Rooms Walls and Glass'!$D$1:$AB$1,0))=0,"",INDEX('Rooms Walls and Glass'!$D$53:$AB$57, MATCH($D46,'Rooms Walls and Glass'!$A$53:$A$57,0), MATCH('Unit 3 a'!M$7,'Rooms Walls and Glass'!$D$1:$AB$1,0))))</f>
        <v/>
      </c>
      <c r="N46" s="70" t="str">
        <f t="shared" si="16"/>
        <v>-</v>
      </c>
      <c r="O46" s="66" t="str">
        <f>IF(O$7="","",IF(INDEX('Rooms Walls and Glass'!$D$53:$AB$57, MATCH($D46,'Rooms Walls and Glass'!$A$53:$A$57,0), MATCH('Unit 3 a'!O$7,'Rooms Walls and Glass'!$D$1:$AB$1,0))=0,"",INDEX('Rooms Walls and Glass'!$D$53:$AB$57, MATCH($D46,'Rooms Walls and Glass'!$A$53:$A$57,0), MATCH('Unit 3 a'!O$7,'Rooms Walls and Glass'!$D$1:$AB$1,0))))</f>
        <v/>
      </c>
      <c r="P46" s="70" t="str">
        <f t="shared" si="17"/>
        <v>-</v>
      </c>
      <c r="Q46" s="66" t="str">
        <f>IF(Q$7="","",IF(INDEX('Rooms Walls and Glass'!$D$53:$AB$57, MATCH($D46,'Rooms Walls and Glass'!$A$53:$A$57,0), MATCH('Unit 3 a'!Q$7,'Rooms Walls and Glass'!$D$1:$AB$1,0))=0,"",INDEX('Rooms Walls and Glass'!$D$53:$AB$57, MATCH($D46,'Rooms Walls and Glass'!$A$53:$A$57,0), MATCH('Unit 3 a'!Q$7,'Rooms Walls and Glass'!$D$1:$AB$1,0))))</f>
        <v/>
      </c>
      <c r="R46" s="70" t="str">
        <f t="shared" si="18"/>
        <v>-</v>
      </c>
      <c r="S46" s="66" t="str">
        <f>IF(S$7="","",IF(INDEX('Rooms Walls and Glass'!$D$53:$AB$57, MATCH($D46,'Rooms Walls and Glass'!$A$53:$A$57,0), MATCH('Unit 3 a'!S$7,'Rooms Walls and Glass'!$D$1:$AB$1,0))=0,"",INDEX('Rooms Walls and Glass'!$D$53:$AB$57, MATCH($D46,'Rooms Walls and Glass'!$A$53:$A$57,0), MATCH('Unit 3 a'!S$7,'Rooms Walls and Glass'!$D$1:$AB$1,0))))</f>
        <v/>
      </c>
      <c r="T46" s="70" t="str">
        <f t="shared" si="19"/>
        <v>-</v>
      </c>
      <c r="U46" s="66" t="str">
        <f>IF(U$7="","",IF(INDEX('Rooms Walls and Glass'!$D$53:$AB$57, MATCH($D46,'Rooms Walls and Glass'!$A$53:$A$57,0), MATCH('Unit 3 a'!U$7,'Rooms Walls and Glass'!$D$1:$AB$1,0))=0,"",INDEX('Rooms Walls and Glass'!$D$53:$AB$57, MATCH($D46,'Rooms Walls and Glass'!$A$53:$A$57,0), MATCH('Unit 3 a'!U$7,'Rooms Walls and Glass'!$D$1:$AB$1,0))))</f>
        <v/>
      </c>
      <c r="V46" s="70" t="str">
        <f t="shared" si="20"/>
        <v>-</v>
      </c>
      <c r="W46" s="66" t="str">
        <f>IF(W$7="","",IF(INDEX('Rooms Walls and Glass'!$D$53:$AB$57, MATCH($D46,'Rooms Walls and Glass'!$A$53:$A$57,0), MATCH('Unit 3 a'!W$7,'Rooms Walls and Glass'!$D$1:$AB$1,0))=0,"",INDEX('Rooms Walls and Glass'!$D$53:$AB$57, MATCH($D46,'Rooms Walls and Glass'!$A$53:$A$57,0), MATCH('Unit 3 a'!W$7,'Rooms Walls and Glass'!$D$1:$AB$1,0))))</f>
        <v/>
      </c>
      <c r="X46" s="70" t="str">
        <f t="shared" si="21"/>
        <v>-</v>
      </c>
      <c r="Y46" s="66" t="str">
        <f>IF(Y$7="","",IF(INDEX('Rooms Walls and Glass'!$D$53:$AB$57, MATCH($D46,'Rooms Walls and Glass'!$A$53:$A$57,0), MATCH('Unit 3 a'!Y$7,'Rooms Walls and Glass'!$D$1:$AB$1,0))=0,"",INDEX('Rooms Walls and Glass'!$D$53:$AB$57, MATCH($D46,'Rooms Walls and Glass'!$A$53:$A$57,0), MATCH('Unit 3 a'!Y$7,'Rooms Walls and Glass'!$D$1:$AB$1,0))))</f>
        <v/>
      </c>
      <c r="Z46" s="70" t="str">
        <f t="shared" si="22"/>
        <v>-</v>
      </c>
      <c r="AA46" s="66" t="str">
        <f>IF(AA$7="","",IF(INDEX('Rooms Walls and Glass'!$D$53:$AB$57, MATCH($D46,'Rooms Walls and Glass'!$A$53:$A$57,0), MATCH('Unit 3 a'!AA$7,'Rooms Walls and Glass'!$D$1:$AB$1,0))=0,"",INDEX('Rooms Walls and Glass'!$D$53:$AB$57, MATCH($D46,'Rooms Walls and Glass'!$A$53:$A$57,0), MATCH('Unit 3 a'!AA$7,'Rooms Walls and Glass'!$D$1:$AB$1,0))))</f>
        <v/>
      </c>
      <c r="AB46" s="70" t="str">
        <f t="shared" si="23"/>
        <v>-</v>
      </c>
      <c r="AC46" s="66" t="str">
        <f>IF(AC$7="","",IF(INDEX('Rooms Walls and Glass'!$D$53:$AB$57, MATCH($D46,'Rooms Walls and Glass'!$A$53:$A$57,0), MATCH('Unit 3 a'!AC$7,'Rooms Walls and Glass'!$D$1:$AB$1,0))=0,"",INDEX('Rooms Walls and Glass'!$D$53:$AB$57, MATCH($D46,'Rooms Walls and Glass'!$A$53:$A$57,0), MATCH('Unit 3 a'!AC$7,'Rooms Walls and Glass'!$D$1:$AB$1,0))))</f>
        <v/>
      </c>
      <c r="AD46" s="70" t="str">
        <f t="shared" si="30"/>
        <v>-</v>
      </c>
      <c r="AE46" s="66" t="str">
        <f>IF(AE$7="","",IF(INDEX('Rooms Walls and Glass'!$D$53:$AB$57, MATCH($D46,'Rooms Walls and Glass'!$A$53:$A$57,0), MATCH('Unit 3 a'!AE$7,'Rooms Walls and Glass'!$D$1:$AB$1,0))=0,"",INDEX('Rooms Walls and Glass'!$D$53:$AB$57, MATCH($D46,'Rooms Walls and Glass'!$A$53:$A$57,0), MATCH('Unit 3 a'!AE$7,'Rooms Walls and Glass'!$D$1:$AB$1,0))))</f>
        <v/>
      </c>
      <c r="AF46" s="70" t="str">
        <f t="shared" si="31"/>
        <v>-</v>
      </c>
      <c r="AG46" s="66" t="str">
        <f>IF(AG$7="","",IF(INDEX('Rooms Walls and Glass'!$D$53:$AB$57, MATCH($D46,'Rooms Walls and Glass'!$A$53:$A$57,0), MATCH('Unit 3 a'!AG$7,'Rooms Walls and Glass'!$D$1:$AB$1,0))=0,"",INDEX('Rooms Walls and Glass'!$D$53:$AB$57, MATCH($D46,'Rooms Walls and Glass'!$A$53:$A$57,0), MATCH('Unit 3 a'!AG$7,'Rooms Walls and Glass'!$D$1:$AB$1,0))))</f>
        <v/>
      </c>
      <c r="AH46" s="70" t="str">
        <f t="shared" si="25"/>
        <v>-</v>
      </c>
      <c r="AI46" s="66" t="str">
        <f>IF(AI$7="","",IF(INDEX('Rooms Walls and Glass'!$D$53:$AB$57, MATCH($D46,'Rooms Walls and Glass'!$A$53:$A$57,0), MATCH('Unit 3 a'!AI$7,'Rooms Walls and Glass'!$D$1:$AB$1,0))=0,"",INDEX('Rooms Walls and Glass'!$D$53:$AB$57, MATCH($D46,'Rooms Walls and Glass'!$A$53:$A$57,0), MATCH('Unit 3 a'!AI$7,'Rooms Walls and Glass'!$D$1:$AB$1,0))))</f>
        <v/>
      </c>
      <c r="AJ46" s="71" t="str">
        <f t="shared" si="26"/>
        <v>-</v>
      </c>
      <c r="AK46" s="66" t="str">
        <f>IF(AK$7="","",IF(INDEX('Rooms Walls and Glass'!$D$53:$AB$57, MATCH($D46,'Rooms Walls and Glass'!$A$53:$A$57,0), MATCH('Unit 3 a'!AK$7,'Rooms Walls and Glass'!$D$1:$AB$1,0))=0,"",INDEX('Rooms Walls and Glass'!$D$53:$AB$57, MATCH($D46,'Rooms Walls and Glass'!$A$53:$A$57,0), MATCH('Unit 3 a'!AK$7,'Rooms Walls and Glass'!$D$1:$AB$1,0))))</f>
        <v/>
      </c>
      <c r="AL46" s="70" t="str">
        <f t="shared" si="27"/>
        <v>-</v>
      </c>
      <c r="AM46" s="66" t="str">
        <f>IF(AM$7="","",IF(INDEX('Rooms Walls and Glass'!$D$53:$AB$57, MATCH($D46,'Rooms Walls and Glass'!$A$53:$A$57,0), MATCH('Unit 3 a'!AM$7,'Rooms Walls and Glass'!$D$1:$AB$1,0))=0,"",INDEX('Rooms Walls and Glass'!$D$53:$AB$57, MATCH($D46,'Rooms Walls and Glass'!$A$53:$A$57,0), MATCH('Unit 3 a'!AM$7,'Rooms Walls and Glass'!$D$1:$AB$1,0))))</f>
        <v/>
      </c>
      <c r="AN46" s="71" t="str">
        <f t="shared" si="28"/>
        <v>-</v>
      </c>
    </row>
    <row r="47" spans="2:40" ht="11.25" customHeight="1" thickBot="1" x14ac:dyDescent="0.2">
      <c r="B47" s="238" t="s">
        <v>76</v>
      </c>
      <c r="C47" s="13"/>
      <c r="D47" s="231" t="s">
        <v>53</v>
      </c>
      <c r="E47" s="225"/>
      <c r="F47" s="226"/>
      <c r="G47" s="14">
        <v>255</v>
      </c>
      <c r="H47" s="13" t="s">
        <v>6</v>
      </c>
      <c r="I47" s="41">
        <f>SUM(K47,M47,O47,Q47,U47,W47,Y47,AA47,AC47,AE47,AG47,AI47,S47,AK47,AM47)</f>
        <v>0</v>
      </c>
      <c r="J47" s="65">
        <f t="shared" si="14"/>
        <v>0</v>
      </c>
      <c r="K47" s="66" t="str">
        <f>IF(K$7="","",IF(INDEX('Rooms Walls and Glass'!$D$3:$AB$4, MATCH($D47,'Rooms Walls and Glass'!$A$3:$A$4,0), MATCH('Unit 3 a'!K$7,'Rooms Walls and Glass'!$D$1:$AB$1,0))=0,"",INDEX('Rooms Walls and Glass'!$D$3:$AB$4, MATCH($D47,'Rooms Walls and Glass'!$A$3:$A$4,0), MATCH('Unit 3 a'!K$7,'Rooms Walls and Glass'!$D$1:$AB$1,0))))</f>
        <v/>
      </c>
      <c r="L47" s="65" t="str">
        <f t="shared" si="15"/>
        <v>-</v>
      </c>
      <c r="M47" s="66" t="str">
        <f>IF(M$7="","",IF(INDEX('Rooms Walls and Glass'!$D$3:$AB$4, MATCH($D47,'Rooms Walls and Glass'!$A$3:$A$4,0), MATCH('Unit 3 a'!M$7,'Rooms Walls and Glass'!$D$1:$AB$1,0))=0,"",INDEX('Rooms Walls and Glass'!$D$3:$AB$4, MATCH($D47,'Rooms Walls and Glass'!$A$3:$A$4,0), MATCH('Unit 3 a'!M$7,'Rooms Walls and Glass'!$D$1:$AB$1,0))))</f>
        <v/>
      </c>
      <c r="N47" s="65" t="str">
        <f t="shared" si="16"/>
        <v>-</v>
      </c>
      <c r="O47" s="66" t="str">
        <f>IF(O$7="","",IF(INDEX('Rooms Walls and Glass'!$D$3:$AB$4, MATCH($D47,'Rooms Walls and Glass'!$A$3:$A$4,0), MATCH('Unit 3 a'!O$7,'Rooms Walls and Glass'!$D$1:$AB$1,0))=0,"",INDEX('Rooms Walls and Glass'!$D$3:$AB$4, MATCH($D47,'Rooms Walls and Glass'!$A$3:$A$4,0), MATCH('Unit 3 a'!O$7,'Rooms Walls and Glass'!$D$1:$AB$1,0))))</f>
        <v/>
      </c>
      <c r="P47" s="65" t="str">
        <f t="shared" si="17"/>
        <v>-</v>
      </c>
      <c r="Q47" s="66" t="str">
        <f>IF(Q$7="","",IF(INDEX('Rooms Walls and Glass'!$D$3:$AB$4, MATCH($D47,'Rooms Walls and Glass'!$A$3:$A$4,0), MATCH('Unit 3 a'!Q$7,'Rooms Walls and Glass'!$D$1:$AB$1,0))=0,"",INDEX('Rooms Walls and Glass'!$D$3:$AB$4, MATCH($D47,'Rooms Walls and Glass'!$A$3:$A$4,0), MATCH('Unit 3 a'!Q$7,'Rooms Walls and Glass'!$D$1:$AB$1,0))))</f>
        <v/>
      </c>
      <c r="R47" s="65" t="str">
        <f t="shared" si="18"/>
        <v>-</v>
      </c>
      <c r="S47" s="66" t="str">
        <f>IF(S$7="","",IF(INDEX('Rooms Walls and Glass'!$D$3:$AB$4, MATCH($D47,'Rooms Walls and Glass'!$A$3:$A$4,0), MATCH('Unit 3 a'!S$7,'Rooms Walls and Glass'!$D$1:$AB$1,0))=0,"",INDEX('Rooms Walls and Glass'!$D$3:$AB$4, MATCH($D47,'Rooms Walls and Glass'!$A$3:$A$4,0), MATCH('Unit 3 a'!S$7,'Rooms Walls and Glass'!$D$1:$AB$1,0))))</f>
        <v/>
      </c>
      <c r="T47" s="65" t="str">
        <f t="shared" si="19"/>
        <v>-</v>
      </c>
      <c r="U47" s="66" t="str">
        <f>IF(U$7="","",IF(INDEX('Rooms Walls and Glass'!$D$3:$AB$4, MATCH($D47,'Rooms Walls and Glass'!$A$3:$A$4,0), MATCH('Unit 3 a'!U$7,'Rooms Walls and Glass'!$D$1:$AB$1,0))=0,"",INDEX('Rooms Walls and Glass'!$D$3:$AB$4, MATCH($D47,'Rooms Walls and Glass'!$A$3:$A$4,0), MATCH('Unit 3 a'!U$7,'Rooms Walls and Glass'!$D$1:$AB$1,0))))</f>
        <v/>
      </c>
      <c r="V47" s="65" t="str">
        <f t="shared" si="20"/>
        <v>-</v>
      </c>
      <c r="W47" s="66" t="str">
        <f>IF(W$7="","",IF(INDEX('Rooms Walls and Glass'!$D$3:$AB$4, MATCH($D47,'Rooms Walls and Glass'!$A$3:$A$4,0), MATCH('Unit 3 a'!W$7,'Rooms Walls and Glass'!$D$1:$AB$1,0))=0,"",INDEX('Rooms Walls and Glass'!$D$3:$AB$4, MATCH($D47,'Rooms Walls and Glass'!$A$3:$A$4,0), MATCH('Unit 3 a'!W$7,'Rooms Walls and Glass'!$D$1:$AB$1,0))))</f>
        <v/>
      </c>
      <c r="X47" s="65" t="str">
        <f t="shared" si="21"/>
        <v>-</v>
      </c>
      <c r="Y47" s="66" t="str">
        <f>IF(Y$7="","",IF(INDEX('Rooms Walls and Glass'!$D$3:$AB$4, MATCH($D47,'Rooms Walls and Glass'!$A$3:$A$4,0), MATCH('Unit 3 a'!Y$7,'Rooms Walls and Glass'!$D$1:$AB$1,0))=0,"",INDEX('Rooms Walls and Glass'!$D$3:$AB$4, MATCH($D47,'Rooms Walls and Glass'!$A$3:$A$4,0), MATCH('Unit 3 a'!Y$7,'Rooms Walls and Glass'!$D$1:$AB$1,0))))</f>
        <v/>
      </c>
      <c r="Z47" s="65" t="str">
        <f t="shared" si="22"/>
        <v>-</v>
      </c>
      <c r="AA47" s="66" t="str">
        <f>IF(AA$7="","",IF(INDEX('Rooms Walls and Glass'!$D$3:$AB$4, MATCH($D47,'Rooms Walls and Glass'!$A$3:$A$4,0), MATCH('Unit 3 a'!AA$7,'Rooms Walls and Glass'!$D$1:$AB$1,0))=0,"",INDEX('Rooms Walls and Glass'!$D$3:$AB$4, MATCH($D47,'Rooms Walls and Glass'!$A$3:$A$4,0), MATCH('Unit 3 a'!AA$7,'Rooms Walls and Glass'!$D$1:$AB$1,0))))</f>
        <v/>
      </c>
      <c r="AB47" s="65" t="str">
        <f t="shared" si="23"/>
        <v>-</v>
      </c>
      <c r="AC47" s="66" t="str">
        <f>IF(AC$7="","",IF(INDEX('Rooms Walls and Glass'!$D$3:$AB$4, MATCH($D47,'Rooms Walls and Glass'!$A$3:$A$4,0), MATCH('Unit 3 a'!AC$7,'Rooms Walls and Glass'!$D$1:$AB$1,0))=0,"",INDEX('Rooms Walls and Glass'!$D$3:$AB$4, MATCH($D47,'Rooms Walls and Glass'!$A$3:$A$4,0), MATCH('Unit 3 a'!AC$7,'Rooms Walls and Glass'!$D$1:$AB$1,0))))</f>
        <v/>
      </c>
      <c r="AD47" s="65" t="str">
        <f t="shared" si="30"/>
        <v>-</v>
      </c>
      <c r="AE47" s="66" t="str">
        <f>IF(AE$7="","",IF(INDEX('Rooms Walls and Glass'!$D$3:$AB$4, MATCH($D47,'Rooms Walls and Glass'!$A$3:$A$4,0), MATCH('Unit 3 a'!AE$7,'Rooms Walls and Glass'!$D$1:$AB$1,0))=0,"",INDEX('Rooms Walls and Glass'!$D$3:$AB$4, MATCH($D47,'Rooms Walls and Glass'!$A$3:$A$4,0), MATCH('Unit 3 a'!AE$7,'Rooms Walls and Glass'!$D$1:$AB$1,0))))</f>
        <v/>
      </c>
      <c r="AF47" s="65" t="str">
        <f t="shared" si="31"/>
        <v>-</v>
      </c>
      <c r="AG47" s="66" t="str">
        <f>IF(AG$7="","",IF(INDEX('Rooms Walls and Glass'!$D$3:$AB$4, MATCH($D47,'Rooms Walls and Glass'!$A$3:$A$4,0), MATCH('Unit 3 a'!AG$7,'Rooms Walls and Glass'!$D$1:$AB$1,0))=0,"",INDEX('Rooms Walls and Glass'!$D$3:$AB$4, MATCH($D47,'Rooms Walls and Glass'!$A$3:$A$4,0), MATCH('Unit 3 a'!AG$7,'Rooms Walls and Glass'!$D$1:$AB$1,0))))</f>
        <v/>
      </c>
      <c r="AH47" s="65" t="str">
        <f t="shared" si="25"/>
        <v>-</v>
      </c>
      <c r="AI47" s="66" t="str">
        <f>IF(AI$7="","",IF(INDEX('Rooms Walls and Glass'!$D$3:$AB$4, MATCH($D47,'Rooms Walls and Glass'!$A$3:$A$4,0), MATCH('Unit 3 a'!AI$7,'Rooms Walls and Glass'!$D$1:$AB$1,0))=0,"",INDEX('Rooms Walls and Glass'!$D$3:$AB$4, MATCH($D47,'Rooms Walls and Glass'!$A$3:$A$4,0), MATCH('Unit 3 a'!AI$7,'Rooms Walls and Glass'!$D$1:$AB$1,0))))</f>
        <v/>
      </c>
      <c r="AJ47" s="67" t="str">
        <f t="shared" si="26"/>
        <v>-</v>
      </c>
      <c r="AK47" s="66" t="str">
        <f>IF(AK$7="","",IF(INDEX('Rooms Walls and Glass'!$D$3:$AB$4, MATCH($D47,'Rooms Walls and Glass'!$A$3:$A$4,0), MATCH('Unit 3 a'!AK$7,'Rooms Walls and Glass'!$D$1:$AB$1,0))=0,"",INDEX('Rooms Walls and Glass'!$D$3:$AB$4, MATCH($D47,'Rooms Walls and Glass'!$A$3:$A$4,0), MATCH('Unit 3 a'!AK$7,'Rooms Walls and Glass'!$D$1:$AB$1,0))))</f>
        <v/>
      </c>
      <c r="AL47" s="65" t="str">
        <f t="shared" si="27"/>
        <v>-</v>
      </c>
      <c r="AM47" s="66" t="str">
        <f>IF(AM$7="","",IF(INDEX('Rooms Walls and Glass'!$D$3:$AB$4, MATCH($D47,'Rooms Walls and Glass'!$A$3:$A$4,0), MATCH('Unit 3 a'!AM$7,'Rooms Walls and Glass'!$D$1:$AB$1,0))=0,"",INDEX('Rooms Walls and Glass'!$D$3:$AB$4, MATCH($D47,'Rooms Walls and Glass'!$A$3:$A$4,0), MATCH('Unit 3 a'!AM$7,'Rooms Walls and Glass'!$D$1:$AB$1,0))))</f>
        <v/>
      </c>
      <c r="AN47" s="67" t="str">
        <f t="shared" si="28"/>
        <v>-</v>
      </c>
    </row>
    <row r="48" spans="2:40" ht="11.25" customHeight="1" thickBot="1" x14ac:dyDescent="0.2">
      <c r="B48" s="239"/>
      <c r="C48" s="16"/>
      <c r="D48" s="232" t="s">
        <v>235</v>
      </c>
      <c r="E48" s="233"/>
      <c r="F48" s="234"/>
      <c r="G48" s="16">
        <v>3.4129999999999998</v>
      </c>
      <c r="H48" s="16" t="s">
        <v>6</v>
      </c>
      <c r="I48" s="68">
        <f>J48/G48</f>
        <v>0</v>
      </c>
      <c r="J48" s="68">
        <f>SUM(L48,N48,P48,R48,T48,V48,X48,Z48,AB48,AD48,AF48,AH48,AJ48,AL48,AN48)</f>
        <v>0</v>
      </c>
      <c r="K48" s="72" t="str">
        <f>IF(SUM(K44:K46)/2=0,"",SUM(K44:K46)/2)</f>
        <v/>
      </c>
      <c r="L48" s="68" t="str">
        <f>IF(K48="","-",ROUND(K48,0)*$G48)</f>
        <v>-</v>
      </c>
      <c r="M48" s="72" t="str">
        <f>IF(SUM(M44:M46)/2=0,"",SUM(M44:M46)/2)</f>
        <v/>
      </c>
      <c r="N48" s="68" t="str">
        <f>IF(M48="","-",ROUND(M48,0)*$G48)</f>
        <v>-</v>
      </c>
      <c r="O48" s="72" t="str">
        <f>IF(SUM(O44:O46)/2=0,"",SUM(O44:O46)/2)</f>
        <v/>
      </c>
      <c r="P48" s="68" t="str">
        <f>IF(O48="","-",ROUND(O48,0)*$G48)</f>
        <v>-</v>
      </c>
      <c r="Q48" s="72" t="str">
        <f>IF(SUM(Q44:Q46)/2=0,"",SUM(Q44:Q46)/2)</f>
        <v/>
      </c>
      <c r="R48" s="68" t="str">
        <f>IF(Q48="","-",ROUND(Q48,0)*$G48)</f>
        <v>-</v>
      </c>
      <c r="S48" s="72" t="str">
        <f>IF(SUM(S44:S46)/2=0,"",SUM(S44:S46)/2)</f>
        <v/>
      </c>
      <c r="T48" s="68" t="str">
        <f>IF(S48="","-",ROUND(S48,0)*$G48)</f>
        <v>-</v>
      </c>
      <c r="U48" s="72" t="str">
        <f>IF(SUM(U44:U46)/2=0,"",SUM(U44:U46)/2)</f>
        <v/>
      </c>
      <c r="V48" s="68" t="str">
        <f>IF(U48="","-",ROUND(U48,0)*$G48)</f>
        <v>-</v>
      </c>
      <c r="W48" s="72" t="str">
        <f>IF(SUM(W44:W46)/2=0,"",SUM(W44:W46)/2)</f>
        <v/>
      </c>
      <c r="X48" s="68" t="str">
        <f>IF(W48="","-",ROUND(W48,0)*$G48)</f>
        <v>-</v>
      </c>
      <c r="Y48" s="72" t="str">
        <f>IF(SUM(Y44:Y46)/2=0,"",SUM(Y44:Y46)/2)</f>
        <v/>
      </c>
      <c r="Z48" s="68" t="str">
        <f>IF(Y48="","-",ROUND(Y48,0)*$G48)</f>
        <v>-</v>
      </c>
      <c r="AA48" s="72" t="str">
        <f>IF(SUM(AA44:AA46)/2=0,"",SUM(AA44:AA46)/2)</f>
        <v/>
      </c>
      <c r="AB48" s="68" t="str">
        <f>IF(AA48="","-",ROUND(AA48,0)*$G48)</f>
        <v>-</v>
      </c>
      <c r="AC48" s="72" t="str">
        <f>IF(SUM(AC44:AC46)/2=0,"",SUM(AC44:AC46)/2)</f>
        <v/>
      </c>
      <c r="AD48" s="68" t="str">
        <f>IF(AC48="","-",ROUND(AC48,0)*$G48)</f>
        <v>-</v>
      </c>
      <c r="AE48" s="72" t="str">
        <f>IF(SUM(AE44:AE46)/2=0,"",SUM(AE44:AE46)/2)</f>
        <v/>
      </c>
      <c r="AF48" s="68" t="str">
        <f>IF(AE48="","-",ROUND(AE48,0)*$G48)</f>
        <v>-</v>
      </c>
      <c r="AG48" s="72" t="str">
        <f>IF(SUM(AG44:AG46)/2=0,"",SUM(AG44:AG46)/2)</f>
        <v/>
      </c>
      <c r="AH48" s="68" t="str">
        <f>IF(AG48="","-",ROUND(AG48,0)*$G48)</f>
        <v>-</v>
      </c>
      <c r="AI48" s="72" t="str">
        <f>IF(SUM(AI44:AI46)/2=0,"",SUM(AI44:AI46)/2)</f>
        <v/>
      </c>
      <c r="AJ48" s="68" t="str">
        <f>IF(AI48="","-",ROUND(AI48,0)*$G48)</f>
        <v>-</v>
      </c>
      <c r="AK48" s="72" t="str">
        <f>IF(SUM(AK44:AK46)/2=0,"",SUM(AK44:AK46)/2)</f>
        <v/>
      </c>
      <c r="AL48" s="68" t="str">
        <f>IF(AK48="","-",ROUND(AK48,0)*$G48)</f>
        <v>-</v>
      </c>
      <c r="AM48" s="72" t="str">
        <f>IF(SUM(AM44:AM46)/2=0,"",SUM(AM44:AM46)/2)</f>
        <v/>
      </c>
      <c r="AN48" s="68" t="str">
        <f>IF(AM48="","-",ROUND(AM48,0)*$G48)</f>
        <v>-</v>
      </c>
    </row>
    <row r="49" spans="2:40" ht="11.25" customHeight="1" thickBot="1" x14ac:dyDescent="0.2">
      <c r="B49" s="240"/>
      <c r="C49" s="11"/>
      <c r="D49" s="232" t="s">
        <v>236</v>
      </c>
      <c r="E49" s="233"/>
      <c r="F49" s="234"/>
      <c r="G49" s="11">
        <v>3.4129999999999998</v>
      </c>
      <c r="H49" s="20" t="s">
        <v>6</v>
      </c>
      <c r="I49" s="41">
        <f>SUM(K49,M49,O49,Q49,U49,W49,Y49,AA49,AC49,AE49,AG49,AI49,S49,AK49,AM49)</f>
        <v>0</v>
      </c>
      <c r="J49" s="70">
        <f t="shared" si="14"/>
        <v>0</v>
      </c>
      <c r="K49" s="66" t="str">
        <f>IF(K$7="","",IF(INDEX('Rooms Walls and Glass'!$D$3:$AB$4, MATCH($D49,'Rooms Walls and Glass'!$A$3:$A$4,0), MATCH('Unit 3 a'!K$7,'Rooms Walls and Glass'!$D$1:$AB$1,0))=0,"",INDEX('Rooms Walls and Glass'!$D$3:$AB$4, MATCH($D49,'Rooms Walls and Glass'!$A$3:$A$4,0), MATCH('Unit 3 a'!K$7,'Rooms Walls and Glass'!$D$1:$AB$1,0))))</f>
        <v/>
      </c>
      <c r="L49" s="70" t="str">
        <f t="shared" si="15"/>
        <v>-</v>
      </c>
      <c r="M49" s="66" t="str">
        <f>IF(M$7="","",IF(INDEX('Rooms Walls and Glass'!$D$3:$AB$4, MATCH($D49,'Rooms Walls and Glass'!$A$3:$A$4,0), MATCH('Unit 3 a'!M$7,'Rooms Walls and Glass'!$D$1:$AB$1,0))=0,"",INDEX('Rooms Walls and Glass'!$D$3:$AB$4, MATCH($D49,'Rooms Walls and Glass'!$A$3:$A$4,0), MATCH('Unit 3 a'!M$7,'Rooms Walls and Glass'!$D$1:$AB$1,0))))</f>
        <v/>
      </c>
      <c r="N49" s="70" t="str">
        <f t="shared" si="16"/>
        <v>-</v>
      </c>
      <c r="O49" s="66" t="str">
        <f>IF(O$7="","",IF(INDEX('Rooms Walls and Glass'!$D$3:$AB$4, MATCH($D49,'Rooms Walls and Glass'!$A$3:$A$4,0), MATCH('Unit 3 a'!O$7,'Rooms Walls and Glass'!$D$1:$AB$1,0))=0,"",INDEX('Rooms Walls and Glass'!$D$3:$AB$4, MATCH($D49,'Rooms Walls and Glass'!$A$3:$A$4,0), MATCH('Unit 3 a'!O$7,'Rooms Walls and Glass'!$D$1:$AB$1,0))))</f>
        <v/>
      </c>
      <c r="P49" s="70" t="str">
        <f t="shared" si="17"/>
        <v>-</v>
      </c>
      <c r="Q49" s="66" t="str">
        <f>IF(Q$7="","",IF(INDEX('Rooms Walls and Glass'!$D$3:$AB$4, MATCH($D49,'Rooms Walls and Glass'!$A$3:$A$4,0), MATCH('Unit 3 a'!Q$7,'Rooms Walls and Glass'!$D$1:$AB$1,0))=0,"",INDEX('Rooms Walls and Glass'!$D$3:$AB$4, MATCH($D49,'Rooms Walls and Glass'!$A$3:$A$4,0), MATCH('Unit 3 a'!Q$7,'Rooms Walls and Glass'!$D$1:$AB$1,0))))</f>
        <v/>
      </c>
      <c r="R49" s="70" t="str">
        <f t="shared" si="18"/>
        <v>-</v>
      </c>
      <c r="S49" s="66" t="str">
        <f>IF(S$7="","",IF(INDEX('Rooms Walls and Glass'!$D$3:$AB$4, MATCH($D49,'Rooms Walls and Glass'!$A$3:$A$4,0), MATCH('Unit 3 a'!S$7,'Rooms Walls and Glass'!$D$1:$AB$1,0))=0,"",INDEX('Rooms Walls and Glass'!$D$3:$AB$4, MATCH($D49,'Rooms Walls and Glass'!$A$3:$A$4,0), MATCH('Unit 3 a'!S$7,'Rooms Walls and Glass'!$D$1:$AB$1,0))))</f>
        <v/>
      </c>
      <c r="T49" s="70" t="str">
        <f t="shared" si="19"/>
        <v>-</v>
      </c>
      <c r="U49" s="66" t="str">
        <f>IF(U$7="","",IF(INDEX('Rooms Walls and Glass'!$D$3:$AB$4, MATCH($D49,'Rooms Walls and Glass'!$A$3:$A$4,0), MATCH('Unit 3 a'!U$7,'Rooms Walls and Glass'!$D$1:$AB$1,0))=0,"",INDEX('Rooms Walls and Glass'!$D$3:$AB$4, MATCH($D49,'Rooms Walls and Glass'!$A$3:$A$4,0), MATCH('Unit 3 a'!U$7,'Rooms Walls and Glass'!$D$1:$AB$1,0))))</f>
        <v/>
      </c>
      <c r="V49" s="70" t="str">
        <f t="shared" si="20"/>
        <v>-</v>
      </c>
      <c r="W49" s="66" t="str">
        <f>IF(W$7="","",IF(INDEX('Rooms Walls and Glass'!$D$3:$AB$4, MATCH($D49,'Rooms Walls and Glass'!$A$3:$A$4,0), MATCH('Unit 3 a'!W$7,'Rooms Walls and Glass'!$D$1:$AB$1,0))=0,"",INDEX('Rooms Walls and Glass'!$D$3:$AB$4, MATCH($D49,'Rooms Walls and Glass'!$A$3:$A$4,0), MATCH('Unit 3 a'!W$7,'Rooms Walls and Glass'!$D$1:$AB$1,0))))</f>
        <v/>
      </c>
      <c r="X49" s="70" t="str">
        <f t="shared" si="21"/>
        <v>-</v>
      </c>
      <c r="Y49" s="66" t="str">
        <f>IF(Y$7="","",IF(INDEX('Rooms Walls and Glass'!$D$3:$AB$4, MATCH($D49,'Rooms Walls and Glass'!$A$3:$A$4,0), MATCH('Unit 3 a'!Y$7,'Rooms Walls and Glass'!$D$1:$AB$1,0))=0,"",INDEX('Rooms Walls and Glass'!$D$3:$AB$4, MATCH($D49,'Rooms Walls and Glass'!$A$3:$A$4,0), MATCH('Unit 3 a'!Y$7,'Rooms Walls and Glass'!$D$1:$AB$1,0))))</f>
        <v/>
      </c>
      <c r="Z49" s="70" t="str">
        <f t="shared" si="22"/>
        <v>-</v>
      </c>
      <c r="AA49" s="66" t="str">
        <f>IF(AA$7="","",IF(INDEX('Rooms Walls and Glass'!$D$3:$AB$4, MATCH($D49,'Rooms Walls and Glass'!$A$3:$A$4,0), MATCH('Unit 3 a'!AA$7,'Rooms Walls and Glass'!$D$1:$AB$1,0))=0,"",INDEX('Rooms Walls and Glass'!$D$3:$AB$4, MATCH($D49,'Rooms Walls and Glass'!$A$3:$A$4,0), MATCH('Unit 3 a'!AA$7,'Rooms Walls and Glass'!$D$1:$AB$1,0))))</f>
        <v/>
      </c>
      <c r="AB49" s="70" t="str">
        <f t="shared" si="23"/>
        <v>-</v>
      </c>
      <c r="AC49" s="66" t="str">
        <f>IF(AC$7="","",IF(INDEX('Rooms Walls and Glass'!$D$3:$AB$4, MATCH($D49,'Rooms Walls and Glass'!$A$3:$A$4,0), MATCH('Unit 3 a'!AC$7,'Rooms Walls and Glass'!$D$1:$AB$1,0))=0,"",INDEX('Rooms Walls and Glass'!$D$3:$AB$4, MATCH($D49,'Rooms Walls and Glass'!$A$3:$A$4,0), MATCH('Unit 3 a'!AC$7,'Rooms Walls and Glass'!$D$1:$AB$1,0))))</f>
        <v/>
      </c>
      <c r="AD49" s="70" t="str">
        <f t="shared" ref="AD49" si="32">IF(AC49="","-",AC49*$G49)</f>
        <v>-</v>
      </c>
      <c r="AE49" s="66" t="str">
        <f>IF(AE$7="","",IF(INDEX('Rooms Walls and Glass'!$D$3:$AB$4, MATCH($D49,'Rooms Walls and Glass'!$A$3:$A$4,0), MATCH('Unit 3 a'!AE$7,'Rooms Walls and Glass'!$D$1:$AB$1,0))=0,"",INDEX('Rooms Walls and Glass'!$D$3:$AB$4, MATCH($D49,'Rooms Walls and Glass'!$A$3:$A$4,0), MATCH('Unit 3 a'!AE$7,'Rooms Walls and Glass'!$D$1:$AB$1,0))))</f>
        <v/>
      </c>
      <c r="AF49" s="70" t="str">
        <f t="shared" ref="AF49" si="33">IF(AE49="","-",AE49*$G49)</f>
        <v>-</v>
      </c>
      <c r="AG49" s="66" t="str">
        <f>IF(AG$7="","",IF(INDEX('Rooms Walls and Glass'!$D$3:$AB$4, MATCH($D49,'Rooms Walls and Glass'!$A$3:$A$4,0), MATCH('Unit 3 a'!AG$7,'Rooms Walls and Glass'!$D$1:$AB$1,0))=0,"",INDEX('Rooms Walls and Glass'!$D$3:$AB$4, MATCH($D49,'Rooms Walls and Glass'!$A$3:$A$4,0), MATCH('Unit 3 a'!AG$7,'Rooms Walls and Glass'!$D$1:$AB$1,0))))</f>
        <v/>
      </c>
      <c r="AH49" s="70" t="str">
        <f t="shared" si="25"/>
        <v>-</v>
      </c>
      <c r="AI49" s="66" t="str">
        <f>IF(AI$7="","",IF(INDEX('Rooms Walls and Glass'!$D$3:$AB$4, MATCH($D49,'Rooms Walls and Glass'!$A$3:$A$4,0), MATCH('Unit 3 a'!AI$7,'Rooms Walls and Glass'!$D$1:$AB$1,0))=0,"",INDEX('Rooms Walls and Glass'!$D$3:$AB$4, MATCH($D49,'Rooms Walls and Glass'!$A$3:$A$4,0), MATCH('Unit 3 a'!AI$7,'Rooms Walls and Glass'!$D$1:$AB$1,0))))</f>
        <v/>
      </c>
      <c r="AJ49" s="71" t="str">
        <f t="shared" si="26"/>
        <v>-</v>
      </c>
      <c r="AK49" s="66" t="str">
        <f>IF(AK$7="","",IF(INDEX('Rooms Walls and Glass'!$D$3:$AB$4, MATCH($D49,'Rooms Walls and Glass'!$A$3:$A$4,0), MATCH('Unit 3 a'!AK$7,'Rooms Walls and Glass'!$D$1:$AB$1,0))=0,"",INDEX('Rooms Walls and Glass'!$D$3:$AB$4, MATCH($D49,'Rooms Walls and Glass'!$A$3:$A$4,0), MATCH('Unit 3 a'!AK$7,'Rooms Walls and Glass'!$D$1:$AB$1,0))))</f>
        <v/>
      </c>
      <c r="AL49" s="70" t="str">
        <f t="shared" ref="AL49" si="34">IF(AK49="","-",AK49*$G49)</f>
        <v>-</v>
      </c>
      <c r="AM49" s="66" t="str">
        <f>IF(AM$7="","",IF(INDEX('Rooms Walls and Glass'!$D$3:$AB$4, MATCH($D49,'Rooms Walls and Glass'!$A$3:$A$4,0), MATCH('Unit 3 a'!AM$7,'Rooms Walls and Glass'!$D$1:$AB$1,0))=0,"",INDEX('Rooms Walls and Glass'!$D$3:$AB$4, MATCH($D49,'Rooms Walls and Glass'!$A$3:$A$4,0), MATCH('Unit 3 a'!AM$7,'Rooms Walls and Glass'!$D$1:$AB$1,0))))</f>
        <v/>
      </c>
      <c r="AN49" s="71" t="str">
        <f t="shared" ref="AN49" si="35">IF(AM49="","-",AM49*$G49)</f>
        <v>-</v>
      </c>
    </row>
    <row r="50" spans="2:40" ht="11.25" customHeight="1" x14ac:dyDescent="0.15">
      <c r="B50" s="242" t="s">
        <v>54</v>
      </c>
      <c r="C50" s="233"/>
      <c r="D50" s="233"/>
      <c r="E50" s="233"/>
      <c r="F50" s="234"/>
      <c r="G50" s="21"/>
      <c r="H50" s="22" t="s">
        <v>57</v>
      </c>
      <c r="I50" s="73">
        <f>SUM(K50,M50,O50,Q50,U50,W50,Y50,AA50,AC50,AE50,AG50,AI50,S50,AK50,AM50)</f>
        <v>0</v>
      </c>
      <c r="J50" s="74">
        <f>IF(I50="","-",I50*$G50)</f>
        <v>0</v>
      </c>
      <c r="K50" s="75">
        <f>SUM(K44:K46)*K6</f>
        <v>0</v>
      </c>
      <c r="L50" s="74">
        <f>IF(K50="","-",K50*$G50)</f>
        <v>0</v>
      </c>
      <c r="M50" s="75">
        <f>SUM(M44:M46)*M6</f>
        <v>0</v>
      </c>
      <c r="N50" s="74">
        <f>IF(M50="","-",M50*$G50)</f>
        <v>0</v>
      </c>
      <c r="O50" s="75">
        <f>SUM(O44:O46)*O6</f>
        <v>0</v>
      </c>
      <c r="P50" s="74">
        <f>IF(O50="","-",O50*$G50)</f>
        <v>0</v>
      </c>
      <c r="Q50" s="75">
        <f>SUM(Q44:Q46)*Q6</f>
        <v>0</v>
      </c>
      <c r="R50" s="74">
        <f>IF(Q50="","-",Q50*$G50)</f>
        <v>0</v>
      </c>
      <c r="S50" s="75">
        <f>SUM(S44:S46)*S6</f>
        <v>0</v>
      </c>
      <c r="T50" s="74">
        <f>IF(S50="","-",S50*$G50)</f>
        <v>0</v>
      </c>
      <c r="U50" s="75">
        <f>SUM(U44:U46)*U6</f>
        <v>0</v>
      </c>
      <c r="V50" s="74">
        <f>IF(U50="","-",U50*$G50)</f>
        <v>0</v>
      </c>
      <c r="W50" s="75">
        <f>SUM(W44:W46)*W6</f>
        <v>0</v>
      </c>
      <c r="X50" s="74">
        <f>IF(W50="","-",W50*$G50)</f>
        <v>0</v>
      </c>
      <c r="Y50" s="75">
        <f>SUM(Y44:Y46)*Y6</f>
        <v>0</v>
      </c>
      <c r="Z50" s="74">
        <f>IF(Y50="","-",Y50*$G50)</f>
        <v>0</v>
      </c>
      <c r="AA50" s="75">
        <f>SUM(AA44:AA46)*AA6</f>
        <v>0</v>
      </c>
      <c r="AB50" s="74">
        <f>IF(AA50="","-",AA50*$G50)</f>
        <v>0</v>
      </c>
      <c r="AC50" s="75">
        <f>SUM(AC44:AC46)*AC6</f>
        <v>0</v>
      </c>
      <c r="AD50" s="74">
        <f>IF(AC50="","-",AC50*$G50)</f>
        <v>0</v>
      </c>
      <c r="AE50" s="75">
        <f>SUM(AE44:AE46)*AE6</f>
        <v>0</v>
      </c>
      <c r="AF50" s="74">
        <f>IF(AE50="","-",AE50*$G50)</f>
        <v>0</v>
      </c>
      <c r="AG50" s="75">
        <f>SUM(AG44:AG46)*AG6</f>
        <v>0</v>
      </c>
      <c r="AH50" s="74">
        <f>IF(AG50="","-",AG50*$G50)</f>
        <v>0</v>
      </c>
      <c r="AI50" s="75">
        <f>SUM(AI44:AI46)*AI6</f>
        <v>0</v>
      </c>
      <c r="AJ50" s="76">
        <f>IF(AI50="","-",AI50*$G50)</f>
        <v>0</v>
      </c>
      <c r="AK50" s="75">
        <f>SUM(AK44:AK46)*AK6</f>
        <v>0</v>
      </c>
      <c r="AL50" s="74">
        <f>IF(AK50="","-",AK50*$G50)</f>
        <v>0</v>
      </c>
      <c r="AM50" s="75">
        <f>SUM(AM44:AM46)*AM6</f>
        <v>0</v>
      </c>
      <c r="AN50" s="76">
        <f>IF(AM50="","-",AM50*$G50)</f>
        <v>0</v>
      </c>
    </row>
    <row r="51" spans="2:40" ht="11.25" customHeight="1" thickBot="1" x14ac:dyDescent="0.2">
      <c r="B51" s="219" t="s">
        <v>55</v>
      </c>
      <c r="C51" s="220"/>
      <c r="D51" s="220"/>
      <c r="E51" s="23">
        <f>Summary!H13</f>
        <v>0.25</v>
      </c>
      <c r="F51" s="24" t="s">
        <v>56</v>
      </c>
      <c r="G51" s="25">
        <f>IF(E51=0.25,0.09,0.13)</f>
        <v>0.09</v>
      </c>
      <c r="H51" s="26" t="s">
        <v>6</v>
      </c>
      <c r="I51" s="77">
        <f>SUM(K51,M51,O51,Q51,U51,W51,Y51,AA51,AC51,AE51,AG51,AI51,S51,AK51,AM51)</f>
        <v>0</v>
      </c>
      <c r="J51" s="78">
        <f>IF(I50="","-",I50*$G51)</f>
        <v>0</v>
      </c>
      <c r="K51" s="79">
        <f>SUM(K44:K46)</f>
        <v>0</v>
      </c>
      <c r="L51" s="78">
        <f>K50*$G$51</f>
        <v>0</v>
      </c>
      <c r="M51" s="79">
        <f>SUM(M44:M46)</f>
        <v>0</v>
      </c>
      <c r="N51" s="78">
        <f>M50*$G$51</f>
        <v>0</v>
      </c>
      <c r="O51" s="79">
        <f>SUM(O44:O46)</f>
        <v>0</v>
      </c>
      <c r="P51" s="78">
        <f>O50*$G$51</f>
        <v>0</v>
      </c>
      <c r="Q51" s="79">
        <f>SUM(Q44:Q46)</f>
        <v>0</v>
      </c>
      <c r="R51" s="78">
        <f>Q50*$G$51</f>
        <v>0</v>
      </c>
      <c r="S51" s="79">
        <f>SUM(S44:S46)</f>
        <v>0</v>
      </c>
      <c r="T51" s="78">
        <f>S50*$G$51</f>
        <v>0</v>
      </c>
      <c r="U51" s="79">
        <f>SUM(U44:U46)</f>
        <v>0</v>
      </c>
      <c r="V51" s="78">
        <f>U50*$G$51</f>
        <v>0</v>
      </c>
      <c r="W51" s="79">
        <f>SUM(W44:W46)</f>
        <v>0</v>
      </c>
      <c r="X51" s="78">
        <f>W50*$G$51</f>
        <v>0</v>
      </c>
      <c r="Y51" s="79">
        <f>SUM(Y44:Y46)</f>
        <v>0</v>
      </c>
      <c r="Z51" s="78">
        <f>Y50*$G$51</f>
        <v>0</v>
      </c>
      <c r="AA51" s="79">
        <f>SUM(AA44:AA46)</f>
        <v>0</v>
      </c>
      <c r="AB51" s="78">
        <f>AA50*$G$51</f>
        <v>0</v>
      </c>
      <c r="AC51" s="79">
        <f>SUM(AC44:AC46)</f>
        <v>0</v>
      </c>
      <c r="AD51" s="78">
        <f>AC50*$G$51</f>
        <v>0</v>
      </c>
      <c r="AE51" s="79">
        <f>SUM(AE44:AE46)</f>
        <v>0</v>
      </c>
      <c r="AF51" s="78">
        <f>AE50*$G$51</f>
        <v>0</v>
      </c>
      <c r="AG51" s="79">
        <f>SUM(AG44:AG46)</f>
        <v>0</v>
      </c>
      <c r="AH51" s="78">
        <f>AG50*$G$51</f>
        <v>0</v>
      </c>
      <c r="AI51" s="79">
        <f>SUM(AI44:AI46)</f>
        <v>0</v>
      </c>
      <c r="AJ51" s="78">
        <f>AI50*$G$51</f>
        <v>0</v>
      </c>
      <c r="AK51" s="79">
        <f>SUM(AK44:AK46)</f>
        <v>0</v>
      </c>
      <c r="AL51" s="78">
        <f>AK50*$G$51</f>
        <v>0</v>
      </c>
      <c r="AM51" s="79">
        <f>SUM(AM44:AM46)</f>
        <v>0</v>
      </c>
      <c r="AN51" s="78">
        <f>AM50*$G$51</f>
        <v>0</v>
      </c>
    </row>
    <row r="52" spans="2:40" ht="11.25" customHeight="1" x14ac:dyDescent="0.15">
      <c r="B52" s="221" t="s">
        <v>58</v>
      </c>
      <c r="C52" s="222"/>
      <c r="D52" s="222"/>
      <c r="E52" s="222"/>
      <c r="F52" s="222"/>
      <c r="G52" s="222"/>
      <c r="H52" s="223"/>
      <c r="I52" s="31"/>
      <c r="J52" s="65">
        <f>SUM(J9:J51)</f>
        <v>0</v>
      </c>
      <c r="K52" s="80"/>
      <c r="L52" s="65">
        <f t="shared" ref="L52:AJ52" si="36">SUM(L9:L51)</f>
        <v>0</v>
      </c>
      <c r="M52" s="80"/>
      <c r="N52" s="65">
        <f t="shared" si="36"/>
        <v>0</v>
      </c>
      <c r="O52" s="80"/>
      <c r="P52" s="65">
        <f t="shared" si="36"/>
        <v>0</v>
      </c>
      <c r="Q52" s="80"/>
      <c r="R52" s="65">
        <f t="shared" si="36"/>
        <v>0</v>
      </c>
      <c r="S52" s="80"/>
      <c r="T52" s="65">
        <f t="shared" si="36"/>
        <v>0</v>
      </c>
      <c r="U52" s="80"/>
      <c r="V52" s="65">
        <f t="shared" si="36"/>
        <v>0</v>
      </c>
      <c r="W52" s="80"/>
      <c r="X52" s="65">
        <f t="shared" si="36"/>
        <v>0</v>
      </c>
      <c r="Y52" s="80"/>
      <c r="Z52" s="65">
        <f t="shared" si="36"/>
        <v>0</v>
      </c>
      <c r="AA52" s="80"/>
      <c r="AB52" s="65">
        <f t="shared" si="36"/>
        <v>0</v>
      </c>
      <c r="AC52" s="80"/>
      <c r="AD52" s="65">
        <f t="shared" si="36"/>
        <v>0</v>
      </c>
      <c r="AE52" s="80"/>
      <c r="AF52" s="65">
        <f t="shared" si="36"/>
        <v>0</v>
      </c>
      <c r="AG52" s="80"/>
      <c r="AH52" s="65">
        <f t="shared" si="36"/>
        <v>0</v>
      </c>
      <c r="AI52" s="80"/>
      <c r="AJ52" s="67">
        <f t="shared" si="36"/>
        <v>0</v>
      </c>
      <c r="AK52" s="80"/>
      <c r="AL52" s="65">
        <f t="shared" ref="AL52" si="37">SUM(AL9:AL51)</f>
        <v>0</v>
      </c>
      <c r="AM52" s="80"/>
      <c r="AN52" s="67">
        <f t="shared" ref="AN52" si="38">SUM(AN9:AN51)</f>
        <v>0</v>
      </c>
    </row>
    <row r="53" spans="2:40" ht="11.25" customHeight="1" thickBot="1" x14ac:dyDescent="0.2">
      <c r="B53" s="215" t="s">
        <v>59</v>
      </c>
      <c r="C53" s="216"/>
      <c r="D53" s="216"/>
      <c r="E53" s="216"/>
      <c r="F53" s="216"/>
      <c r="G53" s="27">
        <v>0.1</v>
      </c>
      <c r="H53" s="28"/>
      <c r="I53" s="81"/>
      <c r="J53" s="70">
        <f>G53*J52</f>
        <v>0</v>
      </c>
      <c r="K53" s="82"/>
      <c r="L53" s="83" t="str">
        <f t="shared" si="15"/>
        <v>-</v>
      </c>
      <c r="M53" s="82"/>
      <c r="N53" s="83" t="str">
        <f t="shared" si="16"/>
        <v>-</v>
      </c>
      <c r="O53" s="82"/>
      <c r="P53" s="83" t="str">
        <f t="shared" si="17"/>
        <v>-</v>
      </c>
      <c r="Q53" s="82"/>
      <c r="R53" s="83" t="str">
        <f t="shared" si="18"/>
        <v>-</v>
      </c>
      <c r="S53" s="82"/>
      <c r="T53" s="83" t="str">
        <f t="shared" si="19"/>
        <v>-</v>
      </c>
      <c r="U53" s="82"/>
      <c r="V53" s="83" t="str">
        <f t="shared" si="20"/>
        <v>-</v>
      </c>
      <c r="W53" s="82"/>
      <c r="X53" s="83" t="str">
        <f t="shared" si="21"/>
        <v>-</v>
      </c>
      <c r="Y53" s="82"/>
      <c r="Z53" s="83" t="str">
        <f t="shared" si="22"/>
        <v>-</v>
      </c>
      <c r="AA53" s="82"/>
      <c r="AB53" s="83" t="str">
        <f t="shared" si="23"/>
        <v>-</v>
      </c>
      <c r="AC53" s="82"/>
      <c r="AD53" s="83" t="str">
        <f t="shared" ref="AD53:AD55" si="39">IF(AC53="","-",AC53*$G53)</f>
        <v>-</v>
      </c>
      <c r="AE53" s="82"/>
      <c r="AF53" s="83" t="str">
        <f t="shared" ref="AF53:AF55" si="40">IF(AE53="","-",AE53*$G53)</f>
        <v>-</v>
      </c>
      <c r="AG53" s="82"/>
      <c r="AH53" s="83" t="str">
        <f t="shared" si="25"/>
        <v>-</v>
      </c>
      <c r="AI53" s="82"/>
      <c r="AJ53" s="84" t="str">
        <f t="shared" si="26"/>
        <v>-</v>
      </c>
      <c r="AK53" s="82"/>
      <c r="AL53" s="83" t="str">
        <f t="shared" ref="AL53:AL55" si="41">IF(AK53="","-",AK53*$G53)</f>
        <v>-</v>
      </c>
      <c r="AM53" s="82"/>
      <c r="AN53" s="84" t="str">
        <f t="shared" ref="AN53:AN55" si="42">IF(AM53="","-",AM53*$G53)</f>
        <v>-</v>
      </c>
    </row>
    <row r="54" spans="2:40" ht="11.25" customHeight="1" x14ac:dyDescent="0.15">
      <c r="B54" s="224" t="s">
        <v>60</v>
      </c>
      <c r="C54" s="225"/>
      <c r="D54" s="225"/>
      <c r="E54" s="225"/>
      <c r="F54" s="225"/>
      <c r="G54" s="225"/>
      <c r="H54" s="226"/>
      <c r="I54" s="31"/>
      <c r="J54" s="65">
        <f>J53+J52</f>
        <v>0</v>
      </c>
      <c r="K54" s="85"/>
      <c r="L54" s="80" t="str">
        <f t="shared" si="15"/>
        <v>-</v>
      </c>
      <c r="M54" s="85"/>
      <c r="N54" s="80" t="str">
        <f t="shared" si="16"/>
        <v>-</v>
      </c>
      <c r="O54" s="85"/>
      <c r="P54" s="80" t="str">
        <f t="shared" si="17"/>
        <v>-</v>
      </c>
      <c r="Q54" s="85"/>
      <c r="R54" s="80" t="str">
        <f t="shared" si="18"/>
        <v>-</v>
      </c>
      <c r="S54" s="85"/>
      <c r="T54" s="80" t="str">
        <f t="shared" si="19"/>
        <v>-</v>
      </c>
      <c r="U54" s="85"/>
      <c r="V54" s="80" t="str">
        <f t="shared" si="20"/>
        <v>-</v>
      </c>
      <c r="W54" s="85"/>
      <c r="X54" s="80" t="str">
        <f t="shared" si="21"/>
        <v>-</v>
      </c>
      <c r="Y54" s="85"/>
      <c r="Z54" s="80" t="str">
        <f t="shared" si="22"/>
        <v>-</v>
      </c>
      <c r="AA54" s="85"/>
      <c r="AB54" s="80" t="str">
        <f t="shared" si="23"/>
        <v>-</v>
      </c>
      <c r="AC54" s="85"/>
      <c r="AD54" s="80" t="str">
        <f t="shared" si="39"/>
        <v>-</v>
      </c>
      <c r="AE54" s="85"/>
      <c r="AF54" s="80" t="str">
        <f t="shared" si="40"/>
        <v>-</v>
      </c>
      <c r="AG54" s="85"/>
      <c r="AH54" s="80" t="str">
        <f t="shared" si="25"/>
        <v>-</v>
      </c>
      <c r="AI54" s="85"/>
      <c r="AJ54" s="86" t="str">
        <f t="shared" si="26"/>
        <v>-</v>
      </c>
      <c r="AK54" s="85"/>
      <c r="AL54" s="80" t="str">
        <f t="shared" si="41"/>
        <v>-</v>
      </c>
      <c r="AM54" s="85"/>
      <c r="AN54" s="86" t="str">
        <f t="shared" si="42"/>
        <v>-</v>
      </c>
    </row>
    <row r="55" spans="2:40" ht="11.25" customHeight="1" thickBot="1" x14ac:dyDescent="0.2">
      <c r="B55" s="227" t="s">
        <v>61</v>
      </c>
      <c r="C55" s="228"/>
      <c r="D55" s="228"/>
      <c r="E55" s="228"/>
      <c r="F55" s="228"/>
      <c r="G55" s="228"/>
      <c r="H55" s="229"/>
      <c r="I55" s="41"/>
      <c r="J55" s="87">
        <f>J54/0.75/12000</f>
        <v>0</v>
      </c>
      <c r="K55" s="82"/>
      <c r="L55" s="83" t="str">
        <f t="shared" si="15"/>
        <v>-</v>
      </c>
      <c r="M55" s="82"/>
      <c r="N55" s="83" t="str">
        <f t="shared" si="16"/>
        <v>-</v>
      </c>
      <c r="O55" s="82"/>
      <c r="P55" s="83" t="str">
        <f t="shared" si="17"/>
        <v>-</v>
      </c>
      <c r="Q55" s="82"/>
      <c r="R55" s="83" t="str">
        <f t="shared" si="18"/>
        <v>-</v>
      </c>
      <c r="S55" s="82"/>
      <c r="T55" s="83" t="str">
        <f t="shared" si="19"/>
        <v>-</v>
      </c>
      <c r="U55" s="82"/>
      <c r="V55" s="83" t="str">
        <f t="shared" si="20"/>
        <v>-</v>
      </c>
      <c r="W55" s="82"/>
      <c r="X55" s="83" t="str">
        <f t="shared" si="21"/>
        <v>-</v>
      </c>
      <c r="Y55" s="82"/>
      <c r="Z55" s="83" t="str">
        <f t="shared" si="22"/>
        <v>-</v>
      </c>
      <c r="AA55" s="82"/>
      <c r="AB55" s="83" t="str">
        <f t="shared" si="23"/>
        <v>-</v>
      </c>
      <c r="AC55" s="82"/>
      <c r="AD55" s="83" t="str">
        <f t="shared" si="39"/>
        <v>-</v>
      </c>
      <c r="AE55" s="82"/>
      <c r="AF55" s="83" t="str">
        <f t="shared" si="40"/>
        <v>-</v>
      </c>
      <c r="AG55" s="82"/>
      <c r="AH55" s="83" t="str">
        <f t="shared" si="25"/>
        <v>-</v>
      </c>
      <c r="AI55" s="82"/>
      <c r="AJ55" s="84" t="str">
        <f t="shared" si="26"/>
        <v>-</v>
      </c>
      <c r="AK55" s="82"/>
      <c r="AL55" s="83" t="str">
        <f t="shared" si="41"/>
        <v>-</v>
      </c>
      <c r="AM55" s="82"/>
      <c r="AN55" s="84" t="str">
        <f t="shared" si="42"/>
        <v>-</v>
      </c>
    </row>
    <row r="56" spans="2:40" ht="11.25" customHeight="1" thickBot="1" x14ac:dyDescent="0.2">
      <c r="B56" s="215" t="s">
        <v>62</v>
      </c>
      <c r="C56" s="216"/>
      <c r="D56" s="216"/>
      <c r="E56" s="30">
        <v>1.5</v>
      </c>
      <c r="F56" s="29" t="s">
        <v>63</v>
      </c>
      <c r="G56" s="217" t="s">
        <v>64</v>
      </c>
      <c r="H56" s="218"/>
      <c r="I56" s="88"/>
      <c r="J56" s="89">
        <f>E56*400</f>
        <v>600</v>
      </c>
      <c r="K56" s="90"/>
      <c r="L56" s="89" t="e">
        <f>L52/$J$52*$J$56</f>
        <v>#DIV/0!</v>
      </c>
      <c r="M56" s="90"/>
      <c r="N56" s="89" t="e">
        <f>N52/$J$52*$J$56</f>
        <v>#DIV/0!</v>
      </c>
      <c r="O56" s="90"/>
      <c r="P56" s="89" t="e">
        <f>P52/$J$52*$J$56</f>
        <v>#DIV/0!</v>
      </c>
      <c r="Q56" s="90"/>
      <c r="R56" s="89" t="e">
        <f>R52/$J$52*$J$56</f>
        <v>#DIV/0!</v>
      </c>
      <c r="S56" s="90"/>
      <c r="T56" s="89" t="e">
        <f>T52/$J$52*$J$56</f>
        <v>#DIV/0!</v>
      </c>
      <c r="U56" s="90"/>
      <c r="V56" s="89" t="e">
        <f>V52/$J$52*$J$56</f>
        <v>#DIV/0!</v>
      </c>
      <c r="W56" s="90"/>
      <c r="X56" s="89" t="e">
        <f>X52/$J$52*$J$56</f>
        <v>#DIV/0!</v>
      </c>
      <c r="Y56" s="90"/>
      <c r="Z56" s="89" t="e">
        <f>Z52/$J$52*$J$56</f>
        <v>#DIV/0!</v>
      </c>
      <c r="AA56" s="90"/>
      <c r="AB56" s="89" t="e">
        <f>AB52/$J$52*$J$56</f>
        <v>#DIV/0!</v>
      </c>
      <c r="AC56" s="90"/>
      <c r="AD56" s="89" t="e">
        <f>AD52/$J$52*$J$56</f>
        <v>#DIV/0!</v>
      </c>
      <c r="AE56" s="90"/>
      <c r="AF56" s="89" t="e">
        <f>AF52/$J$52*$J$56</f>
        <v>#DIV/0!</v>
      </c>
      <c r="AG56" s="90"/>
      <c r="AH56" s="89" t="e">
        <f>AH52/$J$52*$J$56</f>
        <v>#DIV/0!</v>
      </c>
      <c r="AI56" s="90"/>
      <c r="AJ56" s="91" t="e">
        <f>AJ52/$J$52*$J$56</f>
        <v>#DIV/0!</v>
      </c>
      <c r="AK56" s="90"/>
      <c r="AL56" s="89" t="e">
        <f>AL52/$J$52*$J$56</f>
        <v>#DIV/0!</v>
      </c>
      <c r="AM56" s="90"/>
      <c r="AN56" s="91" t="e">
        <f>AN52/$J$52*$J$56</f>
        <v>#DIV/0!</v>
      </c>
    </row>
    <row r="57" spans="2:40" ht="3" customHeight="1" thickBot="1" x14ac:dyDescent="0.2">
      <c r="B57" s="6"/>
      <c r="C57" s="7"/>
      <c r="D57" s="7"/>
      <c r="E57" s="7"/>
      <c r="F57" s="7"/>
      <c r="G57" s="7"/>
      <c r="H57" s="7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9"/>
      <c r="AK57" s="208"/>
      <c r="AL57" s="208"/>
      <c r="AM57" s="208"/>
      <c r="AN57" s="209"/>
    </row>
    <row r="58" spans="2:40" ht="24" customHeight="1" x14ac:dyDescent="0.15">
      <c r="B58" s="248" t="s">
        <v>0</v>
      </c>
      <c r="C58" s="210"/>
      <c r="D58" s="210"/>
      <c r="E58" s="249" t="s">
        <v>71</v>
      </c>
      <c r="F58" s="249" t="s">
        <v>4</v>
      </c>
      <c r="G58" s="210" t="s">
        <v>72</v>
      </c>
      <c r="H58" s="251"/>
      <c r="I58" s="248" t="s">
        <v>29</v>
      </c>
      <c r="J58" s="210"/>
      <c r="K58" s="210" t="str">
        <f>K7</f>
        <v/>
      </c>
      <c r="L58" s="210"/>
      <c r="M58" s="210" t="str">
        <f t="shared" ref="M58" si="43">M7</f>
        <v/>
      </c>
      <c r="N58" s="210"/>
      <c r="O58" s="210" t="str">
        <f t="shared" ref="O58" si="44">O7</f>
        <v/>
      </c>
      <c r="P58" s="210"/>
      <c r="Q58" s="210" t="str">
        <f t="shared" ref="Q58" si="45">Q7</f>
        <v/>
      </c>
      <c r="R58" s="210"/>
      <c r="S58" s="210" t="str">
        <f t="shared" ref="S58" si="46">S7</f>
        <v/>
      </c>
      <c r="T58" s="210"/>
      <c r="U58" s="210" t="str">
        <f t="shared" ref="U58" si="47">U7</f>
        <v/>
      </c>
      <c r="V58" s="210"/>
      <c r="W58" s="210" t="str">
        <f t="shared" ref="W58" si="48">W7</f>
        <v/>
      </c>
      <c r="X58" s="210"/>
      <c r="Y58" s="210" t="str">
        <f t="shared" ref="Y58" si="49">Y7</f>
        <v/>
      </c>
      <c r="Z58" s="210"/>
      <c r="AA58" s="210" t="str">
        <f t="shared" ref="AA58" si="50">AA7</f>
        <v/>
      </c>
      <c r="AB58" s="210"/>
      <c r="AC58" s="210" t="str">
        <f t="shared" ref="AC58" si="51">AC7</f>
        <v/>
      </c>
      <c r="AD58" s="210"/>
      <c r="AE58" s="210" t="str">
        <f t="shared" ref="AE58" si="52">AE7</f>
        <v/>
      </c>
      <c r="AF58" s="210"/>
      <c r="AG58" s="210" t="str">
        <f t="shared" ref="AG58" si="53">AG7</f>
        <v/>
      </c>
      <c r="AH58" s="210"/>
      <c r="AI58" s="210" t="str">
        <f t="shared" ref="AI58" si="54">AI7</f>
        <v/>
      </c>
      <c r="AJ58" s="210"/>
      <c r="AK58" s="210" t="str">
        <f t="shared" ref="AK58" si="55">AK7</f>
        <v/>
      </c>
      <c r="AL58" s="210"/>
      <c r="AM58" s="210" t="str">
        <f t="shared" ref="AM58" si="56">AM7</f>
        <v/>
      </c>
      <c r="AN58" s="210"/>
    </row>
    <row r="59" spans="2:40" ht="18.75" customHeight="1" thickBot="1" x14ac:dyDescent="0.2">
      <c r="B59" s="10"/>
      <c r="C59" s="11" t="s">
        <v>1</v>
      </c>
      <c r="D59" s="11" t="s">
        <v>2</v>
      </c>
      <c r="E59" s="250"/>
      <c r="F59" s="250"/>
      <c r="G59" s="252"/>
      <c r="H59" s="253"/>
      <c r="I59" s="92" t="s">
        <v>30</v>
      </c>
      <c r="J59" s="41" t="s">
        <v>31</v>
      </c>
      <c r="K59" s="41" t="s">
        <v>30</v>
      </c>
      <c r="L59" s="41" t="s">
        <v>31</v>
      </c>
      <c r="M59" s="41" t="s">
        <v>30</v>
      </c>
      <c r="N59" s="41" t="s">
        <v>31</v>
      </c>
      <c r="O59" s="41" t="s">
        <v>30</v>
      </c>
      <c r="P59" s="41" t="s">
        <v>31</v>
      </c>
      <c r="Q59" s="41" t="s">
        <v>30</v>
      </c>
      <c r="R59" s="41" t="s">
        <v>31</v>
      </c>
      <c r="S59" s="41" t="s">
        <v>30</v>
      </c>
      <c r="T59" s="41" t="s">
        <v>31</v>
      </c>
      <c r="U59" s="41" t="s">
        <v>30</v>
      </c>
      <c r="V59" s="41" t="s">
        <v>31</v>
      </c>
      <c r="W59" s="41" t="s">
        <v>30</v>
      </c>
      <c r="X59" s="41" t="s">
        <v>31</v>
      </c>
      <c r="Y59" s="41" t="s">
        <v>30</v>
      </c>
      <c r="Z59" s="41" t="s">
        <v>31</v>
      </c>
      <c r="AA59" s="41" t="s">
        <v>30</v>
      </c>
      <c r="AB59" s="41" t="s">
        <v>31</v>
      </c>
      <c r="AC59" s="41" t="s">
        <v>30</v>
      </c>
      <c r="AD59" s="41" t="s">
        <v>31</v>
      </c>
      <c r="AE59" s="41" t="s">
        <v>30</v>
      </c>
      <c r="AF59" s="41" t="s">
        <v>31</v>
      </c>
      <c r="AG59" s="41" t="s">
        <v>30</v>
      </c>
      <c r="AH59" s="41" t="s">
        <v>31</v>
      </c>
      <c r="AI59" s="41" t="s">
        <v>30</v>
      </c>
      <c r="AJ59" s="93" t="s">
        <v>31</v>
      </c>
      <c r="AK59" s="41" t="s">
        <v>30</v>
      </c>
      <c r="AL59" s="41" t="s">
        <v>31</v>
      </c>
      <c r="AM59" s="41" t="s">
        <v>30</v>
      </c>
      <c r="AN59" s="93" t="s">
        <v>31</v>
      </c>
    </row>
    <row r="60" spans="2:40" ht="11.25" customHeight="1" thickBot="1" x14ac:dyDescent="0.2">
      <c r="B60" s="212" t="s">
        <v>77</v>
      </c>
      <c r="C60" s="13" t="s">
        <v>7</v>
      </c>
      <c r="D60" s="13"/>
      <c r="E60" s="13">
        <f>Summary!$N$13</f>
        <v>54</v>
      </c>
      <c r="F60" s="13">
        <f>Summary!N32</f>
        <v>0.35</v>
      </c>
      <c r="G60" s="14">
        <f>F60*E60</f>
        <v>18.899999999999999</v>
      </c>
      <c r="H60" s="32" t="s">
        <v>6</v>
      </c>
      <c r="I60" s="94">
        <f>SUMIF(C9:$C$36,C60,I9:$I$36)</f>
        <v>0</v>
      </c>
      <c r="J60" s="65">
        <f>IF(I60="","-",I60*$G60)</f>
        <v>0</v>
      </c>
      <c r="K60" s="31" t="str">
        <f>IF(SUMIF($C$9:$C$18,$C60,K9:K$18)=0,"",SUMIF($C$9:$C$18,$C60,K$9:K$18))</f>
        <v/>
      </c>
      <c r="L60" s="65" t="str">
        <f t="shared" ref="L60:L65" si="57">IF(K60="","-",K60*$G60)</f>
        <v>-</v>
      </c>
      <c r="M60" s="8"/>
      <c r="N60" s="65" t="str">
        <f t="shared" ref="N60:N65" si="58">IF(M60="","-",M60*$G60)</f>
        <v>-</v>
      </c>
      <c r="O60" s="31" t="str">
        <f>IF(SUMIF($C$9:$C$18,$C60,O9:O$18)=0,"",SUMIF($C$9:$C$18,$C60,O$9:O$18))</f>
        <v/>
      </c>
      <c r="P60" s="65" t="str">
        <f t="shared" ref="P60:P65" si="59">IF(O60="","-",O60*$G60)</f>
        <v>-</v>
      </c>
      <c r="Q60" s="31" t="str">
        <f>IF(SUMIF($C$9:$C$18,$C60,Q9:Q$18)=0,"",SUMIF($C$9:$C$18,$C60,Q$9:Q$18))</f>
        <v/>
      </c>
      <c r="R60" s="65" t="str">
        <f t="shared" ref="R60:R62" si="60">IF(Q60="","-",Q60*$G60)</f>
        <v>-</v>
      </c>
      <c r="S60" s="31" t="str">
        <f>IF(SUMIF($C$9:$C$18,$C60,S9:S$18)=0,"",SUMIF($C$9:$C$18,$C60,S$9:S$18))</f>
        <v/>
      </c>
      <c r="T60" s="65" t="str">
        <f t="shared" ref="T60:T62" si="61">IF(S60="","-",S60*$G60)</f>
        <v>-</v>
      </c>
      <c r="U60" s="31" t="str">
        <f>IF(SUMIF($C$9:$C$18,$C60,U9:U$18)=0,"",SUMIF($C$9:$C$18,$C60,U$9:U$18))</f>
        <v/>
      </c>
      <c r="V60" s="65" t="str">
        <f t="shared" ref="V60:V62" si="62">IF(U60="","-",U60*$G60)</f>
        <v>-</v>
      </c>
      <c r="W60" s="31" t="str">
        <f>IF(SUMIF($C$9:$C$18,$C60,W9:W$18)=0,"",SUMIF($C$9:$C$18,$C60,W$9:W$18))</f>
        <v/>
      </c>
      <c r="X60" s="65" t="str">
        <f t="shared" ref="X60:X62" si="63">IF(W60="","-",W60*$G60)</f>
        <v>-</v>
      </c>
      <c r="Y60" s="31" t="str">
        <f>IF(SUMIF($C$9:$C$18,$C60,Y9:Y$18)=0,"",SUMIF($C$9:$C$18,$C60,Y$9:Y$18))</f>
        <v/>
      </c>
      <c r="Z60" s="65" t="str">
        <f t="shared" ref="Z60:Z62" si="64">IF(Y60="","-",Y60*$G60)</f>
        <v>-</v>
      </c>
      <c r="AA60" s="31" t="str">
        <f>IF(SUMIF($C$9:$C$18,$C60,AA9:AA$18)=0,"",SUMIF($C$9:$C$18,$C60,AA$9:AA$18))</f>
        <v/>
      </c>
      <c r="AB60" s="65" t="str">
        <f t="shared" ref="AB60:AB62" si="65">IF(AA60="","-",AA60*$G60)</f>
        <v>-</v>
      </c>
      <c r="AC60" s="31" t="str">
        <f>IF(SUMIF($C$9:$C$18,$C60,AC9:AC$18)=0,"",SUMIF($C$9:$C$18,$C60,AC$9:AC$18))</f>
        <v/>
      </c>
      <c r="AD60" s="65" t="str">
        <f t="shared" ref="AD60:AD62" si="66">IF(AC60="","-",AC60*$G60)</f>
        <v>-</v>
      </c>
      <c r="AE60" s="31" t="str">
        <f>IF(SUMIF($C$9:$C$18,$C60,AE9:AE$18)=0,"",SUMIF($C$9:$C$18,$C60,AE$9:AE$18))</f>
        <v/>
      </c>
      <c r="AF60" s="65" t="str">
        <f t="shared" ref="AF60:AF62" si="67">IF(AE60="","-",AE60*$G60)</f>
        <v>-</v>
      </c>
      <c r="AG60" s="31" t="str">
        <f>IF(SUMIF($C$9:$C$18,$C60,AG9:AG$18)=0,"",SUMIF($C$9:$C$18,$C60,AG$9:AG$18))</f>
        <v/>
      </c>
      <c r="AH60" s="65" t="str">
        <f t="shared" ref="AH60:AH62" si="68">IF(AG60="","-",AG60*$G60)</f>
        <v>-</v>
      </c>
      <c r="AI60" s="31" t="str">
        <f>IF(SUMIF($C$9:$C$18,$C60,AI9:AI$18)=0,"",SUMIF($C$9:$C$18,$C60,AI$9:AI$18))</f>
        <v/>
      </c>
      <c r="AJ60" s="65" t="str">
        <f t="shared" ref="AJ60:AJ62" si="69">IF(AI60="","-",AI60*$G60)</f>
        <v>-</v>
      </c>
      <c r="AK60" s="31" t="str">
        <f>IF(SUMIF($C$9:$C$18,$C60,AK9:AK$18)=0,"",SUMIF($C$9:$C$18,$C60,AK$9:AK$18))</f>
        <v/>
      </c>
      <c r="AL60" s="65" t="str">
        <f t="shared" ref="AL60:AL62" si="70">IF(AK60="","-",AK60*$G60)</f>
        <v>-</v>
      </c>
      <c r="AM60" s="31" t="str">
        <f>IF(SUMIF($C$9:$C$18,$C60,AM9:AM$18)=0,"",SUMIF($C$9:$C$18,$C60,AM$9:AM$18))</f>
        <v/>
      </c>
      <c r="AN60" s="65" t="str">
        <f t="shared" ref="AN60:AN62" si="71">IF(AM60="","-",AM60*$G60)</f>
        <v>-</v>
      </c>
    </row>
    <row r="61" spans="2:40" ht="11.25" customHeight="1" thickBot="1" x14ac:dyDescent="0.2">
      <c r="B61" s="214"/>
      <c r="C61" s="16" t="s">
        <v>65</v>
      </c>
      <c r="D61" s="16"/>
      <c r="E61" s="13">
        <f>Summary!$N$13</f>
        <v>54</v>
      </c>
      <c r="F61" s="16">
        <v>0</v>
      </c>
      <c r="G61" s="14">
        <f t="shared" ref="G61:G73" si="72">F61*E61</f>
        <v>0</v>
      </c>
      <c r="H61" s="33" t="s">
        <v>6</v>
      </c>
      <c r="I61" s="94">
        <f>SUMIF(C10:$C$46,C61,I10:$I$46)</f>
        <v>0</v>
      </c>
      <c r="J61" s="65">
        <f t="shared" ref="J61:J73" si="73">IF(I61="","-",I61*$G61)</f>
        <v>0</v>
      </c>
      <c r="K61" s="31" t="str">
        <f>IF(SUMIF($C$9:$C$18,$C61,K9:K$18)=0,"",SUMIF($C$9:$C$18,$C61,K$9:K$18))</f>
        <v/>
      </c>
      <c r="L61" s="65" t="str">
        <f t="shared" si="57"/>
        <v>-</v>
      </c>
      <c r="M61" s="8"/>
      <c r="N61" s="65" t="str">
        <f t="shared" si="58"/>
        <v>-</v>
      </c>
      <c r="O61" s="31" t="str">
        <f ca="1">IF(SUMIF($C$9:$C$18,$C61,O10:O$18)=0,"",SUMIF($C$9:$C$18,$C61,O$9:O$18))</f>
        <v/>
      </c>
      <c r="P61" s="65" t="str">
        <f t="shared" ca="1" si="59"/>
        <v>-</v>
      </c>
      <c r="Q61" s="31" t="str">
        <f ca="1">IF(SUMIF($C$9:$C$18,$C61,Q10:Q$18)=0,"",SUMIF($C$9:$C$18,$C61,Q$9:Q$18))</f>
        <v/>
      </c>
      <c r="R61" s="65" t="str">
        <f t="shared" ca="1" si="60"/>
        <v>-</v>
      </c>
      <c r="S61" s="31" t="str">
        <f ca="1">IF(SUMIF($C$9:$C$18,$C61,S10:S$18)=0,"",SUMIF($C$9:$C$18,$C61,S$9:S$18))</f>
        <v/>
      </c>
      <c r="T61" s="65" t="str">
        <f t="shared" ca="1" si="61"/>
        <v>-</v>
      </c>
      <c r="U61" s="31" t="str">
        <f ca="1">IF(SUMIF($C$9:$C$18,$C61,U10:U$18)=0,"",SUMIF($C$9:$C$18,$C61,U$9:U$18))</f>
        <v/>
      </c>
      <c r="V61" s="65" t="str">
        <f t="shared" ca="1" si="62"/>
        <v>-</v>
      </c>
      <c r="W61" s="31" t="str">
        <f ca="1">IF(SUMIF($C$9:$C$18,$C61,W10:W$18)=0,"",SUMIF($C$9:$C$18,$C61,W$9:W$18))</f>
        <v/>
      </c>
      <c r="X61" s="65" t="str">
        <f t="shared" ca="1" si="63"/>
        <v>-</v>
      </c>
      <c r="Y61" s="31" t="str">
        <f ca="1">IF(SUMIF($C$9:$C$18,$C61,Y10:Y$18)=0,"",SUMIF($C$9:$C$18,$C61,Y$9:Y$18))</f>
        <v/>
      </c>
      <c r="Z61" s="65" t="str">
        <f t="shared" ca="1" si="64"/>
        <v>-</v>
      </c>
      <c r="AA61" s="31" t="str">
        <f ca="1">IF(SUMIF($C$9:$C$18,$C61,AA10:AA$18)=0,"",SUMIF($C$9:$C$18,$C61,AA$9:AA$18))</f>
        <v/>
      </c>
      <c r="AB61" s="65" t="str">
        <f t="shared" ca="1" si="65"/>
        <v>-</v>
      </c>
      <c r="AC61" s="31" t="str">
        <f ca="1">IF(SUMIF($C$9:$C$18,$C61,AC10:AC$18)=0,"",SUMIF($C$9:$C$18,$C61,AC$9:AC$18))</f>
        <v/>
      </c>
      <c r="AD61" s="65" t="str">
        <f t="shared" ca="1" si="66"/>
        <v>-</v>
      </c>
      <c r="AE61" s="31" t="str">
        <f ca="1">IF(SUMIF($C$9:$C$18,$C61,AE10:AE$18)=0,"",SUMIF($C$9:$C$18,$C61,AE$9:AE$18))</f>
        <v/>
      </c>
      <c r="AF61" s="65" t="str">
        <f t="shared" ca="1" si="67"/>
        <v>-</v>
      </c>
      <c r="AG61" s="31" t="str">
        <f ca="1">IF(SUMIF($C$9:$C$18,$C61,AG10:AG$18)=0,"",SUMIF($C$9:$C$18,$C61,AG$9:AG$18))</f>
        <v/>
      </c>
      <c r="AH61" s="65" t="str">
        <f t="shared" ca="1" si="68"/>
        <v>-</v>
      </c>
      <c r="AI61" s="31" t="str">
        <f ca="1">IF(SUMIF($C$9:$C$18,$C61,AI10:AI$18)=0,"",SUMIF($C$9:$C$18,$C61,AI$9:AI$18))</f>
        <v/>
      </c>
      <c r="AJ61" s="65" t="str">
        <f t="shared" ca="1" si="69"/>
        <v>-</v>
      </c>
      <c r="AK61" s="31" t="str">
        <f ca="1">IF(SUMIF($C$9:$C$18,$C61,AK10:AK$18)=0,"",SUMIF($C$9:$C$18,$C61,AK$9:AK$18))</f>
        <v/>
      </c>
      <c r="AL61" s="65" t="str">
        <f t="shared" ca="1" si="70"/>
        <v>-</v>
      </c>
      <c r="AM61" s="31" t="str">
        <f ca="1">IF(SUMIF($C$9:$C$18,$C61,AM10:AM$18)=0,"",SUMIF($C$9:$C$18,$C61,AM$9:AM$18))</f>
        <v/>
      </c>
      <c r="AN61" s="65" t="str">
        <f t="shared" ca="1" si="71"/>
        <v>-</v>
      </c>
    </row>
    <row r="62" spans="2:40" ht="11.25" customHeight="1" thickBot="1" x14ac:dyDescent="0.2">
      <c r="B62" s="213"/>
      <c r="C62" s="18" t="s">
        <v>66</v>
      </c>
      <c r="D62" s="18"/>
      <c r="E62" s="13">
        <f>Summary!$N$13</f>
        <v>54</v>
      </c>
      <c r="F62" s="18">
        <v>0</v>
      </c>
      <c r="G62" s="14">
        <f t="shared" si="72"/>
        <v>0</v>
      </c>
      <c r="H62" s="34" t="s">
        <v>6</v>
      </c>
      <c r="I62" s="94">
        <f>SUMIF(C11:$C$46,C62,I11:$I$46)</f>
        <v>0</v>
      </c>
      <c r="J62" s="65">
        <f t="shared" si="73"/>
        <v>0</v>
      </c>
      <c r="K62" s="31" t="str">
        <f>IF(SUMIF($C$9:$C$18,$C62,K9:K$18)=0,"",SUMIF($C$9:$C$18,$C62,K$9:K$18))</f>
        <v/>
      </c>
      <c r="L62" s="65" t="str">
        <f t="shared" si="57"/>
        <v>-</v>
      </c>
      <c r="M62" s="8"/>
      <c r="N62" s="65" t="str">
        <f t="shared" si="58"/>
        <v>-</v>
      </c>
      <c r="O62" s="31" t="str">
        <f ca="1">IF(SUMIF($C$9:$C$18,$C62,O11:O$18)=0,"",SUMIF($C$9:$C$18,$C62,O$9:O$18))</f>
        <v/>
      </c>
      <c r="P62" s="65" t="str">
        <f t="shared" ca="1" si="59"/>
        <v>-</v>
      </c>
      <c r="Q62" s="31" t="str">
        <f ca="1">IF(SUMIF($C$9:$C$18,$C62,Q11:Q$18)=0,"",SUMIF($C$9:$C$18,$C62,Q$9:Q$18))</f>
        <v/>
      </c>
      <c r="R62" s="65" t="str">
        <f t="shared" ca="1" si="60"/>
        <v>-</v>
      </c>
      <c r="S62" s="31" t="str">
        <f ca="1">IF(SUMIF($C$9:$C$18,$C62,S11:S$18)=0,"",SUMIF($C$9:$C$18,$C62,S$9:S$18))</f>
        <v/>
      </c>
      <c r="T62" s="65" t="str">
        <f t="shared" ca="1" si="61"/>
        <v>-</v>
      </c>
      <c r="U62" s="31" t="str">
        <f ca="1">IF(SUMIF($C$9:$C$18,$C62,U11:U$18)=0,"",SUMIF($C$9:$C$18,$C62,U$9:U$18))</f>
        <v/>
      </c>
      <c r="V62" s="65" t="str">
        <f t="shared" ca="1" si="62"/>
        <v>-</v>
      </c>
      <c r="W62" s="31" t="str">
        <f ca="1">IF(SUMIF($C$9:$C$18,$C62,W11:W$18)=0,"",SUMIF($C$9:$C$18,$C62,W$9:W$18))</f>
        <v/>
      </c>
      <c r="X62" s="65" t="str">
        <f t="shared" ca="1" si="63"/>
        <v>-</v>
      </c>
      <c r="Y62" s="31" t="str">
        <f ca="1">IF(SUMIF($C$9:$C$18,$C62,Y11:Y$18)=0,"",SUMIF($C$9:$C$18,$C62,Y$9:Y$18))</f>
        <v/>
      </c>
      <c r="Z62" s="65" t="str">
        <f t="shared" ca="1" si="64"/>
        <v>-</v>
      </c>
      <c r="AA62" s="31" t="str">
        <f ca="1">IF(SUMIF($C$9:$C$18,$C62,AA11:AA$18)=0,"",SUMIF($C$9:$C$18,$C62,AA$9:AA$18))</f>
        <v/>
      </c>
      <c r="AB62" s="65" t="str">
        <f t="shared" ca="1" si="65"/>
        <v>-</v>
      </c>
      <c r="AC62" s="31" t="str">
        <f ca="1">IF(SUMIF($C$9:$C$18,$C62,AC11:AC$18)=0,"",SUMIF($C$9:$C$18,$C62,AC$9:AC$18))</f>
        <v/>
      </c>
      <c r="AD62" s="65" t="str">
        <f t="shared" ca="1" si="66"/>
        <v>-</v>
      </c>
      <c r="AE62" s="31" t="str">
        <f ca="1">IF(SUMIF($C$9:$C$18,$C62,AE11:AE$18)=0,"",SUMIF($C$9:$C$18,$C62,AE$9:AE$18))</f>
        <v/>
      </c>
      <c r="AF62" s="65" t="str">
        <f t="shared" ca="1" si="67"/>
        <v>-</v>
      </c>
      <c r="AG62" s="31" t="str">
        <f ca="1">IF(SUMIF($C$9:$C$18,$C62,AG11:AG$18)=0,"",SUMIF($C$9:$C$18,$C62,AG$9:AG$18))</f>
        <v/>
      </c>
      <c r="AH62" s="65" t="str">
        <f t="shared" ca="1" si="68"/>
        <v>-</v>
      </c>
      <c r="AI62" s="31" t="str">
        <f ca="1">IF(SUMIF($C$9:$C$18,$C62,AI11:AI$18)=0,"",SUMIF($C$9:$C$18,$C62,AI$9:AI$18))</f>
        <v/>
      </c>
      <c r="AJ62" s="65" t="str">
        <f t="shared" ca="1" si="69"/>
        <v>-</v>
      </c>
      <c r="AK62" s="31" t="str">
        <f ca="1">IF(SUMIF($C$9:$C$18,$C62,AK11:AK$18)=0,"",SUMIF($C$9:$C$18,$C62,AK$9:AK$18))</f>
        <v/>
      </c>
      <c r="AL62" s="65" t="str">
        <f t="shared" ca="1" si="70"/>
        <v>-</v>
      </c>
      <c r="AM62" s="31" t="str">
        <f ca="1">IF(SUMIF($C$9:$C$18,$C62,AM11:AM$18)=0,"",SUMIF($C$9:$C$18,$C62,AM$9:AM$18))</f>
        <v/>
      </c>
      <c r="AN62" s="65" t="str">
        <f t="shared" ca="1" si="71"/>
        <v>-</v>
      </c>
    </row>
    <row r="63" spans="2:40" ht="11.25" customHeight="1" thickBot="1" x14ac:dyDescent="0.2">
      <c r="B63" s="212" t="s">
        <v>37</v>
      </c>
      <c r="C63" s="13" t="s">
        <v>33</v>
      </c>
      <c r="D63" s="13"/>
      <c r="E63" s="13">
        <f>Summary!$N$13</f>
        <v>54</v>
      </c>
      <c r="F63" s="14">
        <f>INDEX(Summary!$F$19:$F$30,MATCH('Unit 3 a'!C63,Summary!$D$19:$D$30,0))</f>
        <v>0.5</v>
      </c>
      <c r="G63" s="14">
        <f t="shared" si="72"/>
        <v>27</v>
      </c>
      <c r="H63" s="32" t="s">
        <v>6</v>
      </c>
      <c r="I63" s="94">
        <f>SUMIF(C12:$C$46,C63,I12:$I$46)</f>
        <v>0</v>
      </c>
      <c r="J63" s="65">
        <f t="shared" si="73"/>
        <v>0</v>
      </c>
      <c r="K63" s="31" t="str">
        <f>IF(SUMIF($C$19:$C$20,$C$63,K$19:K$20)=0,"",SUMIF($C$19:$C$20,$C$63,K$19:K$20))</f>
        <v/>
      </c>
      <c r="L63" s="65" t="str">
        <f t="shared" si="57"/>
        <v>-</v>
      </c>
      <c r="M63" s="31" t="str">
        <f>IF(SUMIF($C$19:$C$20,$C$63,M$19:M$20)=0,"",SUMIF($C$19:$C$20,$C$63,M$19:M$20))</f>
        <v/>
      </c>
      <c r="N63" s="65" t="str">
        <f t="shared" si="58"/>
        <v>-</v>
      </c>
      <c r="O63" s="31" t="str">
        <f>IF(SUMIF($C$19:$C$20,$C$63,O$19:O$20)=0,"",SUMIF($C$19:$C$20,$C$63,O$19:O$20))</f>
        <v/>
      </c>
      <c r="P63" s="65" t="str">
        <f t="shared" si="59"/>
        <v>-</v>
      </c>
      <c r="Q63" s="31" t="str">
        <f>IF(SUMIF($C$19:$C$20,$C$63,Q$19:Q$20)=0,"",SUMIF($C$19:$C$20,$C$63,Q$19:Q$20))</f>
        <v/>
      </c>
      <c r="R63" s="65" t="str">
        <f>IF(Q63="","-",Q63*$G63)</f>
        <v>-</v>
      </c>
      <c r="S63" s="31" t="str">
        <f>IF(SUMIF($C$19:$C$20,$C$63,S$19:S$20)=0,"",SUMIF($C$19:$C$20,$C$63,S$19:S$20))</f>
        <v/>
      </c>
      <c r="T63" s="65" t="str">
        <f>IF(S63="","-",S63*$G63)</f>
        <v>-</v>
      </c>
      <c r="U63" s="31" t="str">
        <f>IF(SUMIF($C$19:$C$20,$C$63,U$19:U$20)=0,"",SUMIF($C$19:$C$20,$C$63,U$19:U$20))</f>
        <v/>
      </c>
      <c r="V63" s="65" t="str">
        <f>IF(U63="","-",U63*$G63)</f>
        <v>-</v>
      </c>
      <c r="W63" s="31" t="str">
        <f>IF(SUMIF($C$19:$C$20,$C$63,W$19:W$20)=0,"",SUMIF($C$19:$C$20,$C$63,W$19:W$20))</f>
        <v/>
      </c>
      <c r="X63" s="65" t="str">
        <f>IF(W63="","-",W63*$G63)</f>
        <v>-</v>
      </c>
      <c r="Y63" s="31" t="str">
        <f>IF(SUMIF($C$19:$C$20,$C$63,Y$19:Y$20)=0,"",SUMIF($C$19:$C$20,$C$63,Y$19:Y$20))</f>
        <v/>
      </c>
      <c r="Z63" s="65" t="str">
        <f>IF(Y63="","-",Y63*$G63)</f>
        <v>-</v>
      </c>
      <c r="AA63" s="31" t="str">
        <f>IF(SUMIF($C$19:$C$20,$C$63,AA$19:AA$20)=0,"",SUMIF($C$19:$C$20,$C$63,AA$19:AA$20))</f>
        <v/>
      </c>
      <c r="AB63" s="65" t="str">
        <f>IF(AA63="","-",AA63*$G63)</f>
        <v>-</v>
      </c>
      <c r="AC63" s="31" t="str">
        <f>IF(SUMIF($C$19:$C$20,$C$63,AC$19:AC$20)=0,"",SUMIF($C$19:$C$20,$C$63,AC$19:AC$20))</f>
        <v/>
      </c>
      <c r="AD63" s="65" t="str">
        <f>IF(AC63="","-",AC63*$G63)</f>
        <v>-</v>
      </c>
      <c r="AE63" s="31" t="str">
        <f>IF(SUMIF($C$19:$C$20,$C$63,AE$19:AE$20)=0,"",SUMIF($C$19:$C$20,$C$63,AE$19:AE$20))</f>
        <v/>
      </c>
      <c r="AF63" s="65" t="str">
        <f>IF(AE63="","-",AE63*$G63)</f>
        <v>-</v>
      </c>
      <c r="AG63" s="31" t="str">
        <f>IF(SUMIF($C$19:$C$20,$C$63,AG$19:AG$20)=0,"",SUMIF($C$19:$C$20,$C$63,AG$19:AG$20))</f>
        <v/>
      </c>
      <c r="AH63" s="65" t="str">
        <f>IF(AG63="","-",AG63*$G63)</f>
        <v>-</v>
      </c>
      <c r="AI63" s="31" t="str">
        <f>IF(SUMIF($C$19:$C$20,$C$63,AI$19:AI$20)=0,"",SUMIF($C$19:$C$20,$C$63,AI$19:AI$20))</f>
        <v/>
      </c>
      <c r="AJ63" s="65" t="str">
        <f>IF(AI63="","-",AI63*$G63)</f>
        <v>-</v>
      </c>
      <c r="AK63" s="31" t="str">
        <f>IF(SUMIF($C$19:$C$20,$C$63,AK$19:AK$20)=0,"",SUMIF($C$19:$C$20,$C$63,AK$19:AK$20))</f>
        <v/>
      </c>
      <c r="AL63" s="65" t="str">
        <f>IF(AK63="","-",AK63*$G63)</f>
        <v>-</v>
      </c>
      <c r="AM63" s="31" t="str">
        <f>IF(SUMIF($C$19:$C$20,$C$63,AM$19:AM$20)=0,"",SUMIF($C$19:$C$20,$C$63,AM$19:AM$20))</f>
        <v/>
      </c>
      <c r="AN63" s="65" t="str">
        <f>IF(AM63="","-",AM63*$G63)</f>
        <v>-</v>
      </c>
    </row>
    <row r="64" spans="2:40" ht="11.25" customHeight="1" thickBot="1" x14ac:dyDescent="0.2">
      <c r="B64" s="213"/>
      <c r="C64" s="18" t="s">
        <v>34</v>
      </c>
      <c r="D64" s="18"/>
      <c r="E64" s="13">
        <f>Summary!$N$13</f>
        <v>54</v>
      </c>
      <c r="F64" s="14">
        <f>INDEX(Summary!$F$19:$F$30,MATCH('Unit 3 a'!C64,Summary!$D$19:$D$30,0))</f>
        <v>0.5</v>
      </c>
      <c r="G64" s="14">
        <f t="shared" si="72"/>
        <v>27</v>
      </c>
      <c r="H64" s="34" t="s">
        <v>6</v>
      </c>
      <c r="I64" s="94">
        <f>SUMIF(C13:$C$46,C64,I13:$I$46)</f>
        <v>0</v>
      </c>
      <c r="J64" s="65">
        <f t="shared" si="73"/>
        <v>0</v>
      </c>
      <c r="K64" s="31" t="str">
        <f>IF(SUMIF($C$19:$C$20,$C$64,K$19:K$20)=0,"",SUMIF($C$19:$C$20,$C$64,K$19:K$20))</f>
        <v/>
      </c>
      <c r="L64" s="65" t="str">
        <f t="shared" si="57"/>
        <v>-</v>
      </c>
      <c r="M64" s="31" t="str">
        <f>IF(SUMIF($C$19:$C$20,$C$64,M$19:M$20)=0,"",SUMIF($C$19:$C$20,$C$64,M$19:M$20))</f>
        <v/>
      </c>
      <c r="N64" s="65" t="str">
        <f t="shared" si="58"/>
        <v>-</v>
      </c>
      <c r="O64" s="31" t="str">
        <f>IF(SUMIF($C$19:$C$20,$C$64,O$19:O$20)=0,"",SUMIF($C$19:$C$20,$C$64,O$19:O$20))</f>
        <v/>
      </c>
      <c r="P64" s="65" t="str">
        <f t="shared" si="59"/>
        <v>-</v>
      </c>
      <c r="Q64" s="31" t="str">
        <f>IF(SUMIF($C$19:$C$20,$C$64,Q$19:Q$20)=0,"",SUMIF($C$19:$C$20,$C$64,Q$19:Q$20))</f>
        <v/>
      </c>
      <c r="R64" s="65" t="str">
        <f>IF(Q64="","-",Q64*$G64)</f>
        <v>-</v>
      </c>
      <c r="S64" s="31" t="str">
        <f>IF(SUMIF($C$19:$C$20,$C$64,S$19:S$20)=0,"",SUMIF($C$19:$C$20,$C$64,S$19:S$20))</f>
        <v/>
      </c>
      <c r="T64" s="65" t="str">
        <f>IF(S64="","-",S64*$G64)</f>
        <v>-</v>
      </c>
      <c r="U64" s="31" t="str">
        <f>IF(SUMIF($C$19:$C$20,$C$64,U$19:U$20)=0,"",SUMIF($C$19:$C$20,$C$64,U$19:U$20))</f>
        <v/>
      </c>
      <c r="V64" s="65" t="str">
        <f>IF(U64="","-",U64*$G64)</f>
        <v>-</v>
      </c>
      <c r="W64" s="31" t="str">
        <f>IF(SUMIF($C$19:$C$20,$C$64,W$19:W$20)=0,"",SUMIF($C$19:$C$20,$C$64,W$19:W$20))</f>
        <v/>
      </c>
      <c r="X64" s="65" t="str">
        <f>IF(W64="","-",W64*$G64)</f>
        <v>-</v>
      </c>
      <c r="Y64" s="31" t="str">
        <f>IF(SUMIF($C$19:$C$20,$C$64,Y$19:Y$20)=0,"",SUMIF($C$19:$C$20,$C$64,Y$19:Y$20))</f>
        <v/>
      </c>
      <c r="Z64" s="65" t="str">
        <f>IF(Y64="","-",Y64*$G64)</f>
        <v>-</v>
      </c>
      <c r="AA64" s="31" t="str">
        <f>IF(SUMIF($C$19:$C$20,$C$64,AA$19:AA$20)=0,"",SUMIF($C$19:$C$20,$C$64,AA$19:AA$20))</f>
        <v/>
      </c>
      <c r="AB64" s="65" t="str">
        <f>IF(AA64="","-",AA64*$G64)</f>
        <v>-</v>
      </c>
      <c r="AC64" s="31" t="str">
        <f>IF(SUMIF($C$19:$C$20,$C$64,AC$19:AC$20)=0,"",SUMIF($C$19:$C$20,$C$64,AC$19:AC$20))</f>
        <v/>
      </c>
      <c r="AD64" s="65" t="str">
        <f>IF(AC64="","-",AC64*$G64)</f>
        <v>-</v>
      </c>
      <c r="AE64" s="31" t="str">
        <f>IF(SUMIF($C$19:$C$20,$C$64,AE$19:AE$20)=0,"",SUMIF($C$19:$C$20,$C$64,AE$19:AE$20))</f>
        <v/>
      </c>
      <c r="AF64" s="65" t="str">
        <f>IF(AE64="","-",AE64*$G64)</f>
        <v>-</v>
      </c>
      <c r="AG64" s="31" t="str">
        <f>IF(SUMIF($C$19:$C$20,$C$64,AG$19:AG$20)=0,"",SUMIF($C$19:$C$20,$C$64,AG$19:AG$20))</f>
        <v/>
      </c>
      <c r="AH64" s="65" t="str">
        <f>IF(AG64="","-",AG64*$G64)</f>
        <v>-</v>
      </c>
      <c r="AI64" s="31" t="str">
        <f>IF(SUMIF($C$19:$C$20,$C$64,AI$19:AI$20)=0,"",SUMIF($C$19:$C$20,$C$64,AI$19:AI$20))</f>
        <v/>
      </c>
      <c r="AJ64" s="65" t="str">
        <f>IF(AI64="","-",AI64*$G64)</f>
        <v>-</v>
      </c>
      <c r="AK64" s="31" t="str">
        <f>IF(SUMIF($C$19:$C$20,$C$64,AK$19:AK$20)=0,"",SUMIF($C$19:$C$20,$C$64,AK$19:AK$20))</f>
        <v/>
      </c>
      <c r="AL64" s="65" t="str">
        <f>IF(AK64="","-",AK64*$G64)</f>
        <v>-</v>
      </c>
      <c r="AM64" s="31" t="str">
        <f>IF(SUMIF($C$19:$C$20,$C$64,AM$19:AM$20)=0,"",SUMIF($C$19:$C$20,$C$64,AM$19:AM$20))</f>
        <v/>
      </c>
      <c r="AN64" s="65" t="str">
        <f>IF(AM64="","-",AM64*$G64)</f>
        <v>-</v>
      </c>
    </row>
    <row r="65" spans="2:40" ht="11.25" customHeight="1" thickBot="1" x14ac:dyDescent="0.2">
      <c r="B65" s="212" t="s">
        <v>83</v>
      </c>
      <c r="C65" s="13" t="s">
        <v>38</v>
      </c>
      <c r="D65" s="13"/>
      <c r="E65" s="13">
        <f>Summary!$N$13</f>
        <v>54</v>
      </c>
      <c r="F65" s="14">
        <f>INDEX(Summary!$F$19:$F$30,MATCH('Unit 3 a'!C65,Summary!$D$19:$D$30,0))</f>
        <v>7.6999999999999999E-2</v>
      </c>
      <c r="G65" s="14">
        <f t="shared" si="72"/>
        <v>4.1580000000000004</v>
      </c>
      <c r="H65" s="32" t="s">
        <v>6</v>
      </c>
      <c r="I65" s="94">
        <f>SUMIF(C21:$C$36,C65,I21:$I$36)</f>
        <v>0</v>
      </c>
      <c r="J65" s="65">
        <f t="shared" si="73"/>
        <v>0</v>
      </c>
      <c r="K65" s="31" t="str">
        <f>IF(SUMIF($C$19:$C$36,$C65,K$19:K$36)=0,"",SUMIF($C$19:$C$36,$C65,K$19:K$36))</f>
        <v/>
      </c>
      <c r="L65" s="65" t="str">
        <f t="shared" si="57"/>
        <v>-</v>
      </c>
      <c r="M65" s="31" t="str">
        <f>IF(SUMIF($C$19:$C$36,$C65,M$19:M$36)=0,"",SUMIF($C$19:$C$36,$C65,M$19:M$36))</f>
        <v/>
      </c>
      <c r="N65" s="65" t="str">
        <f t="shared" si="58"/>
        <v>-</v>
      </c>
      <c r="O65" s="31" t="str">
        <f>IF(SUMIF($C$19:$C$36,$C65,O$19:O$36)=0,"",SUMIF($C$19:$C$36,$C65,O$19:O$36))</f>
        <v/>
      </c>
      <c r="P65" s="65" t="str">
        <f t="shared" si="59"/>
        <v>-</v>
      </c>
      <c r="Q65" s="31" t="str">
        <f>IF(SUMIF($C$19:$C$36,$C65,Q$19:Q$36)=0,"",SUMIF($C$19:$C$36,$C65,Q$19:Q$36))</f>
        <v/>
      </c>
      <c r="R65" s="65" t="str">
        <f>IF(Q65="","-",Q65*$G65)</f>
        <v>-</v>
      </c>
      <c r="S65" s="31" t="str">
        <f>IF(SUMIF($C$19:$C$36,$C65,S$19:S$36)=0,"",SUMIF($C$19:$C$36,$C65,S$19:S$36))</f>
        <v/>
      </c>
      <c r="T65" s="65" t="str">
        <f>IF(S65="","-",S65*$G65)</f>
        <v>-</v>
      </c>
      <c r="U65" s="31" t="str">
        <f>IF(SUMIF($C$19:$C$36,$C65,U$19:U$36)=0,"",SUMIF($C$19:$C$36,$C65,U$19:U$36))</f>
        <v/>
      </c>
      <c r="V65" s="65" t="str">
        <f>IF(U65="","-",U65*$G65)</f>
        <v>-</v>
      </c>
      <c r="W65" s="31" t="str">
        <f>IF(SUMIF($C$19:$C$36,$C65,W$19:W$36)=0,"",SUMIF($C$19:$C$36,$C65,W$19:W$36))</f>
        <v/>
      </c>
      <c r="X65" s="65" t="str">
        <f>IF(W65="","-",W65*$G65)</f>
        <v>-</v>
      </c>
      <c r="Y65" s="31" t="str">
        <f>IF(SUMIF($C$19:$C$36,$C65,Y$19:Y$36)=0,"",SUMIF($C$19:$C$36,$C65,Y$19:Y$36))</f>
        <v/>
      </c>
      <c r="Z65" s="65" t="str">
        <f>IF(Y65="","-",Y65*$G65)</f>
        <v>-</v>
      </c>
      <c r="AA65" s="31" t="str">
        <f>IF(SUMIF($C$19:$C$36,$C65,AA$19:AA$36)=0,"",SUMIF($C$19:$C$36,$C65,AA$19:AA$36))</f>
        <v/>
      </c>
      <c r="AB65" s="65" t="str">
        <f>IF(AA65="","-",AA65*$G65)</f>
        <v>-</v>
      </c>
      <c r="AC65" s="31" t="str">
        <f>IF(SUMIF($C$19:$C$36,$C65,AC$19:AC$36)=0,"",SUMIF($C$19:$C$36,$C65,AC$19:AC$36))</f>
        <v/>
      </c>
      <c r="AD65" s="65" t="str">
        <f>IF(AC65="","-",AC65*$G65)</f>
        <v>-</v>
      </c>
      <c r="AE65" s="31" t="str">
        <f>IF(SUMIF($C$19:$C$36,$C65,AE$19:AE$36)=0,"",SUMIF($C$19:$C$36,$C65,AE$19:AE$36))</f>
        <v/>
      </c>
      <c r="AF65" s="65" t="str">
        <f>IF(AE65="","-",AE65*$G65)</f>
        <v>-</v>
      </c>
      <c r="AG65" s="31" t="str">
        <f>IF(SUMIF($C$19:$C$36,$C65,AG$19:AG$36)=0,"",SUMIF($C$19:$C$36,$C65,AG$19:AG$36))</f>
        <v/>
      </c>
      <c r="AH65" s="65" t="str">
        <f>IF(AG65="","-",AG65*$G65)</f>
        <v>-</v>
      </c>
      <c r="AI65" s="31" t="str">
        <f>IF(SUMIF($C$19:$C$36,$C65,AI$19:AI$36)=0,"",SUMIF($C$19:$C$36,$C65,AI$19:AI$36))</f>
        <v/>
      </c>
      <c r="AJ65" s="65" t="str">
        <f>IF(AI65="","-",AI65*$G65)</f>
        <v>-</v>
      </c>
      <c r="AK65" s="31" t="str">
        <f>IF(SUMIF($C$19:$C$36,$C65,AK$19:AK$36)=0,"",SUMIF($C$19:$C$36,$C65,AK$19:AK$36))</f>
        <v/>
      </c>
      <c r="AL65" s="65" t="str">
        <f>IF(AK65="","-",AK65*$G65)</f>
        <v>-</v>
      </c>
      <c r="AM65" s="31" t="str">
        <f>IF(SUMIF($C$19:$C$36,$C65,AM$19:AM$36)=0,"",SUMIF($C$19:$C$36,$C65,AM$19:AM$36))</f>
        <v/>
      </c>
      <c r="AN65" s="65" t="str">
        <f>IF(AM65="","-",AM65*$G65)</f>
        <v>-</v>
      </c>
    </row>
    <row r="66" spans="2:40" ht="11.25" customHeight="1" thickBot="1" x14ac:dyDescent="0.2">
      <c r="B66" s="214"/>
      <c r="C66" s="16" t="s">
        <v>39</v>
      </c>
      <c r="D66" s="16"/>
      <c r="E66" s="13">
        <f>Summary!$N$13</f>
        <v>54</v>
      </c>
      <c r="F66" s="14">
        <f>INDEX(Summary!$F$19:$F$30,MATCH('Unit 3 a'!C66,Summary!$D$19:$D$30,0))</f>
        <v>6.7000000000000004E-2</v>
      </c>
      <c r="G66" s="14">
        <f t="shared" si="72"/>
        <v>3.6180000000000003</v>
      </c>
      <c r="H66" s="33" t="s">
        <v>6</v>
      </c>
      <c r="I66" s="94">
        <f>SUMIF(C15:$C$46,C66,I15:$I$46)</f>
        <v>0</v>
      </c>
      <c r="J66" s="65">
        <f t="shared" si="73"/>
        <v>0</v>
      </c>
      <c r="K66" s="31" t="str">
        <f t="shared" ref="K66:AM66" si="74">IF(SUMIF($C$19:$C$36,$C66,K$19:K$36)=0,"",SUMIF($C$19:$C$36,$C66,K$19:K$36))</f>
        <v/>
      </c>
      <c r="L66" s="65" t="str">
        <f t="shared" ref="L66:AN69" si="75">IF(K66="","-",K66*$G66)</f>
        <v>-</v>
      </c>
      <c r="M66" s="31" t="str">
        <f t="shared" si="74"/>
        <v/>
      </c>
      <c r="N66" s="65" t="str">
        <f t="shared" ref="N66:N67" si="76">IF(M66="","-",M66*$G66)</f>
        <v>-</v>
      </c>
      <c r="O66" s="31" t="str">
        <f t="shared" si="74"/>
        <v/>
      </c>
      <c r="P66" s="65" t="str">
        <f t="shared" ref="P66:P67" si="77">IF(O66="","-",O66*$G66)</f>
        <v>-</v>
      </c>
      <c r="Q66" s="31" t="str">
        <f t="shared" si="74"/>
        <v/>
      </c>
      <c r="R66" s="65" t="str">
        <f t="shared" ref="R66:R67" si="78">IF(Q66="","-",Q66*$G66)</f>
        <v>-</v>
      </c>
      <c r="S66" s="31" t="str">
        <f t="shared" si="74"/>
        <v/>
      </c>
      <c r="T66" s="65" t="str">
        <f t="shared" ref="T66:T67" si="79">IF(S66="","-",S66*$G66)</f>
        <v>-</v>
      </c>
      <c r="U66" s="31" t="str">
        <f t="shared" si="74"/>
        <v/>
      </c>
      <c r="V66" s="65" t="str">
        <f t="shared" ref="V66:V67" si="80">IF(U66="","-",U66*$G66)</f>
        <v>-</v>
      </c>
      <c r="W66" s="31" t="str">
        <f t="shared" si="74"/>
        <v/>
      </c>
      <c r="X66" s="65" t="str">
        <f t="shared" ref="X66:X67" si="81">IF(W66="","-",W66*$G66)</f>
        <v>-</v>
      </c>
      <c r="Y66" s="31" t="str">
        <f t="shared" si="74"/>
        <v/>
      </c>
      <c r="Z66" s="65" t="str">
        <f t="shared" ref="Z66:Z67" si="82">IF(Y66="","-",Y66*$G66)</f>
        <v>-</v>
      </c>
      <c r="AA66" s="31" t="str">
        <f t="shared" si="74"/>
        <v/>
      </c>
      <c r="AB66" s="65" t="str">
        <f t="shared" ref="AB66:AB67" si="83">IF(AA66="","-",AA66*$G66)</f>
        <v>-</v>
      </c>
      <c r="AC66" s="31" t="str">
        <f t="shared" si="74"/>
        <v/>
      </c>
      <c r="AD66" s="65" t="str">
        <f t="shared" ref="AD66:AD67" si="84">IF(AC66="","-",AC66*$G66)</f>
        <v>-</v>
      </c>
      <c r="AE66" s="31" t="str">
        <f t="shared" si="74"/>
        <v/>
      </c>
      <c r="AF66" s="65" t="str">
        <f t="shared" ref="AF66:AF67" si="85">IF(AE66="","-",AE66*$G66)</f>
        <v>-</v>
      </c>
      <c r="AG66" s="31" t="str">
        <f t="shared" si="74"/>
        <v/>
      </c>
      <c r="AH66" s="65" t="str">
        <f t="shared" ref="AH66:AH67" si="86">IF(AG66="","-",AG66*$G66)</f>
        <v>-</v>
      </c>
      <c r="AI66" s="31" t="str">
        <f t="shared" si="74"/>
        <v/>
      </c>
      <c r="AJ66" s="65" t="str">
        <f t="shared" ref="AJ66:AJ67" si="87">IF(AI66="","-",AI66*$G66)</f>
        <v>-</v>
      </c>
      <c r="AK66" s="31" t="str">
        <f t="shared" si="74"/>
        <v/>
      </c>
      <c r="AL66" s="65" t="str">
        <f t="shared" ref="AL66:AL67" si="88">IF(AK66="","-",AK66*$G66)</f>
        <v>-</v>
      </c>
      <c r="AM66" s="31" t="str">
        <f t="shared" si="74"/>
        <v/>
      </c>
      <c r="AN66" s="65" t="str">
        <f t="shared" ref="AN66:AN67" si="89">IF(AM66="","-",AM66*$G66)</f>
        <v>-</v>
      </c>
    </row>
    <row r="67" spans="2:40" ht="11.25" customHeight="1" thickBot="1" x14ac:dyDescent="0.2">
      <c r="B67" s="214"/>
      <c r="C67" s="16" t="s">
        <v>40</v>
      </c>
      <c r="D67" s="16"/>
      <c r="E67" s="13">
        <f>Summary!$N$13</f>
        <v>54</v>
      </c>
      <c r="F67" s="14">
        <f>INDEX(Summary!$F$19:$F$30,MATCH('Unit 3 a'!C67,Summary!$D$19:$D$30,0))</f>
        <v>5.2999999999999999E-2</v>
      </c>
      <c r="G67" s="14">
        <f t="shared" si="72"/>
        <v>2.8620000000000001</v>
      </c>
      <c r="H67" s="33" t="s">
        <v>6</v>
      </c>
      <c r="I67" s="94">
        <f>SUMIF(C16:$C$46,C67,I16:$I$46)</f>
        <v>0</v>
      </c>
      <c r="J67" s="65">
        <f t="shared" si="73"/>
        <v>0</v>
      </c>
      <c r="K67" s="31" t="str">
        <f>IF(SUMIF($C$19:$C$41,$C67,K$19:K$41)=0,"",SUMIF($C$19:$C$41,$C67,K$19:K$41))</f>
        <v/>
      </c>
      <c r="L67" s="65" t="str">
        <f t="shared" si="75"/>
        <v>-</v>
      </c>
      <c r="M67" s="31" t="str">
        <f>IF(SUMIF($C$19:$C$41,$C67,M$19:M$41)=0,"",SUMIF($C$19:$C$41,$C67,M$19:M$41))</f>
        <v/>
      </c>
      <c r="N67" s="65" t="str">
        <f t="shared" si="76"/>
        <v>-</v>
      </c>
      <c r="O67" s="31" t="str">
        <f>IF(SUMIF($C$19:$C$41,$C67,O$19:O$41)=0,"",SUMIF($C$19:$C$41,$C67,O$19:O$41))</f>
        <v/>
      </c>
      <c r="P67" s="65" t="str">
        <f t="shared" si="77"/>
        <v>-</v>
      </c>
      <c r="Q67" s="31" t="str">
        <f>IF(SUMIF($C$19:$C$41,$C67,Q$19:Q$41)=0,"",SUMIF($C$19:$C$41,$C67,Q$19:Q$41))</f>
        <v/>
      </c>
      <c r="R67" s="65" t="str">
        <f t="shared" si="78"/>
        <v>-</v>
      </c>
      <c r="S67" s="31" t="str">
        <f>IF(SUMIF($C$19:$C$41,$C67,S$19:S$41)=0,"",SUMIF($C$19:$C$41,$C67,S$19:S$41))</f>
        <v/>
      </c>
      <c r="T67" s="65" t="str">
        <f t="shared" si="79"/>
        <v>-</v>
      </c>
      <c r="U67" s="31" t="str">
        <f>IF(SUMIF($C$19:$C$41,$C67,U$19:U$41)=0,"",SUMIF($C$19:$C$41,$C67,U$19:U$41))</f>
        <v/>
      </c>
      <c r="V67" s="65" t="str">
        <f t="shared" si="80"/>
        <v>-</v>
      </c>
      <c r="W67" s="31" t="str">
        <f>IF(SUMIF($C$19:$C$41,$C67,W$19:W$41)=0,"",SUMIF($C$19:$C$41,$C67,W$19:W$41))</f>
        <v/>
      </c>
      <c r="X67" s="65" t="str">
        <f t="shared" si="81"/>
        <v>-</v>
      </c>
      <c r="Y67" s="31" t="str">
        <f>IF(SUMIF($C$19:$C$41,$C67,Y$19:Y$41)=0,"",SUMIF($C$19:$C$41,$C67,Y$19:Y$41))</f>
        <v/>
      </c>
      <c r="Z67" s="65" t="str">
        <f t="shared" si="82"/>
        <v>-</v>
      </c>
      <c r="AA67" s="31" t="str">
        <f>IF(SUMIF($C$19:$C$41,$C67,AA$19:AA$41)=0,"",SUMIF($C$19:$C$41,$C67,AA$19:AA$41))</f>
        <v/>
      </c>
      <c r="AB67" s="65" t="str">
        <f t="shared" si="83"/>
        <v>-</v>
      </c>
      <c r="AC67" s="31" t="str">
        <f>IF(SUMIF($C$19:$C$41,$C67,AC$19:AC$41)=0,"",SUMIF($C$19:$C$41,$C67,AC$19:AC$41))</f>
        <v/>
      </c>
      <c r="AD67" s="65" t="str">
        <f t="shared" si="84"/>
        <v>-</v>
      </c>
      <c r="AE67" s="31" t="str">
        <f>IF(SUMIF($C$19:$C$41,$C67,AE$19:AE$41)=0,"",SUMIF($C$19:$C$41,$C67,AE$19:AE$41))</f>
        <v/>
      </c>
      <c r="AF67" s="65" t="str">
        <f t="shared" si="85"/>
        <v>-</v>
      </c>
      <c r="AG67" s="31" t="str">
        <f>IF(SUMIF($C$19:$C$41,$C67,AG$19:AG$41)=0,"",SUMIF($C$19:$C$41,$C67,AG$19:AG$41))</f>
        <v/>
      </c>
      <c r="AH67" s="65" t="str">
        <f t="shared" si="86"/>
        <v>-</v>
      </c>
      <c r="AI67" s="31" t="str">
        <f>IF(SUMIF($C$19:$C$41,$C67,AI$19:AI$41)=0,"",SUMIF($C$19:$C$41,$C67,AI$19:AI$41))</f>
        <v/>
      </c>
      <c r="AJ67" s="65" t="str">
        <f t="shared" si="87"/>
        <v>-</v>
      </c>
      <c r="AK67" s="31" t="str">
        <f>IF(SUMIF($C$19:$C$41,$C67,AK$19:AK$41)=0,"",SUMIF($C$19:$C$41,$C67,AK$19:AK$41))</f>
        <v/>
      </c>
      <c r="AL67" s="65" t="str">
        <f t="shared" si="88"/>
        <v>-</v>
      </c>
      <c r="AM67" s="31" t="str">
        <f>IF(SUMIF($C$19:$C$41,$C67,AM$19:AM$41)=0,"",SUMIF($C$19:$C$41,$C67,AM$19:AM$41))</f>
        <v/>
      </c>
      <c r="AN67" s="65" t="str">
        <f t="shared" si="89"/>
        <v>-</v>
      </c>
    </row>
    <row r="68" spans="2:40" ht="11.25" customHeight="1" thickBot="1" x14ac:dyDescent="0.2">
      <c r="B68" s="214"/>
      <c r="C68" s="16" t="s">
        <v>38</v>
      </c>
      <c r="D68" s="16" t="s">
        <v>46</v>
      </c>
      <c r="E68" s="16">
        <v>27</v>
      </c>
      <c r="F68" s="14">
        <f>INDEX(Summary!$F$19:$F$30,MATCH('Unit 3 a'!C68,Summary!$D$19:$D$30,0))</f>
        <v>7.6999999999999999E-2</v>
      </c>
      <c r="G68" s="14">
        <f t="shared" si="72"/>
        <v>2.0790000000000002</v>
      </c>
      <c r="H68" s="33" t="s">
        <v>6</v>
      </c>
      <c r="I68" s="94">
        <f>SUMIF(C38:$C$39,C68,I38:$I$39)</f>
        <v>0</v>
      </c>
      <c r="J68" s="65">
        <f t="shared" si="73"/>
        <v>0</v>
      </c>
      <c r="K68" s="31" t="str">
        <f>IF(SUM(K38:K39)=0,"",SUM(K38:K39))</f>
        <v/>
      </c>
      <c r="L68" s="65" t="str">
        <f t="shared" si="75"/>
        <v>-</v>
      </c>
      <c r="M68" s="31" t="str">
        <f>IF(SUM(M38:M39)=0,"",SUM(M38:M39))</f>
        <v/>
      </c>
      <c r="N68" s="65" t="str">
        <f t="shared" si="75"/>
        <v>-</v>
      </c>
      <c r="O68" s="31" t="str">
        <f>IF(SUM(O38:O39)=0,"",SUM(O38:O39))</f>
        <v/>
      </c>
      <c r="P68" s="65" t="str">
        <f t="shared" si="75"/>
        <v>-</v>
      </c>
      <c r="Q68" s="31" t="str">
        <f>IF(SUM(Q38:Q39)=0,"",SUM(Q38:Q39))</f>
        <v/>
      </c>
      <c r="R68" s="65" t="str">
        <f t="shared" si="75"/>
        <v>-</v>
      </c>
      <c r="S68" s="31" t="str">
        <f>IF(SUM(S38:S39)=0,"",SUM(S38:S39))</f>
        <v/>
      </c>
      <c r="T68" s="65" t="str">
        <f t="shared" si="75"/>
        <v>-</v>
      </c>
      <c r="U68" s="31" t="str">
        <f>IF(SUM(U38:U39)=0,"",SUM(U38:U39))</f>
        <v/>
      </c>
      <c r="V68" s="65" t="str">
        <f t="shared" si="75"/>
        <v>-</v>
      </c>
      <c r="W68" s="31" t="str">
        <f>IF(SUM(W38:W39)=0,"",SUM(W38:W39))</f>
        <v/>
      </c>
      <c r="X68" s="65" t="str">
        <f t="shared" si="75"/>
        <v>-</v>
      </c>
      <c r="Y68" s="31" t="str">
        <f>IF(SUM(Y38:Y39)=0,"",SUM(Y38:Y39))</f>
        <v/>
      </c>
      <c r="Z68" s="65" t="str">
        <f t="shared" si="75"/>
        <v>-</v>
      </c>
      <c r="AA68" s="31" t="str">
        <f>IF(SUM(AA38:AA39)=0,"",SUM(AA38:AA39))</f>
        <v/>
      </c>
      <c r="AB68" s="65" t="str">
        <f t="shared" si="75"/>
        <v>-</v>
      </c>
      <c r="AC68" s="31" t="str">
        <f>IF(SUM(AC38:AC39)=0,"",SUM(AC38:AC39))</f>
        <v/>
      </c>
      <c r="AD68" s="65" t="str">
        <f t="shared" si="75"/>
        <v>-</v>
      </c>
      <c r="AE68" s="31" t="str">
        <f>IF(SUM(AE38:AE39)=0,"",SUM(AE38:AE39))</f>
        <v/>
      </c>
      <c r="AF68" s="65" t="str">
        <f t="shared" si="75"/>
        <v>-</v>
      </c>
      <c r="AG68" s="31" t="str">
        <f>IF(SUM(AG38:AG39)=0,"",SUM(AG38:AG39))</f>
        <v/>
      </c>
      <c r="AH68" s="65" t="str">
        <f t="shared" si="75"/>
        <v>-</v>
      </c>
      <c r="AI68" s="31" t="str">
        <f>IF(SUM(AI38:AI39)=0,"",SUM(AI38:AI39))</f>
        <v/>
      </c>
      <c r="AJ68" s="65" t="str">
        <f t="shared" si="75"/>
        <v>-</v>
      </c>
      <c r="AK68" s="31" t="str">
        <f>IF(SUM(AK38:AK39)=0,"",SUM(AK38:AK39))</f>
        <v/>
      </c>
      <c r="AL68" s="65" t="str">
        <f t="shared" si="75"/>
        <v>-</v>
      </c>
      <c r="AM68" s="31" t="str">
        <f>IF(SUM(AM38:AM39)=0,"",SUM(AM38:AM39))</f>
        <v/>
      </c>
      <c r="AN68" s="65" t="str">
        <f t="shared" si="75"/>
        <v>-</v>
      </c>
    </row>
    <row r="69" spans="2:40" ht="11.25" customHeight="1" thickBot="1" x14ac:dyDescent="0.2">
      <c r="B69" s="213"/>
      <c r="C69" s="18" t="s">
        <v>39</v>
      </c>
      <c r="D69" s="18" t="s">
        <v>45</v>
      </c>
      <c r="E69" s="18">
        <v>27</v>
      </c>
      <c r="F69" s="14">
        <f>INDEX(Summary!$F$19:$F$30,MATCH('Unit 3 a'!C69,Summary!$D$19:$D$30,0))</f>
        <v>6.7000000000000004E-2</v>
      </c>
      <c r="G69" s="14">
        <f t="shared" si="72"/>
        <v>1.8090000000000002</v>
      </c>
      <c r="H69" s="34" t="s">
        <v>6</v>
      </c>
      <c r="I69" s="94">
        <f>SUMIF(C37:$C$41,C69,I37:$I$41)</f>
        <v>0</v>
      </c>
      <c r="J69" s="65">
        <f t="shared" si="73"/>
        <v>0</v>
      </c>
      <c r="K69" s="31" t="str">
        <f>IF(K37="","",K37)</f>
        <v/>
      </c>
      <c r="L69" s="65" t="str">
        <f t="shared" si="75"/>
        <v>-</v>
      </c>
      <c r="M69" s="31" t="str">
        <f>IF(M37="","",M37)</f>
        <v/>
      </c>
      <c r="N69" s="65" t="str">
        <f t="shared" si="75"/>
        <v>-</v>
      </c>
      <c r="O69" s="31" t="str">
        <f>IF(O37="","",O37)</f>
        <v/>
      </c>
      <c r="P69" s="65" t="str">
        <f t="shared" si="75"/>
        <v>-</v>
      </c>
      <c r="Q69" s="31" t="str">
        <f>IF(Q37="","",Q37)</f>
        <v/>
      </c>
      <c r="R69" s="65" t="str">
        <f t="shared" si="75"/>
        <v>-</v>
      </c>
      <c r="S69" s="31" t="str">
        <f>IF(S37="","",S37)</f>
        <v/>
      </c>
      <c r="T69" s="65" t="str">
        <f t="shared" si="75"/>
        <v>-</v>
      </c>
      <c r="U69" s="31" t="str">
        <f>IF(U37="","",U37)</f>
        <v/>
      </c>
      <c r="V69" s="65" t="str">
        <f t="shared" si="75"/>
        <v>-</v>
      </c>
      <c r="W69" s="31" t="str">
        <f>IF(W37="","",W37)</f>
        <v/>
      </c>
      <c r="X69" s="65" t="str">
        <f t="shared" si="75"/>
        <v>-</v>
      </c>
      <c r="Y69" s="31" t="str">
        <f>IF(Y37="","",Y37)</f>
        <v/>
      </c>
      <c r="Z69" s="65" t="str">
        <f t="shared" si="75"/>
        <v>-</v>
      </c>
      <c r="AA69" s="31" t="str">
        <f>IF(AA37="","",AA37)</f>
        <v/>
      </c>
      <c r="AB69" s="65" t="str">
        <f t="shared" si="75"/>
        <v>-</v>
      </c>
      <c r="AC69" s="31" t="str">
        <f>IF(AC37="","",AC37)</f>
        <v/>
      </c>
      <c r="AD69" s="65" t="str">
        <f t="shared" si="75"/>
        <v>-</v>
      </c>
      <c r="AE69" s="31" t="str">
        <f>IF(AE37="","",AE37)</f>
        <v/>
      </c>
      <c r="AF69" s="65" t="str">
        <f t="shared" si="75"/>
        <v>-</v>
      </c>
      <c r="AG69" s="31" t="str">
        <f>IF(AG37="","",AG37)</f>
        <v/>
      </c>
      <c r="AH69" s="65" t="str">
        <f t="shared" si="75"/>
        <v>-</v>
      </c>
      <c r="AI69" s="31" t="str">
        <f>IF(AI37="","",AI37)</f>
        <v/>
      </c>
      <c r="AJ69" s="65" t="str">
        <f t="shared" si="75"/>
        <v>-</v>
      </c>
      <c r="AK69" s="31" t="str">
        <f>IF(AK37="","",AK37)</f>
        <v/>
      </c>
      <c r="AL69" s="65" t="str">
        <f t="shared" si="75"/>
        <v>-</v>
      </c>
      <c r="AM69" s="31" t="str">
        <f>IF(AM37="","",AM37)</f>
        <v/>
      </c>
      <c r="AN69" s="65" t="str">
        <f t="shared" si="75"/>
        <v>-</v>
      </c>
    </row>
    <row r="70" spans="2:40" ht="11.25" customHeight="1" thickBot="1" x14ac:dyDescent="0.2">
      <c r="B70" s="212" t="s">
        <v>81</v>
      </c>
      <c r="C70" s="13" t="s">
        <v>41</v>
      </c>
      <c r="D70" s="13"/>
      <c r="E70" s="13">
        <f>Summary!$N$13</f>
        <v>54</v>
      </c>
      <c r="F70" s="14">
        <f>INDEX(Summary!$F$19:$F$30,MATCH('Unit 3 a'!C70,Summary!$D$19:$D$30,0))</f>
        <v>2.5999999999999999E-2</v>
      </c>
      <c r="G70" s="14">
        <f t="shared" si="72"/>
        <v>1.4039999999999999</v>
      </c>
      <c r="H70" s="32" t="s">
        <v>6</v>
      </c>
      <c r="I70" s="94">
        <f>SUMIF(C19:$C$46,C70,I19:$I$46)</f>
        <v>0</v>
      </c>
      <c r="J70" s="65">
        <f t="shared" si="73"/>
        <v>0</v>
      </c>
      <c r="K70" s="31" t="str">
        <f>IF(SUMIF($C$9:$C$46,$C70,K$9:K$46)=0,"",SUMIF($C$9:$C$46,$C70,K$9:K$46))</f>
        <v/>
      </c>
      <c r="L70" s="65" t="str">
        <f>IF(K70="","-",K70*$G70)</f>
        <v>-</v>
      </c>
      <c r="M70" s="31" t="str">
        <f>IF(SUMIF($C$9:$C$46,$C70,M$9:M$46)=0,"",SUMIF($C$9:$C$46,$C70,M$9:M$46))</f>
        <v/>
      </c>
      <c r="N70" s="65" t="str">
        <f>IF(M70="","-",M70*$G70)</f>
        <v>-</v>
      </c>
      <c r="O70" s="31" t="str">
        <f>IF(SUMIF($C$9:$C$46,$C70,O$9:O$46)=0,"",SUMIF($C$9:$C$46,$C70,O$9:O$46))</f>
        <v/>
      </c>
      <c r="P70" s="65" t="str">
        <f>IF(O70="","-",O70*$G70)</f>
        <v>-</v>
      </c>
      <c r="Q70" s="31" t="str">
        <f>IF(SUMIF($C$9:$C$46,$C70,Q$9:Q$46)=0,"",SUMIF($C$9:$C$46,$C70,Q$9:Q$46))</f>
        <v/>
      </c>
      <c r="R70" s="65" t="str">
        <f>IF(Q70="","-",Q70*$G70)</f>
        <v>-</v>
      </c>
      <c r="S70" s="31" t="str">
        <f>IF(SUMIF($C$9:$C$46,$C70,S$9:S$46)=0,"",SUMIF($C$9:$C$46,$C70,S$9:S$46))</f>
        <v/>
      </c>
      <c r="T70" s="65" t="str">
        <f>IF(S70="","-",S70*$G70)</f>
        <v>-</v>
      </c>
      <c r="U70" s="31" t="str">
        <f>IF(SUMIF($C$9:$C$46,$C70,U$9:U$46)=0,"",SUMIF($C$9:$C$46,$C70,U$9:U$46))</f>
        <v/>
      </c>
      <c r="V70" s="65" t="str">
        <f>IF(U70="","-",U70*$G70)</f>
        <v>-</v>
      </c>
      <c r="W70" s="31" t="str">
        <f>IF(SUMIF($C$9:$C$46,$C70,W$9:W$46)=0,"",SUMIF($C$9:$C$46,$C70,W$9:W$46))</f>
        <v/>
      </c>
      <c r="X70" s="65" t="str">
        <f>IF(W70="","-",W70*$G70)</f>
        <v>-</v>
      </c>
      <c r="Y70" s="31" t="str">
        <f>IF(SUMIF($C$9:$C$46,$C70,Y$9:Y$46)=0,"",SUMIF($C$9:$C$46,$C70,Y$9:Y$46))</f>
        <v/>
      </c>
      <c r="Z70" s="65" t="str">
        <f>IF(Y70="","-",Y70*$G70)</f>
        <v>-</v>
      </c>
      <c r="AA70" s="31" t="str">
        <f>IF(SUMIF($C$9:$C$46,$C70,AA$9:AA$46)=0,"",SUMIF($C$9:$C$46,$C70,AA$9:AA$46))</f>
        <v/>
      </c>
      <c r="AB70" s="65" t="str">
        <f>IF(AA70="","-",AA70*$G70)</f>
        <v>-</v>
      </c>
      <c r="AC70" s="31" t="str">
        <f>IF(SUMIF($C$9:$C$46,$C70,AC$9:AC$46)=0,"",SUMIF($C$9:$C$46,$C70,AC$9:AC$46))</f>
        <v/>
      </c>
      <c r="AD70" s="65" t="str">
        <f>IF(AC70="","-",AC70*$G70)</f>
        <v>-</v>
      </c>
      <c r="AE70" s="31" t="str">
        <f>IF(SUMIF($C$9:$C$46,$C70,AE$9:AE$46)=0,"",SUMIF($C$9:$C$46,$C70,AE$9:AE$46))</f>
        <v/>
      </c>
      <c r="AF70" s="65" t="str">
        <f>IF(AE70="","-",AE70*$G70)</f>
        <v>-</v>
      </c>
      <c r="AG70" s="31" t="str">
        <f>IF(SUMIF($C$9:$C$46,$C70,AG$9:AG$46)=0,"",SUMIF($C$9:$C$46,$C70,AG$9:AG$46))</f>
        <v/>
      </c>
      <c r="AH70" s="65" t="str">
        <f>IF(AG70="","-",AG70*$G70)</f>
        <v>-</v>
      </c>
      <c r="AI70" s="31" t="str">
        <f>IF(SUMIF($C$9:$C$46,$C70,AI$9:AI$46)=0,"",SUMIF($C$9:$C$46,$C70,AI$9:AI$46))</f>
        <v/>
      </c>
      <c r="AJ70" s="65" t="str">
        <f>IF(AI70="","-",AI70*$G70)</f>
        <v>-</v>
      </c>
      <c r="AK70" s="31" t="str">
        <f>IF(SUMIF($C$9:$C$46,$C70,AK$9:AK$46)=0,"",SUMIF($C$9:$C$46,$C70,AK$9:AK$46))</f>
        <v/>
      </c>
      <c r="AL70" s="65" t="str">
        <f>IF(AK70="","-",AK70*$G70)</f>
        <v>-</v>
      </c>
      <c r="AM70" s="31" t="str">
        <f>IF(SUMIF($C$9:$C$46,$C70,AM$9:AM$46)=0,"",SUMIF($C$9:$C$46,$C70,AM$9:AM$46))</f>
        <v/>
      </c>
      <c r="AN70" s="65" t="str">
        <f>IF(AM70="","-",AM70*$G70)</f>
        <v>-</v>
      </c>
    </row>
    <row r="71" spans="2:40" ht="11.25" customHeight="1" thickBot="1" x14ac:dyDescent="0.2">
      <c r="B71" s="213"/>
      <c r="C71" s="18" t="s">
        <v>42</v>
      </c>
      <c r="D71" s="18"/>
      <c r="E71" s="13">
        <f>Summary!$N$13</f>
        <v>54</v>
      </c>
      <c r="F71" s="14">
        <f>INDEX(Summary!$F$19:$F$30,MATCH('Unit 3 a'!C71,Summary!$D$19:$D$30,0))</f>
        <v>0.26</v>
      </c>
      <c r="G71" s="14">
        <f t="shared" si="72"/>
        <v>14.040000000000001</v>
      </c>
      <c r="H71" s="34" t="s">
        <v>6</v>
      </c>
      <c r="I71" s="94">
        <f>SUMIF(C20:$C$46,C71,I20:$I$46)</f>
        <v>0</v>
      </c>
      <c r="J71" s="65">
        <f t="shared" si="73"/>
        <v>0</v>
      </c>
      <c r="K71" s="31" t="str">
        <f t="shared" ref="K71:K73" si="90">IF(SUMIF($C$9:$C$46,$C71,K$9:K$46)=0,"",SUMIF($C$9:$C$46,$C71,K$9:K$46))</f>
        <v/>
      </c>
      <c r="L71" s="65" t="str">
        <f t="shared" ref="L71:N73" si="91">IF(K71="","-",K71*$G71)</f>
        <v>-</v>
      </c>
      <c r="M71" s="31" t="str">
        <f t="shared" ref="M71:AM73" si="92">IF(SUMIF($C$9:$C$46,$C71,M$9:M$46)=0,"",SUMIF($C$9:$C$46,$C71,M$9:M$46))</f>
        <v/>
      </c>
      <c r="N71" s="65" t="str">
        <f t="shared" si="91"/>
        <v>-</v>
      </c>
      <c r="O71" s="31" t="str">
        <f t="shared" si="92"/>
        <v/>
      </c>
      <c r="P71" s="65" t="str">
        <f t="shared" ref="P71:P73" si="93">IF(O71="","-",O71*$G71)</f>
        <v>-</v>
      </c>
      <c r="Q71" s="31" t="str">
        <f t="shared" si="92"/>
        <v/>
      </c>
      <c r="R71" s="65" t="str">
        <f t="shared" ref="R71:R73" si="94">IF(Q71="","-",Q71*$G71)</f>
        <v>-</v>
      </c>
      <c r="S71" s="31" t="str">
        <f t="shared" si="92"/>
        <v/>
      </c>
      <c r="T71" s="65" t="str">
        <f t="shared" ref="T71:T73" si="95">IF(S71="","-",S71*$G71)</f>
        <v>-</v>
      </c>
      <c r="U71" s="31" t="str">
        <f t="shared" si="92"/>
        <v/>
      </c>
      <c r="V71" s="65" t="str">
        <f t="shared" ref="V71:V73" si="96">IF(U71="","-",U71*$G71)</f>
        <v>-</v>
      </c>
      <c r="W71" s="31" t="str">
        <f t="shared" si="92"/>
        <v/>
      </c>
      <c r="X71" s="65" t="str">
        <f t="shared" ref="X71:X73" si="97">IF(W71="","-",W71*$G71)</f>
        <v>-</v>
      </c>
      <c r="Y71" s="31" t="str">
        <f t="shared" si="92"/>
        <v/>
      </c>
      <c r="Z71" s="65" t="str">
        <f t="shared" ref="Z71:Z73" si="98">IF(Y71="","-",Y71*$G71)</f>
        <v>-</v>
      </c>
      <c r="AA71" s="31" t="str">
        <f t="shared" si="92"/>
        <v/>
      </c>
      <c r="AB71" s="65" t="str">
        <f t="shared" ref="AB71:AB73" si="99">IF(AA71="","-",AA71*$G71)</f>
        <v>-</v>
      </c>
      <c r="AC71" s="31" t="str">
        <f t="shared" si="92"/>
        <v/>
      </c>
      <c r="AD71" s="65" t="str">
        <f t="shared" ref="AD71:AD73" si="100">IF(AC71="","-",AC71*$G71)</f>
        <v>-</v>
      </c>
      <c r="AE71" s="31" t="str">
        <f t="shared" si="92"/>
        <v/>
      </c>
      <c r="AF71" s="65" t="str">
        <f t="shared" ref="AF71:AF73" si="101">IF(AE71="","-",AE71*$G71)</f>
        <v>-</v>
      </c>
      <c r="AG71" s="31" t="str">
        <f t="shared" si="92"/>
        <v/>
      </c>
      <c r="AH71" s="65" t="str">
        <f t="shared" ref="AH71:AH73" si="102">IF(AG71="","-",AG71*$G71)</f>
        <v>-</v>
      </c>
      <c r="AI71" s="31" t="str">
        <f t="shared" si="92"/>
        <v/>
      </c>
      <c r="AJ71" s="65" t="str">
        <f t="shared" ref="AJ71:AJ73" si="103">IF(AI71="","-",AI71*$G71)</f>
        <v>-</v>
      </c>
      <c r="AK71" s="31" t="str">
        <f t="shared" si="92"/>
        <v/>
      </c>
      <c r="AL71" s="65" t="str">
        <f t="shared" ref="AL71:AL73" si="104">IF(AK71="","-",AK71*$G71)</f>
        <v>-</v>
      </c>
      <c r="AM71" s="31" t="str">
        <f t="shared" si="92"/>
        <v/>
      </c>
      <c r="AN71" s="65" t="str">
        <f t="shared" ref="AN71:AN73" si="105">IF(AM71="","-",AM71*$G71)</f>
        <v>-</v>
      </c>
    </row>
    <row r="72" spans="2:40" ht="11.25" customHeight="1" thickBot="1" x14ac:dyDescent="0.2">
      <c r="B72" s="212" t="s">
        <v>82</v>
      </c>
      <c r="C72" s="13" t="s">
        <v>43</v>
      </c>
      <c r="D72" s="13"/>
      <c r="E72" s="13">
        <f>Summary!$N$13</f>
        <v>54</v>
      </c>
      <c r="F72" s="14">
        <f>INDEX(Summary!$F$19:$F$30,MATCH('Unit 3 a'!C72,Summary!$D$19:$D$30,0))</f>
        <v>5.2999999999999999E-2</v>
      </c>
      <c r="G72" s="14">
        <f t="shared" si="72"/>
        <v>2.8620000000000001</v>
      </c>
      <c r="H72" s="32" t="s">
        <v>6</v>
      </c>
      <c r="I72" s="94">
        <f>SUMIF(C21:$C$46,C72,I21:$I$46)</f>
        <v>0</v>
      </c>
      <c r="J72" s="65">
        <f t="shared" si="73"/>
        <v>0</v>
      </c>
      <c r="K72" s="31" t="str">
        <f t="shared" si="90"/>
        <v/>
      </c>
      <c r="L72" s="65" t="str">
        <f t="shared" si="91"/>
        <v>-</v>
      </c>
      <c r="M72" s="31" t="str">
        <f t="shared" si="92"/>
        <v/>
      </c>
      <c r="N72" s="65" t="str">
        <f t="shared" si="91"/>
        <v>-</v>
      </c>
      <c r="O72" s="31" t="str">
        <f t="shared" si="92"/>
        <v/>
      </c>
      <c r="P72" s="65" t="str">
        <f t="shared" si="93"/>
        <v>-</v>
      </c>
      <c r="Q72" s="31" t="str">
        <f t="shared" si="92"/>
        <v/>
      </c>
      <c r="R72" s="65" t="str">
        <f t="shared" si="94"/>
        <v>-</v>
      </c>
      <c r="S72" s="31" t="str">
        <f t="shared" si="92"/>
        <v/>
      </c>
      <c r="T72" s="65" t="str">
        <f t="shared" si="95"/>
        <v>-</v>
      </c>
      <c r="U72" s="31" t="str">
        <f t="shared" si="92"/>
        <v/>
      </c>
      <c r="V72" s="65" t="str">
        <f t="shared" si="96"/>
        <v>-</v>
      </c>
      <c r="W72" s="31" t="str">
        <f t="shared" si="92"/>
        <v/>
      </c>
      <c r="X72" s="65" t="str">
        <f t="shared" si="97"/>
        <v>-</v>
      </c>
      <c r="Y72" s="31" t="str">
        <f t="shared" si="92"/>
        <v/>
      </c>
      <c r="Z72" s="65" t="str">
        <f t="shared" si="98"/>
        <v>-</v>
      </c>
      <c r="AA72" s="31" t="str">
        <f t="shared" si="92"/>
        <v/>
      </c>
      <c r="AB72" s="65" t="str">
        <f t="shared" si="99"/>
        <v>-</v>
      </c>
      <c r="AC72" s="31" t="str">
        <f t="shared" si="92"/>
        <v/>
      </c>
      <c r="AD72" s="65" t="str">
        <f t="shared" si="100"/>
        <v>-</v>
      </c>
      <c r="AE72" s="31" t="str">
        <f t="shared" si="92"/>
        <v/>
      </c>
      <c r="AF72" s="65" t="str">
        <f t="shared" si="101"/>
        <v>-</v>
      </c>
      <c r="AG72" s="31" t="str">
        <f t="shared" si="92"/>
        <v/>
      </c>
      <c r="AH72" s="65" t="str">
        <f t="shared" si="102"/>
        <v>-</v>
      </c>
      <c r="AI72" s="31" t="str">
        <f t="shared" si="92"/>
        <v/>
      </c>
      <c r="AJ72" s="65" t="str">
        <f t="shared" si="103"/>
        <v>-</v>
      </c>
      <c r="AK72" s="31" t="str">
        <f t="shared" si="92"/>
        <v/>
      </c>
      <c r="AL72" s="65" t="str">
        <f t="shared" si="104"/>
        <v>-</v>
      </c>
      <c r="AM72" s="31" t="str">
        <f t="shared" si="92"/>
        <v/>
      </c>
      <c r="AN72" s="65" t="str">
        <f t="shared" si="105"/>
        <v>-</v>
      </c>
    </row>
    <row r="73" spans="2:40" ht="11.25" customHeight="1" thickBot="1" x14ac:dyDescent="0.2">
      <c r="B73" s="213"/>
      <c r="C73" s="18" t="s">
        <v>44</v>
      </c>
      <c r="D73" s="18" t="s">
        <v>52</v>
      </c>
      <c r="E73" s="18">
        <v>27</v>
      </c>
      <c r="F73" s="14">
        <f>INDEX(Summary!$F$19:$F$30,MATCH('Unit 3 a'!C73,Summary!$D$19:$D$30,0))</f>
        <v>0.1</v>
      </c>
      <c r="G73" s="14">
        <f t="shared" si="72"/>
        <v>2.7</v>
      </c>
      <c r="H73" s="32" t="s">
        <v>6</v>
      </c>
      <c r="I73" s="94">
        <f>SUMIF(C22:$C$46,C73,I22:$I$46)</f>
        <v>0</v>
      </c>
      <c r="J73" s="65">
        <f t="shared" si="73"/>
        <v>0</v>
      </c>
      <c r="K73" s="31" t="str">
        <f t="shared" si="90"/>
        <v/>
      </c>
      <c r="L73" s="65" t="str">
        <f t="shared" si="91"/>
        <v>-</v>
      </c>
      <c r="M73" s="31" t="str">
        <f t="shared" si="92"/>
        <v/>
      </c>
      <c r="N73" s="65" t="str">
        <f t="shared" si="91"/>
        <v>-</v>
      </c>
      <c r="O73" s="31" t="str">
        <f t="shared" si="92"/>
        <v/>
      </c>
      <c r="P73" s="65" t="str">
        <f t="shared" si="93"/>
        <v>-</v>
      </c>
      <c r="Q73" s="31" t="str">
        <f t="shared" si="92"/>
        <v/>
      </c>
      <c r="R73" s="65" t="str">
        <f t="shared" si="94"/>
        <v>-</v>
      </c>
      <c r="S73" s="31" t="str">
        <f t="shared" si="92"/>
        <v/>
      </c>
      <c r="T73" s="65" t="str">
        <f t="shared" si="95"/>
        <v>-</v>
      </c>
      <c r="U73" s="31" t="str">
        <f t="shared" si="92"/>
        <v/>
      </c>
      <c r="V73" s="65" t="str">
        <f t="shared" si="96"/>
        <v>-</v>
      </c>
      <c r="W73" s="31" t="str">
        <f t="shared" si="92"/>
        <v/>
      </c>
      <c r="X73" s="65" t="str">
        <f t="shared" si="97"/>
        <v>-</v>
      </c>
      <c r="Y73" s="31" t="str">
        <f t="shared" si="92"/>
        <v/>
      </c>
      <c r="Z73" s="65" t="str">
        <f t="shared" si="98"/>
        <v>-</v>
      </c>
      <c r="AA73" s="31" t="str">
        <f t="shared" si="92"/>
        <v/>
      </c>
      <c r="AB73" s="65" t="str">
        <f t="shared" si="99"/>
        <v>-</v>
      </c>
      <c r="AC73" s="31" t="str">
        <f t="shared" si="92"/>
        <v/>
      </c>
      <c r="AD73" s="65" t="str">
        <f t="shared" si="100"/>
        <v>-</v>
      </c>
      <c r="AE73" s="31" t="str">
        <f t="shared" si="92"/>
        <v/>
      </c>
      <c r="AF73" s="65" t="str">
        <f t="shared" si="101"/>
        <v>-</v>
      </c>
      <c r="AG73" s="31" t="str">
        <f t="shared" si="92"/>
        <v/>
      </c>
      <c r="AH73" s="65" t="str">
        <f t="shared" si="102"/>
        <v>-</v>
      </c>
      <c r="AI73" s="31" t="str">
        <f t="shared" si="92"/>
        <v/>
      </c>
      <c r="AJ73" s="65" t="str">
        <f t="shared" si="103"/>
        <v>-</v>
      </c>
      <c r="AK73" s="31" t="str">
        <f t="shared" si="92"/>
        <v/>
      </c>
      <c r="AL73" s="65" t="str">
        <f t="shared" si="104"/>
        <v>-</v>
      </c>
      <c r="AM73" s="31" t="str">
        <f t="shared" si="92"/>
        <v/>
      </c>
      <c r="AN73" s="65" t="str">
        <f t="shared" si="105"/>
        <v>-</v>
      </c>
    </row>
    <row r="74" spans="2:40" ht="11.25" customHeight="1" x14ac:dyDescent="0.15">
      <c r="B74" s="224" t="s">
        <v>67</v>
      </c>
      <c r="C74" s="225"/>
      <c r="D74" s="226"/>
      <c r="E74" s="19">
        <f>Summary!H13</f>
        <v>0.25</v>
      </c>
      <c r="F74" s="19" t="s">
        <v>56</v>
      </c>
      <c r="G74" s="19">
        <f>IF(E74=0.25,0.24,0.35)</f>
        <v>0.24</v>
      </c>
      <c r="H74" s="32" t="s">
        <v>6</v>
      </c>
      <c r="I74" s="95">
        <f>SUM(K74,M74,O74,Q74,S74,U74,W74,Y74,AA74,AC74,AE74,AG74,AI74)</f>
        <v>0</v>
      </c>
      <c r="J74" s="74">
        <f>I50*G74</f>
        <v>0</v>
      </c>
      <c r="K74" s="96">
        <f>SUM(K72:K73)</f>
        <v>0</v>
      </c>
      <c r="L74" s="96">
        <f>$G$74*K$50</f>
        <v>0</v>
      </c>
      <c r="M74" s="96">
        <f>SUM(M72:M73)</f>
        <v>0</v>
      </c>
      <c r="N74" s="96">
        <f>$G$74*M$50</f>
        <v>0</v>
      </c>
      <c r="O74" s="96">
        <f>SUM(O72:O73)</f>
        <v>0</v>
      </c>
      <c r="P74" s="96">
        <f>$G$74*O$50</f>
        <v>0</v>
      </c>
      <c r="Q74" s="96">
        <f>SUM(Q72:Q73)</f>
        <v>0</v>
      </c>
      <c r="R74" s="96">
        <f>$G$74*Q$50</f>
        <v>0</v>
      </c>
      <c r="S74" s="96">
        <f>SUM(S72:S73)</f>
        <v>0</v>
      </c>
      <c r="T74" s="96">
        <f>$G$74*S$50</f>
        <v>0</v>
      </c>
      <c r="U74" s="96">
        <f>SUM(U72:U73)</f>
        <v>0</v>
      </c>
      <c r="V74" s="96">
        <f>$G$74*U$50</f>
        <v>0</v>
      </c>
      <c r="W74" s="96">
        <f>SUM(W72:W73)</f>
        <v>0</v>
      </c>
      <c r="X74" s="96">
        <f>$G$74*W$50</f>
        <v>0</v>
      </c>
      <c r="Y74" s="96">
        <f>SUM(Y72:Y73)</f>
        <v>0</v>
      </c>
      <c r="Z74" s="96">
        <f>$G$74*Y$50</f>
        <v>0</v>
      </c>
      <c r="AA74" s="96">
        <f>SUM(AA72:AA73)</f>
        <v>0</v>
      </c>
      <c r="AB74" s="96">
        <f>$G$74*AA$50</f>
        <v>0</v>
      </c>
      <c r="AC74" s="96">
        <f>SUM(AC72:AC73)</f>
        <v>0</v>
      </c>
      <c r="AD74" s="96">
        <f>$G$74*AC$50</f>
        <v>0</v>
      </c>
      <c r="AE74" s="96">
        <f>SUM(AE72:AE73)</f>
        <v>0</v>
      </c>
      <c r="AF74" s="96">
        <f>$G$74*AE$50</f>
        <v>0</v>
      </c>
      <c r="AG74" s="96">
        <f>SUM(AG72:AG73)</f>
        <v>0</v>
      </c>
      <c r="AH74" s="96">
        <f>$G$74*AG$50</f>
        <v>0</v>
      </c>
      <c r="AI74" s="96">
        <f>SUM(AI72:AI73)</f>
        <v>0</v>
      </c>
      <c r="AJ74" s="96">
        <f>$G$74*AI$50</f>
        <v>0</v>
      </c>
      <c r="AK74" s="96">
        <f>SUM(AK72:AK73)</f>
        <v>0</v>
      </c>
      <c r="AL74" s="96">
        <f>$G$74*AK$50</f>
        <v>0</v>
      </c>
      <c r="AM74" s="96">
        <f>SUM(AM72:AM73)</f>
        <v>0</v>
      </c>
      <c r="AN74" s="96">
        <f>$G$74*AM$50</f>
        <v>0</v>
      </c>
    </row>
    <row r="75" spans="2:40" ht="11.25" customHeight="1" x14ac:dyDescent="0.15">
      <c r="B75" s="219" t="s">
        <v>68</v>
      </c>
      <c r="C75" s="220"/>
      <c r="D75" s="220"/>
      <c r="E75" s="220"/>
      <c r="F75" s="220"/>
      <c r="G75" s="220"/>
      <c r="H75" s="241"/>
      <c r="I75" s="97"/>
      <c r="J75" s="68">
        <f>SUM(J60:J74)</f>
        <v>0</v>
      </c>
      <c r="K75" s="98"/>
      <c r="L75" s="68" t="str">
        <f>IF(SUM(L60:L74)=0,"",SUM(L60:L74))</f>
        <v/>
      </c>
      <c r="M75" s="99"/>
      <c r="N75" s="68" t="str">
        <f>IF(SUM(N60:N74)=0,"",SUM(N60:N74))</f>
        <v/>
      </c>
      <c r="O75" s="99"/>
      <c r="P75" s="68" t="str">
        <f ca="1">IF(SUM(P60:P74)=0,"",SUM(P60:P74))</f>
        <v/>
      </c>
      <c r="Q75" s="99"/>
      <c r="R75" s="68" t="str">
        <f ca="1">IF(SUM(R60:R74)=0,"",SUM(R60:R74))</f>
        <v/>
      </c>
      <c r="S75" s="99"/>
      <c r="T75" s="68" t="str">
        <f ca="1">IF(SUM(T60:T74)=0,"",SUM(T60:T74))</f>
        <v/>
      </c>
      <c r="U75" s="99"/>
      <c r="V75" s="68" t="str">
        <f ca="1">IF(SUM(V60:V74)=0,"",SUM(V60:V74))</f>
        <v/>
      </c>
      <c r="W75" s="99"/>
      <c r="X75" s="68" t="str">
        <f ca="1">IF(SUM(X60:X74)=0,"",SUM(X60:X74))</f>
        <v/>
      </c>
      <c r="Y75" s="99"/>
      <c r="Z75" s="68" t="str">
        <f ca="1">IF(SUM(Z60:Z74)=0,"",SUM(Z60:Z74))</f>
        <v/>
      </c>
      <c r="AA75" s="99"/>
      <c r="AB75" s="68" t="str">
        <f ca="1">IF(SUM(AB60:AB74)=0,"",SUM(AB60:AB74))</f>
        <v/>
      </c>
      <c r="AC75" s="99"/>
      <c r="AD75" s="68" t="str">
        <f ca="1">IF(SUM(AD60:AD74)=0,"",SUM(AD60:AD74))</f>
        <v/>
      </c>
      <c r="AE75" s="99"/>
      <c r="AF75" s="68" t="str">
        <f ca="1">IF(SUM(AF60:AF74)=0,"",SUM(AF60:AF74))</f>
        <v/>
      </c>
      <c r="AG75" s="99"/>
      <c r="AH75" s="68" t="str">
        <f ca="1">IF(SUM(AH60:AH74)=0,"",SUM(AH60:AH74))</f>
        <v/>
      </c>
      <c r="AI75" s="99"/>
      <c r="AJ75" s="68" t="str">
        <f ca="1">IF(SUM(AJ60:AJ74)=0,"",SUM(AJ60:AJ74))</f>
        <v/>
      </c>
      <c r="AK75" s="99"/>
      <c r="AL75" s="68" t="str">
        <f ca="1">IF(SUM(AL60:AL74)=0,"",SUM(AL60:AL74))</f>
        <v/>
      </c>
      <c r="AM75" s="99"/>
      <c r="AN75" s="68" t="str">
        <f ca="1">IF(SUM(AN60:AN74)=0,"",SUM(AN60:AN74))</f>
        <v/>
      </c>
    </row>
    <row r="76" spans="2:40" ht="11.25" customHeight="1" x14ac:dyDescent="0.15">
      <c r="B76" s="242" t="s">
        <v>59</v>
      </c>
      <c r="C76" s="233"/>
      <c r="D76" s="233"/>
      <c r="E76" s="233"/>
      <c r="F76" s="233"/>
      <c r="G76" s="35">
        <v>15</v>
      </c>
      <c r="H76" s="36" t="s">
        <v>73</v>
      </c>
      <c r="I76" s="97"/>
      <c r="J76" s="68">
        <f>J75*G76/100</f>
        <v>0</v>
      </c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</row>
    <row r="77" spans="2:40" ht="11.25" customHeight="1" x14ac:dyDescent="0.15">
      <c r="B77" s="107" t="s">
        <v>69</v>
      </c>
      <c r="C77" s="108"/>
      <c r="D77" s="108"/>
      <c r="E77" s="108" t="s">
        <v>216</v>
      </c>
      <c r="F77" s="108"/>
      <c r="G77" s="110">
        <f>J77/0.95/12000</f>
        <v>0</v>
      </c>
      <c r="H77" s="109" t="s">
        <v>149</v>
      </c>
      <c r="I77" s="97"/>
      <c r="J77" s="68">
        <f>SUM(J75:J76)</f>
        <v>0</v>
      </c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</row>
    <row r="78" spans="2:40" ht="11.25" customHeight="1" x14ac:dyDescent="0.15">
      <c r="B78" s="243" t="s">
        <v>70</v>
      </c>
      <c r="C78" s="244"/>
      <c r="D78" s="244"/>
      <c r="E78" s="244"/>
      <c r="F78" s="244"/>
      <c r="G78" s="244"/>
      <c r="H78" s="245"/>
      <c r="I78" s="97"/>
      <c r="J78" s="100">
        <f>J77/3413</f>
        <v>0</v>
      </c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</row>
    <row r="79" spans="2:40" ht="11.25" customHeight="1" thickBot="1" x14ac:dyDescent="0.2">
      <c r="B79" s="236" t="s">
        <v>62</v>
      </c>
      <c r="C79" s="237"/>
      <c r="D79" s="237"/>
      <c r="E79" s="37">
        <v>5</v>
      </c>
      <c r="F79" s="38" t="s">
        <v>74</v>
      </c>
      <c r="G79" s="246" t="s">
        <v>75</v>
      </c>
      <c r="H79" s="247"/>
      <c r="I79" s="97"/>
      <c r="J79" s="68">
        <f>E56*400</f>
        <v>600</v>
      </c>
      <c r="K79" s="98"/>
      <c r="L79" s="68" t="str">
        <f>IF(L75="","",L75/$J$75*$J$79)</f>
        <v/>
      </c>
      <c r="M79" s="98"/>
      <c r="N79" s="68" t="str">
        <f>IF(N75="","",N75/$J$75*$J$79)</f>
        <v/>
      </c>
      <c r="O79" s="98"/>
      <c r="P79" s="68" t="str">
        <f ca="1">IF(P75="","",P75/$J$75*$J$79)</f>
        <v/>
      </c>
      <c r="Q79" s="98"/>
      <c r="R79" s="68" t="str">
        <f ca="1">IF(R75="","",R75/$J$75*$J$79)</f>
        <v/>
      </c>
      <c r="S79" s="98"/>
      <c r="T79" s="68" t="str">
        <f ca="1">IF(T75="","",T75/$J$75*$J$79)</f>
        <v/>
      </c>
      <c r="U79" s="98"/>
      <c r="V79" s="68" t="str">
        <f ca="1">IF(V75="","",V75/$J$75*$J$79)</f>
        <v/>
      </c>
      <c r="W79" s="98"/>
      <c r="X79" s="68" t="str">
        <f ca="1">IF(X75="","",X75/$J$75*$J$79)</f>
        <v/>
      </c>
      <c r="Y79" s="98"/>
      <c r="Z79" s="68" t="str">
        <f ca="1">IF(Z75="","",Z75/$J$75*$J$79)</f>
        <v/>
      </c>
      <c r="AA79" s="98"/>
      <c r="AB79" s="68" t="str">
        <f ca="1">IF(AB75="","",AB75/$J$75*$J$79)</f>
        <v/>
      </c>
      <c r="AC79" s="98"/>
      <c r="AD79" s="68" t="str">
        <f ca="1">IF(AD75="","",AD75/$J$75*$J$79)</f>
        <v/>
      </c>
      <c r="AE79" s="98"/>
      <c r="AF79" s="68" t="str">
        <f ca="1">IF(AF75="","",AF75/$J$75*$J$79)</f>
        <v/>
      </c>
      <c r="AG79" s="98"/>
      <c r="AH79" s="68" t="str">
        <f ca="1">IF(AH75="","",AH75/$J$75*$J$79)</f>
        <v/>
      </c>
      <c r="AI79" s="98"/>
      <c r="AJ79" s="68" t="str">
        <f ca="1">IF(AJ75="","",AJ75/$J$75*$J$79)</f>
        <v/>
      </c>
      <c r="AK79" s="98"/>
      <c r="AL79" s="68" t="str">
        <f ca="1">IF(AL75="","",AL75/$J$75*$J$79)</f>
        <v/>
      </c>
      <c r="AM79" s="98"/>
      <c r="AN79" s="68" t="str">
        <f ca="1">IF(AN75="","",AN75/$J$75*$J$79)</f>
        <v/>
      </c>
    </row>
    <row r="80" spans="2:40" x14ac:dyDescent="0.15">
      <c r="J80" s="39"/>
    </row>
    <row r="81" spans="10:10" x14ac:dyDescent="0.15">
      <c r="J81" s="39"/>
    </row>
    <row r="82" spans="10:10" x14ac:dyDescent="0.15">
      <c r="J82" s="39"/>
    </row>
    <row r="83" spans="10:10" x14ac:dyDescent="0.15">
      <c r="J83" s="39"/>
    </row>
    <row r="84" spans="10:10" x14ac:dyDescent="0.15">
      <c r="J84" s="39"/>
    </row>
    <row r="85" spans="10:10" x14ac:dyDescent="0.15">
      <c r="J85" s="39"/>
    </row>
    <row r="86" spans="10:10" x14ac:dyDescent="0.15">
      <c r="J86" s="39"/>
    </row>
  </sheetData>
  <mergeCells count="107">
    <mergeCell ref="N1:R1"/>
    <mergeCell ref="T1:V1"/>
    <mergeCell ref="N2:R2"/>
    <mergeCell ref="Q3:R3"/>
    <mergeCell ref="T3:V3"/>
    <mergeCell ref="I6:J6"/>
    <mergeCell ref="K6:L6"/>
    <mergeCell ref="M6:N6"/>
    <mergeCell ref="O6:P6"/>
    <mergeCell ref="Q6:R6"/>
    <mergeCell ref="AE6:AF6"/>
    <mergeCell ref="AG6:AH6"/>
    <mergeCell ref="AI6:AJ6"/>
    <mergeCell ref="AK6:AL6"/>
    <mergeCell ref="AM6:AN6"/>
    <mergeCell ref="B7:D7"/>
    <mergeCell ref="E7:E8"/>
    <mergeCell ref="F7:F8"/>
    <mergeCell ref="G7:H8"/>
    <mergeCell ref="I7:J7"/>
    <mergeCell ref="S6:T6"/>
    <mergeCell ref="U6:V6"/>
    <mergeCell ref="W6:X6"/>
    <mergeCell ref="Y6:Z6"/>
    <mergeCell ref="AA6:AB6"/>
    <mergeCell ref="AC6:AD6"/>
    <mergeCell ref="AK7:AL7"/>
    <mergeCell ref="AM7:AN7"/>
    <mergeCell ref="B29:B36"/>
    <mergeCell ref="B37:B41"/>
    <mergeCell ref="B42:B43"/>
    <mergeCell ref="B44:B46"/>
    <mergeCell ref="B47:B49"/>
    <mergeCell ref="D47:F47"/>
    <mergeCell ref="D48:F48"/>
    <mergeCell ref="D49:F49"/>
    <mergeCell ref="AI7:AJ7"/>
    <mergeCell ref="B9:B18"/>
    <mergeCell ref="B19:B20"/>
    <mergeCell ref="B21:B28"/>
    <mergeCell ref="W7:X7"/>
    <mergeCell ref="Y7:Z7"/>
    <mergeCell ref="AA7:AB7"/>
    <mergeCell ref="AC7:AD7"/>
    <mergeCell ref="AE7:AF7"/>
    <mergeCell ref="AG7:AH7"/>
    <mergeCell ref="K7:L7"/>
    <mergeCell ref="M7:N7"/>
    <mergeCell ref="O7:P7"/>
    <mergeCell ref="Q7:R7"/>
    <mergeCell ref="S7:T7"/>
    <mergeCell ref="U7:V7"/>
    <mergeCell ref="B56:D56"/>
    <mergeCell ref="G56:H56"/>
    <mergeCell ref="I57:J57"/>
    <mergeCell ref="K57:L57"/>
    <mergeCell ref="M57:N57"/>
    <mergeCell ref="O57:P57"/>
    <mergeCell ref="B50:F50"/>
    <mergeCell ref="B51:D51"/>
    <mergeCell ref="B52:H52"/>
    <mergeCell ref="B53:F53"/>
    <mergeCell ref="B54:H54"/>
    <mergeCell ref="B55:H55"/>
    <mergeCell ref="AG57:AH57"/>
    <mergeCell ref="AI57:AJ57"/>
    <mergeCell ref="AK57:AL57"/>
    <mergeCell ref="AM57:AN57"/>
    <mergeCell ref="Q57:R57"/>
    <mergeCell ref="S57:T57"/>
    <mergeCell ref="U57:V57"/>
    <mergeCell ref="W57:X57"/>
    <mergeCell ref="Y57:Z57"/>
    <mergeCell ref="AA57:AB57"/>
    <mergeCell ref="W58:X58"/>
    <mergeCell ref="B58:D58"/>
    <mergeCell ref="E58:E59"/>
    <mergeCell ref="F58:F59"/>
    <mergeCell ref="G58:H59"/>
    <mergeCell ref="I58:J58"/>
    <mergeCell ref="K58:L58"/>
    <mergeCell ref="AC57:AD57"/>
    <mergeCell ref="AE57:AF57"/>
    <mergeCell ref="B72:B73"/>
    <mergeCell ref="B74:D74"/>
    <mergeCell ref="B75:H75"/>
    <mergeCell ref="B76:F76"/>
    <mergeCell ref="B78:H78"/>
    <mergeCell ref="B79:D79"/>
    <mergeCell ref="G79:H79"/>
    <mergeCell ref="AK58:AL58"/>
    <mergeCell ref="AM58:AN58"/>
    <mergeCell ref="B60:B62"/>
    <mergeCell ref="B63:B64"/>
    <mergeCell ref="B65:B69"/>
    <mergeCell ref="B70:B71"/>
    <mergeCell ref="Y58:Z58"/>
    <mergeCell ref="AA58:AB58"/>
    <mergeCell ref="AC58:AD58"/>
    <mergeCell ref="AE58:AF58"/>
    <mergeCell ref="AG58:AH58"/>
    <mergeCell ref="AI58:AJ58"/>
    <mergeCell ref="M58:N58"/>
    <mergeCell ref="O58:P58"/>
    <mergeCell ref="Q58:R58"/>
    <mergeCell ref="S58:T58"/>
    <mergeCell ref="U58:V58"/>
  </mergeCells>
  <pageMargins left="0.7" right="0.7" top="0.75" bottom="0.75" header="0.3" footer="0.3"/>
  <pageSetup scale="5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FBEAEC-E1BA-41D7-92AF-352C71CDFCE3}">
          <x14:formula1>
            <xm:f>'Glass CLF Calculation'!$A$41:$A$48</xm:f>
          </x14:formula1>
          <xm:sqref>Q3:R3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E1DA-01E1-4F29-869C-50767BDAC3FE}">
  <dimension ref="A1:AG48"/>
  <sheetViews>
    <sheetView zoomScale="145" zoomScaleNormal="145" workbookViewId="0">
      <pane xSplit="1" topLeftCell="B1" activePane="topRight" state="frozen"/>
      <selection pane="topRight" activeCell="G5" sqref="G5"/>
    </sheetView>
  </sheetViews>
  <sheetFormatPr baseColWidth="10" defaultColWidth="8.83203125" defaultRowHeight="15" x14ac:dyDescent="0.2"/>
  <cols>
    <col min="1" max="1" width="20.1640625" customWidth="1"/>
    <col min="2" max="2" width="8" bestFit="1" customWidth="1"/>
    <col min="3" max="3" width="9.1640625" customWidth="1"/>
    <col min="4" max="4" width="10.1640625" bestFit="1" customWidth="1"/>
    <col min="5" max="5" width="10.6640625" bestFit="1" customWidth="1"/>
    <col min="6" max="6" width="9.1640625" customWidth="1"/>
    <col min="8" max="9" width="8.83203125" customWidth="1"/>
    <col min="10" max="10" width="12.1640625" customWidth="1"/>
    <col min="11" max="37" width="8.83203125" customWidth="1"/>
  </cols>
  <sheetData>
    <row r="1" spans="1:33" x14ac:dyDescent="0.2">
      <c r="H1">
        <v>2022</v>
      </c>
      <c r="I1">
        <v>2019</v>
      </c>
      <c r="J1">
        <v>2022</v>
      </c>
      <c r="K1">
        <v>2022</v>
      </c>
      <c r="L1">
        <v>2022</v>
      </c>
      <c r="M1">
        <v>2022</v>
      </c>
      <c r="N1">
        <v>2022</v>
      </c>
      <c r="O1">
        <v>2022</v>
      </c>
      <c r="P1">
        <v>2021</v>
      </c>
      <c r="Q1">
        <v>2022</v>
      </c>
      <c r="R1">
        <v>2022</v>
      </c>
      <c r="S1">
        <v>2022</v>
      </c>
      <c r="T1">
        <v>2020</v>
      </c>
      <c r="U1">
        <v>2022</v>
      </c>
      <c r="V1">
        <v>2018</v>
      </c>
      <c r="W1">
        <v>2017</v>
      </c>
      <c r="X1">
        <v>2017</v>
      </c>
      <c r="Y1">
        <v>2021</v>
      </c>
      <c r="Z1">
        <v>2020</v>
      </c>
      <c r="AA1">
        <v>2021</v>
      </c>
      <c r="AB1">
        <v>2017</v>
      </c>
      <c r="AC1">
        <v>2019</v>
      </c>
      <c r="AD1">
        <v>2019</v>
      </c>
      <c r="AE1">
        <v>2022</v>
      </c>
      <c r="AF1">
        <v>2023</v>
      </c>
      <c r="AG1">
        <v>2020</v>
      </c>
    </row>
    <row r="2" spans="1:33" x14ac:dyDescent="0.2">
      <c r="H2" t="s">
        <v>163</v>
      </c>
      <c r="I2" t="s">
        <v>163</v>
      </c>
      <c r="J2" t="s">
        <v>162</v>
      </c>
      <c r="K2" t="s">
        <v>155</v>
      </c>
      <c r="L2" t="s">
        <v>155</v>
      </c>
      <c r="M2" t="s">
        <v>155</v>
      </c>
      <c r="N2" t="s">
        <v>155</v>
      </c>
      <c r="O2" t="s">
        <v>155</v>
      </c>
      <c r="P2" t="s">
        <v>174</v>
      </c>
      <c r="Q2" t="s">
        <v>162</v>
      </c>
      <c r="R2" t="s">
        <v>162</v>
      </c>
      <c r="S2" t="s">
        <v>162</v>
      </c>
      <c r="T2" t="s">
        <v>162</v>
      </c>
      <c r="U2" t="s">
        <v>162</v>
      </c>
      <c r="V2" t="s">
        <v>162</v>
      </c>
      <c r="W2" t="s">
        <v>163</v>
      </c>
      <c r="X2" t="s">
        <v>166</v>
      </c>
      <c r="Y2" t="s">
        <v>166</v>
      </c>
      <c r="Z2" t="s">
        <v>166</v>
      </c>
      <c r="AA2" t="s">
        <v>172</v>
      </c>
      <c r="AB2" t="s">
        <v>172</v>
      </c>
      <c r="AC2" t="s">
        <v>176</v>
      </c>
      <c r="AD2" t="s">
        <v>176</v>
      </c>
      <c r="AE2" t="s">
        <v>184</v>
      </c>
      <c r="AF2" t="s">
        <v>182</v>
      </c>
      <c r="AG2" t="s">
        <v>182</v>
      </c>
    </row>
    <row r="3" spans="1:33" x14ac:dyDescent="0.2">
      <c r="A3" s="101" t="s">
        <v>157</v>
      </c>
      <c r="B3" s="101" t="s">
        <v>201</v>
      </c>
      <c r="C3" s="101" t="s">
        <v>200</v>
      </c>
      <c r="D3" s="101" t="s">
        <v>204</v>
      </c>
      <c r="E3" s="115" t="s">
        <v>205</v>
      </c>
      <c r="G3" s="101" t="s">
        <v>202</v>
      </c>
      <c r="H3" t="s">
        <v>164</v>
      </c>
      <c r="I3" t="s">
        <v>165</v>
      </c>
      <c r="J3">
        <v>2831</v>
      </c>
      <c r="K3" t="s">
        <v>156</v>
      </c>
      <c r="L3" t="s">
        <v>159</v>
      </c>
      <c r="N3" t="s">
        <v>160</v>
      </c>
      <c r="O3" t="s">
        <v>161</v>
      </c>
      <c r="P3" t="s">
        <v>175</v>
      </c>
      <c r="Q3" t="s">
        <v>178</v>
      </c>
      <c r="R3">
        <v>1755</v>
      </c>
      <c r="S3">
        <v>1921</v>
      </c>
      <c r="T3" t="s">
        <v>179</v>
      </c>
      <c r="U3" t="s">
        <v>180</v>
      </c>
      <c r="V3" t="s">
        <v>181</v>
      </c>
      <c r="W3" t="s">
        <v>168</v>
      </c>
      <c r="X3" t="s">
        <v>169</v>
      </c>
      <c r="Y3" t="s">
        <v>170</v>
      </c>
      <c r="Z3" t="s">
        <v>167</v>
      </c>
      <c r="AA3" t="s">
        <v>171</v>
      </c>
      <c r="AB3" t="s">
        <v>173</v>
      </c>
      <c r="AC3" t="s">
        <v>188</v>
      </c>
      <c r="AD3" t="s">
        <v>177</v>
      </c>
      <c r="AE3" t="s">
        <v>185</v>
      </c>
      <c r="AF3" t="s">
        <v>183</v>
      </c>
      <c r="AG3" t="s">
        <v>186</v>
      </c>
    </row>
    <row r="4" spans="1:33" x14ac:dyDescent="0.2">
      <c r="A4" t="s">
        <v>203</v>
      </c>
      <c r="B4">
        <v>59</v>
      </c>
      <c r="D4">
        <f t="shared" ref="D4:D11" si="0">IF(C4="",B4,C4)</f>
        <v>59</v>
      </c>
      <c r="E4" s="111">
        <v>0.56000000000000005</v>
      </c>
      <c r="F4">
        <f t="shared" ref="F4:F11" si="1">E4*$G$13</f>
        <v>0.12320000000000002</v>
      </c>
      <c r="G4" s="102">
        <f t="shared" ref="G4:G11" si="2">(F4/$N$32)*(D4-$P$32*$R$32)+($Q$32*$R$32)</f>
        <v>18.306648888888887</v>
      </c>
      <c r="H4">
        <v>17</v>
      </c>
      <c r="I4">
        <v>22</v>
      </c>
      <c r="J4">
        <v>25</v>
      </c>
      <c r="K4">
        <v>21</v>
      </c>
      <c r="L4">
        <v>21</v>
      </c>
      <c r="M4">
        <v>21</v>
      </c>
      <c r="N4">
        <v>21</v>
      </c>
      <c r="O4">
        <v>21</v>
      </c>
      <c r="P4">
        <v>18</v>
      </c>
      <c r="Q4">
        <v>17</v>
      </c>
      <c r="R4">
        <v>25</v>
      </c>
      <c r="S4">
        <v>25</v>
      </c>
      <c r="T4">
        <v>18</v>
      </c>
      <c r="U4">
        <v>17</v>
      </c>
      <c r="V4">
        <v>23</v>
      </c>
      <c r="W4">
        <v>21.68</v>
      </c>
      <c r="X4">
        <v>21</v>
      </c>
      <c r="Y4">
        <v>23</v>
      </c>
      <c r="Z4">
        <v>23</v>
      </c>
      <c r="AA4">
        <v>18</v>
      </c>
      <c r="AB4">
        <v>18</v>
      </c>
      <c r="AC4">
        <v>21</v>
      </c>
      <c r="AD4">
        <v>21</v>
      </c>
      <c r="AE4">
        <v>21</v>
      </c>
      <c r="AF4">
        <v>18</v>
      </c>
      <c r="AG4">
        <v>21</v>
      </c>
    </row>
    <row r="5" spans="1:33" x14ac:dyDescent="0.2">
      <c r="A5" t="s">
        <v>23</v>
      </c>
      <c r="B5">
        <v>34</v>
      </c>
      <c r="D5">
        <f t="shared" si="0"/>
        <v>34</v>
      </c>
      <c r="E5" s="111">
        <v>0.17649999999999999</v>
      </c>
      <c r="F5">
        <f t="shared" si="1"/>
        <v>3.8829999999999996E-2</v>
      </c>
      <c r="G5" s="102">
        <f t="shared" si="2"/>
        <v>6.2012662222222215</v>
      </c>
      <c r="H5">
        <v>6</v>
      </c>
      <c r="I5">
        <v>7</v>
      </c>
      <c r="J5">
        <v>7</v>
      </c>
      <c r="K5">
        <v>6</v>
      </c>
      <c r="L5">
        <v>6</v>
      </c>
      <c r="M5">
        <v>6</v>
      </c>
      <c r="N5">
        <v>6</v>
      </c>
      <c r="O5">
        <v>6</v>
      </c>
      <c r="P5">
        <v>6</v>
      </c>
      <c r="Q5">
        <v>6</v>
      </c>
      <c r="R5">
        <v>7</v>
      </c>
      <c r="S5">
        <v>7</v>
      </c>
      <c r="T5">
        <v>6</v>
      </c>
      <c r="U5">
        <v>6</v>
      </c>
      <c r="V5">
        <v>6</v>
      </c>
      <c r="W5">
        <v>7</v>
      </c>
      <c r="X5">
        <v>6</v>
      </c>
      <c r="Y5">
        <v>7</v>
      </c>
      <c r="Z5">
        <v>7</v>
      </c>
      <c r="AA5">
        <v>6</v>
      </c>
      <c r="AB5">
        <v>6</v>
      </c>
      <c r="AC5">
        <v>6</v>
      </c>
      <c r="AD5">
        <v>6</v>
      </c>
      <c r="AE5">
        <v>6</v>
      </c>
      <c r="AF5">
        <v>6</v>
      </c>
      <c r="AG5">
        <v>6</v>
      </c>
    </row>
    <row r="6" spans="1:33" x14ac:dyDescent="0.2">
      <c r="A6" t="s">
        <v>22</v>
      </c>
      <c r="B6">
        <v>59</v>
      </c>
      <c r="D6">
        <f t="shared" si="0"/>
        <v>59</v>
      </c>
      <c r="E6" s="111">
        <v>0.156</v>
      </c>
      <c r="F6">
        <f t="shared" si="1"/>
        <v>3.4320000000000003E-2</v>
      </c>
      <c r="G6" s="102">
        <f t="shared" si="2"/>
        <v>7.8267093333333335</v>
      </c>
      <c r="H6">
        <v>7</v>
      </c>
      <c r="I6">
        <v>9</v>
      </c>
      <c r="J6">
        <v>9</v>
      </c>
      <c r="K6">
        <v>8</v>
      </c>
      <c r="L6">
        <v>8</v>
      </c>
      <c r="M6">
        <v>8</v>
      </c>
      <c r="N6">
        <v>8</v>
      </c>
      <c r="O6">
        <v>8</v>
      </c>
      <c r="P6">
        <v>7</v>
      </c>
      <c r="Q6">
        <v>9</v>
      </c>
      <c r="R6">
        <v>9</v>
      </c>
      <c r="S6">
        <v>9</v>
      </c>
      <c r="T6">
        <v>7</v>
      </c>
      <c r="U6">
        <v>7</v>
      </c>
      <c r="V6">
        <v>9</v>
      </c>
      <c r="W6">
        <v>8.69</v>
      </c>
      <c r="X6">
        <v>8</v>
      </c>
      <c r="Y6">
        <v>9</v>
      </c>
      <c r="Z6">
        <v>9</v>
      </c>
      <c r="AA6">
        <v>8</v>
      </c>
      <c r="AB6">
        <v>8</v>
      </c>
      <c r="AC6">
        <v>8</v>
      </c>
      <c r="AD6">
        <v>8</v>
      </c>
      <c r="AE6">
        <v>8</v>
      </c>
      <c r="AF6">
        <v>8</v>
      </c>
      <c r="AG6">
        <v>8</v>
      </c>
    </row>
    <row r="7" spans="1:33" x14ac:dyDescent="0.2">
      <c r="A7" t="s">
        <v>24</v>
      </c>
      <c r="B7">
        <v>81</v>
      </c>
      <c r="D7">
        <f t="shared" si="0"/>
        <v>81</v>
      </c>
      <c r="E7" s="111">
        <v>0.25</v>
      </c>
      <c r="F7">
        <f t="shared" si="1"/>
        <v>5.5E-2</v>
      </c>
      <c r="G7" s="102">
        <f t="shared" si="2"/>
        <v>12.953999999999999</v>
      </c>
      <c r="H7">
        <v>12</v>
      </c>
      <c r="I7">
        <v>16</v>
      </c>
      <c r="J7">
        <v>17</v>
      </c>
      <c r="K7">
        <v>15</v>
      </c>
      <c r="L7">
        <v>15</v>
      </c>
      <c r="M7">
        <v>15</v>
      </c>
      <c r="N7">
        <v>15</v>
      </c>
      <c r="O7">
        <v>15</v>
      </c>
      <c r="P7">
        <v>12</v>
      </c>
      <c r="Q7">
        <v>12</v>
      </c>
      <c r="R7">
        <v>17</v>
      </c>
      <c r="S7">
        <v>17</v>
      </c>
      <c r="T7">
        <v>13</v>
      </c>
      <c r="U7">
        <v>12</v>
      </c>
      <c r="V7">
        <v>16</v>
      </c>
      <c r="W7">
        <v>15</v>
      </c>
      <c r="X7">
        <v>15</v>
      </c>
      <c r="Y7">
        <v>16</v>
      </c>
      <c r="Z7">
        <v>16</v>
      </c>
      <c r="AA7">
        <v>13</v>
      </c>
      <c r="AB7">
        <v>13</v>
      </c>
      <c r="AC7">
        <v>15</v>
      </c>
      <c r="AD7">
        <v>15</v>
      </c>
      <c r="AE7">
        <v>15</v>
      </c>
      <c r="AF7">
        <v>13</v>
      </c>
      <c r="AG7">
        <v>15</v>
      </c>
    </row>
    <row r="8" spans="1:33" x14ac:dyDescent="0.2">
      <c r="A8" t="s">
        <v>25</v>
      </c>
      <c r="B8">
        <v>73</v>
      </c>
      <c r="D8">
        <f t="shared" si="0"/>
        <v>73</v>
      </c>
      <c r="E8" s="111">
        <v>0.32</v>
      </c>
      <c r="F8">
        <f t="shared" si="1"/>
        <v>7.0400000000000004E-2</v>
      </c>
      <c r="G8" s="102">
        <f t="shared" si="2"/>
        <v>14.271164444444445</v>
      </c>
      <c r="H8">
        <v>13</v>
      </c>
      <c r="I8">
        <v>17</v>
      </c>
      <c r="J8">
        <v>19</v>
      </c>
      <c r="K8">
        <v>16</v>
      </c>
      <c r="L8">
        <v>16</v>
      </c>
      <c r="M8">
        <v>16</v>
      </c>
      <c r="N8">
        <v>16</v>
      </c>
      <c r="O8">
        <v>16</v>
      </c>
      <c r="P8">
        <v>14</v>
      </c>
      <c r="Q8">
        <v>13</v>
      </c>
      <c r="R8">
        <v>19</v>
      </c>
      <c r="S8">
        <v>19</v>
      </c>
      <c r="T8">
        <v>14</v>
      </c>
      <c r="U8">
        <v>13</v>
      </c>
      <c r="V8">
        <v>17</v>
      </c>
      <c r="W8">
        <v>16.66</v>
      </c>
      <c r="X8">
        <v>16</v>
      </c>
      <c r="Y8">
        <v>18</v>
      </c>
      <c r="Z8">
        <v>18</v>
      </c>
      <c r="AA8">
        <v>14</v>
      </c>
      <c r="AB8">
        <v>14</v>
      </c>
      <c r="AC8">
        <v>16</v>
      </c>
      <c r="AD8">
        <v>16</v>
      </c>
      <c r="AE8">
        <v>16</v>
      </c>
      <c r="AF8">
        <v>14</v>
      </c>
      <c r="AG8">
        <v>16</v>
      </c>
    </row>
    <row r="9" spans="1:33" x14ac:dyDescent="0.2">
      <c r="A9" t="s">
        <v>26</v>
      </c>
      <c r="B9">
        <v>81</v>
      </c>
      <c r="C9">
        <f>B9+($G$14*B9)</f>
        <v>63.18</v>
      </c>
      <c r="D9">
        <f t="shared" si="0"/>
        <v>63.18</v>
      </c>
      <c r="E9" s="111">
        <v>0.432</v>
      </c>
      <c r="F9">
        <f t="shared" si="1"/>
        <v>9.5039999999999999E-2</v>
      </c>
      <c r="G9" s="102">
        <f t="shared" si="2"/>
        <v>15.869088</v>
      </c>
      <c r="H9">
        <v>14</v>
      </c>
      <c r="I9">
        <v>19</v>
      </c>
      <c r="J9">
        <v>21</v>
      </c>
      <c r="K9">
        <v>18</v>
      </c>
      <c r="L9">
        <v>18</v>
      </c>
      <c r="M9">
        <v>18</v>
      </c>
      <c r="N9">
        <v>18</v>
      </c>
      <c r="O9">
        <v>18</v>
      </c>
      <c r="P9">
        <v>15</v>
      </c>
      <c r="Q9">
        <v>15</v>
      </c>
      <c r="R9">
        <v>21</v>
      </c>
      <c r="S9">
        <v>21</v>
      </c>
      <c r="T9">
        <v>15</v>
      </c>
      <c r="U9">
        <v>15</v>
      </c>
      <c r="V9">
        <v>19</v>
      </c>
      <c r="W9">
        <v>18</v>
      </c>
      <c r="X9">
        <v>18</v>
      </c>
      <c r="Y9">
        <v>20</v>
      </c>
      <c r="Z9">
        <v>20</v>
      </c>
      <c r="AA9">
        <v>16</v>
      </c>
      <c r="AB9">
        <v>16</v>
      </c>
      <c r="AC9">
        <v>18</v>
      </c>
      <c r="AD9">
        <v>18</v>
      </c>
      <c r="AE9">
        <v>18</v>
      </c>
      <c r="AF9">
        <v>16</v>
      </c>
      <c r="AG9">
        <v>18</v>
      </c>
    </row>
    <row r="10" spans="1:33" x14ac:dyDescent="0.2">
      <c r="A10" t="s">
        <v>27</v>
      </c>
      <c r="B10">
        <v>73</v>
      </c>
      <c r="C10">
        <f>B10+($G$14*B10)</f>
        <v>56.94</v>
      </c>
      <c r="D10">
        <f t="shared" si="0"/>
        <v>56.94</v>
      </c>
      <c r="E10" s="111">
        <v>0.9</v>
      </c>
      <c r="F10">
        <f t="shared" si="1"/>
        <v>0.19800000000000001</v>
      </c>
      <c r="G10" s="102">
        <f t="shared" si="2"/>
        <v>26.22</v>
      </c>
      <c r="H10">
        <v>24</v>
      </c>
      <c r="I10">
        <v>32</v>
      </c>
      <c r="J10">
        <v>37</v>
      </c>
      <c r="K10">
        <v>31</v>
      </c>
      <c r="L10">
        <v>31</v>
      </c>
      <c r="M10">
        <v>31</v>
      </c>
      <c r="N10">
        <v>31</v>
      </c>
      <c r="O10">
        <v>31</v>
      </c>
      <c r="P10">
        <v>26</v>
      </c>
      <c r="Q10">
        <v>25</v>
      </c>
      <c r="R10">
        <v>37</v>
      </c>
      <c r="S10">
        <v>37</v>
      </c>
      <c r="T10">
        <v>26</v>
      </c>
      <c r="U10">
        <v>25</v>
      </c>
      <c r="V10">
        <v>34</v>
      </c>
      <c r="W10">
        <v>31.22</v>
      </c>
      <c r="X10">
        <v>31</v>
      </c>
      <c r="Y10">
        <v>34</v>
      </c>
      <c r="Z10">
        <v>34</v>
      </c>
      <c r="AA10">
        <v>26</v>
      </c>
      <c r="AB10">
        <v>26</v>
      </c>
      <c r="AC10">
        <v>31</v>
      </c>
      <c r="AD10">
        <v>31</v>
      </c>
      <c r="AE10">
        <v>31</v>
      </c>
      <c r="AF10">
        <v>26</v>
      </c>
      <c r="AG10">
        <v>31</v>
      </c>
    </row>
    <row r="11" spans="1:33" x14ac:dyDescent="0.2">
      <c r="A11" t="s">
        <v>28</v>
      </c>
      <c r="B11">
        <v>50</v>
      </c>
      <c r="D11">
        <f t="shared" si="0"/>
        <v>50</v>
      </c>
      <c r="E11" s="111">
        <v>1.18</v>
      </c>
      <c r="F11">
        <f t="shared" si="1"/>
        <v>0.2596</v>
      </c>
      <c r="G11" s="102">
        <f t="shared" si="2"/>
        <v>29.197724444444443</v>
      </c>
      <c r="H11">
        <v>27</v>
      </c>
      <c r="I11">
        <v>36</v>
      </c>
      <c r="J11">
        <v>42</v>
      </c>
      <c r="K11">
        <v>35</v>
      </c>
      <c r="L11">
        <v>35</v>
      </c>
      <c r="M11">
        <v>35</v>
      </c>
      <c r="N11">
        <v>35</v>
      </c>
      <c r="O11">
        <v>35</v>
      </c>
      <c r="P11">
        <v>29</v>
      </c>
      <c r="Q11">
        <v>28</v>
      </c>
      <c r="R11">
        <v>42</v>
      </c>
      <c r="S11">
        <v>42</v>
      </c>
      <c r="T11">
        <v>29</v>
      </c>
      <c r="U11">
        <v>28</v>
      </c>
      <c r="V11">
        <v>38</v>
      </c>
      <c r="W11">
        <v>35</v>
      </c>
      <c r="X11">
        <v>35</v>
      </c>
      <c r="Y11">
        <v>39</v>
      </c>
      <c r="Z11">
        <v>39</v>
      </c>
      <c r="AA11">
        <v>29</v>
      </c>
      <c r="AB11">
        <v>29</v>
      </c>
      <c r="AC11">
        <v>35</v>
      </c>
      <c r="AD11">
        <v>35</v>
      </c>
      <c r="AE11">
        <v>35</v>
      </c>
      <c r="AF11">
        <v>29</v>
      </c>
      <c r="AG11">
        <v>35</v>
      </c>
    </row>
    <row r="12" spans="1:33" x14ac:dyDescent="0.2">
      <c r="E12" s="260" t="s">
        <v>187</v>
      </c>
      <c r="F12" s="260"/>
      <c r="G12">
        <f>Summary!N32</f>
        <v>0.35</v>
      </c>
      <c r="H12">
        <v>0.32</v>
      </c>
      <c r="I12">
        <v>0.35</v>
      </c>
      <c r="J12">
        <v>0.31</v>
      </c>
      <c r="S12">
        <v>0.31</v>
      </c>
      <c r="T12">
        <v>0.31</v>
      </c>
      <c r="U12">
        <v>0.3</v>
      </c>
      <c r="V12">
        <v>0.3</v>
      </c>
      <c r="W12">
        <v>0.35</v>
      </c>
      <c r="X12">
        <v>0.33</v>
      </c>
      <c r="Y12">
        <v>0.33</v>
      </c>
      <c r="Z12">
        <v>0.33</v>
      </c>
      <c r="AA12">
        <v>0.35</v>
      </c>
      <c r="AB12">
        <v>0.35</v>
      </c>
      <c r="AC12">
        <v>0.33</v>
      </c>
    </row>
    <row r="13" spans="1:33" x14ac:dyDescent="0.2">
      <c r="E13" s="260" t="s">
        <v>127</v>
      </c>
      <c r="F13" s="260"/>
      <c r="G13" s="102">
        <f>Summary!X32</f>
        <v>0.22</v>
      </c>
      <c r="H13">
        <v>0.2</v>
      </c>
      <c r="I13">
        <v>0.28000000000000003</v>
      </c>
      <c r="J13">
        <v>0.33</v>
      </c>
      <c r="S13">
        <v>0.33</v>
      </c>
      <c r="T13">
        <v>0.22</v>
      </c>
      <c r="U13">
        <v>0.21</v>
      </c>
      <c r="V13">
        <v>0.3</v>
      </c>
      <c r="W13">
        <v>0.27</v>
      </c>
      <c r="X13">
        <v>0.27</v>
      </c>
      <c r="Y13">
        <v>0.3</v>
      </c>
      <c r="Z13">
        <v>0.3</v>
      </c>
      <c r="AA13">
        <v>0.22</v>
      </c>
      <c r="AB13">
        <v>0.22</v>
      </c>
      <c r="AC13">
        <v>0.27</v>
      </c>
    </row>
    <row r="14" spans="1:33" x14ac:dyDescent="0.2">
      <c r="E14" s="260" t="s">
        <v>191</v>
      </c>
      <c r="F14" s="260"/>
      <c r="G14">
        <v>-0.22</v>
      </c>
      <c r="M14" t="s">
        <v>189</v>
      </c>
      <c r="N14" t="s">
        <v>190</v>
      </c>
      <c r="O14" t="s">
        <v>127</v>
      </c>
    </row>
    <row r="16" spans="1:33" x14ac:dyDescent="0.2">
      <c r="A16" t="s">
        <v>37</v>
      </c>
    </row>
    <row r="17" spans="1:33" x14ac:dyDescent="0.2">
      <c r="A17" t="s">
        <v>33</v>
      </c>
      <c r="G17">
        <v>21</v>
      </c>
      <c r="H17">
        <v>21</v>
      </c>
      <c r="I17">
        <v>21</v>
      </c>
      <c r="J17">
        <v>21</v>
      </c>
      <c r="K17">
        <v>21</v>
      </c>
      <c r="L17">
        <v>21</v>
      </c>
      <c r="M17">
        <v>21</v>
      </c>
      <c r="N17">
        <v>21</v>
      </c>
      <c r="O17">
        <v>21</v>
      </c>
      <c r="P17">
        <v>21</v>
      </c>
      <c r="Q17">
        <v>21</v>
      </c>
      <c r="R17">
        <v>21</v>
      </c>
      <c r="S17">
        <v>21</v>
      </c>
      <c r="T17">
        <v>21</v>
      </c>
      <c r="U17">
        <v>21</v>
      </c>
      <c r="V17">
        <v>21</v>
      </c>
      <c r="W17">
        <v>21</v>
      </c>
      <c r="X17">
        <v>21</v>
      </c>
      <c r="Y17">
        <v>21</v>
      </c>
      <c r="Z17">
        <v>21</v>
      </c>
      <c r="AA17">
        <v>21</v>
      </c>
      <c r="AB17">
        <v>21</v>
      </c>
      <c r="AC17">
        <v>21</v>
      </c>
      <c r="AD17">
        <v>21</v>
      </c>
      <c r="AE17">
        <v>21</v>
      </c>
      <c r="AF17">
        <v>21</v>
      </c>
      <c r="AG17">
        <v>21</v>
      </c>
    </row>
    <row r="18" spans="1:33" x14ac:dyDescent="0.2">
      <c r="A18" t="s">
        <v>34</v>
      </c>
      <c r="G18">
        <v>30</v>
      </c>
      <c r="H18">
        <v>30</v>
      </c>
      <c r="I18">
        <v>30</v>
      </c>
      <c r="J18">
        <v>30</v>
      </c>
      <c r="K18">
        <v>30</v>
      </c>
      <c r="L18">
        <v>30</v>
      </c>
      <c r="M18">
        <v>30</v>
      </c>
      <c r="N18">
        <v>30</v>
      </c>
      <c r="O18">
        <v>30</v>
      </c>
      <c r="P18">
        <v>30</v>
      </c>
      <c r="Q18">
        <v>30</v>
      </c>
      <c r="R18">
        <v>30</v>
      </c>
      <c r="S18">
        <v>30</v>
      </c>
      <c r="T18">
        <v>30</v>
      </c>
      <c r="U18">
        <v>30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30</v>
      </c>
      <c r="AB18">
        <v>30</v>
      </c>
      <c r="AC18">
        <v>30</v>
      </c>
      <c r="AD18">
        <v>30</v>
      </c>
      <c r="AE18">
        <v>30</v>
      </c>
      <c r="AF18">
        <v>30</v>
      </c>
      <c r="AG18">
        <v>30</v>
      </c>
    </row>
    <row r="19" spans="1:33" x14ac:dyDescent="0.2">
      <c r="A19" s="101" t="s">
        <v>158</v>
      </c>
      <c r="B19" s="101"/>
      <c r="C19" s="101"/>
      <c r="D19" s="101"/>
      <c r="E19" s="101"/>
      <c r="F19" s="101"/>
      <c r="G19" s="101"/>
    </row>
    <row r="20" spans="1:33" x14ac:dyDescent="0.2">
      <c r="A20" t="s">
        <v>203</v>
      </c>
      <c r="G20">
        <v>19</v>
      </c>
      <c r="H20">
        <v>19</v>
      </c>
      <c r="I20">
        <v>19</v>
      </c>
      <c r="J20">
        <v>19</v>
      </c>
      <c r="K20">
        <v>19</v>
      </c>
      <c r="L20">
        <v>19</v>
      </c>
      <c r="M20">
        <v>19</v>
      </c>
      <c r="N20">
        <v>19</v>
      </c>
      <c r="O20">
        <v>19</v>
      </c>
      <c r="P20">
        <v>19</v>
      </c>
      <c r="Q20">
        <v>19</v>
      </c>
      <c r="R20">
        <v>19</v>
      </c>
      <c r="S20">
        <v>19</v>
      </c>
      <c r="T20">
        <v>19</v>
      </c>
      <c r="U20">
        <v>19</v>
      </c>
      <c r="V20">
        <v>19</v>
      </c>
      <c r="W20">
        <v>19</v>
      </c>
      <c r="X20">
        <v>19</v>
      </c>
      <c r="Y20">
        <v>19</v>
      </c>
      <c r="Z20">
        <v>19</v>
      </c>
      <c r="AA20">
        <v>19</v>
      </c>
      <c r="AB20">
        <v>19</v>
      </c>
      <c r="AC20">
        <v>19</v>
      </c>
      <c r="AD20">
        <v>19</v>
      </c>
      <c r="AE20">
        <v>19</v>
      </c>
      <c r="AF20">
        <v>19</v>
      </c>
      <c r="AG20">
        <v>19</v>
      </c>
    </row>
    <row r="21" spans="1:33" x14ac:dyDescent="0.2">
      <c r="A21" t="s">
        <v>23</v>
      </c>
      <c r="G21">
        <v>13</v>
      </c>
      <c r="H21">
        <v>13</v>
      </c>
      <c r="I21">
        <v>13</v>
      </c>
      <c r="J21">
        <v>13</v>
      </c>
      <c r="K21">
        <v>13</v>
      </c>
      <c r="L21">
        <v>13</v>
      </c>
      <c r="M21">
        <v>13</v>
      </c>
      <c r="N21">
        <v>13</v>
      </c>
      <c r="O21">
        <v>13</v>
      </c>
      <c r="P21">
        <v>13</v>
      </c>
      <c r="Q21">
        <v>13</v>
      </c>
      <c r="R21">
        <v>13</v>
      </c>
      <c r="S21">
        <v>13</v>
      </c>
      <c r="T21">
        <v>13</v>
      </c>
      <c r="U21">
        <v>13</v>
      </c>
      <c r="V21">
        <v>13</v>
      </c>
      <c r="W21">
        <v>13</v>
      </c>
      <c r="X21">
        <v>13</v>
      </c>
      <c r="Y21">
        <v>13</v>
      </c>
      <c r="Z21">
        <v>13</v>
      </c>
      <c r="AA21">
        <v>13</v>
      </c>
      <c r="AB21">
        <v>13</v>
      </c>
      <c r="AC21">
        <v>13</v>
      </c>
      <c r="AD21">
        <v>13</v>
      </c>
      <c r="AE21">
        <v>13</v>
      </c>
      <c r="AF21">
        <v>13</v>
      </c>
      <c r="AG21">
        <v>13</v>
      </c>
    </row>
    <row r="22" spans="1:33" x14ac:dyDescent="0.2">
      <c r="A22" t="s">
        <v>22</v>
      </c>
      <c r="G22">
        <v>19</v>
      </c>
      <c r="H22">
        <v>19</v>
      </c>
      <c r="I22">
        <v>19</v>
      </c>
      <c r="J22">
        <v>19</v>
      </c>
      <c r="K22">
        <v>19</v>
      </c>
      <c r="L22">
        <v>19</v>
      </c>
      <c r="M22">
        <v>19</v>
      </c>
      <c r="N22">
        <v>19</v>
      </c>
      <c r="O22">
        <v>19</v>
      </c>
      <c r="P22">
        <v>19</v>
      </c>
      <c r="Q22">
        <v>19</v>
      </c>
      <c r="R22">
        <v>19</v>
      </c>
      <c r="S22">
        <v>19</v>
      </c>
      <c r="T22">
        <v>19</v>
      </c>
      <c r="U22">
        <v>19</v>
      </c>
      <c r="V22">
        <v>19</v>
      </c>
      <c r="W22">
        <v>19</v>
      </c>
      <c r="X22">
        <v>19</v>
      </c>
      <c r="Y22">
        <v>19</v>
      </c>
      <c r="Z22">
        <v>19</v>
      </c>
      <c r="AA22">
        <v>19</v>
      </c>
      <c r="AB22">
        <v>19</v>
      </c>
      <c r="AC22">
        <v>19</v>
      </c>
      <c r="AD22">
        <v>19</v>
      </c>
      <c r="AE22">
        <v>19</v>
      </c>
      <c r="AF22">
        <v>19</v>
      </c>
      <c r="AG22">
        <v>19</v>
      </c>
    </row>
    <row r="23" spans="1:33" x14ac:dyDescent="0.2">
      <c r="A23" t="s">
        <v>24</v>
      </c>
      <c r="G23">
        <v>23</v>
      </c>
      <c r="H23">
        <v>23</v>
      </c>
      <c r="I23">
        <v>23</v>
      </c>
      <c r="J23">
        <v>23</v>
      </c>
      <c r="K23">
        <v>23</v>
      </c>
      <c r="L23">
        <v>23</v>
      </c>
      <c r="M23">
        <v>23</v>
      </c>
      <c r="N23">
        <v>23</v>
      </c>
      <c r="O23">
        <v>23</v>
      </c>
      <c r="P23">
        <v>23</v>
      </c>
      <c r="Q23">
        <v>23</v>
      </c>
      <c r="R23">
        <v>23</v>
      </c>
      <c r="S23">
        <v>23</v>
      </c>
      <c r="T23">
        <v>23</v>
      </c>
      <c r="U23">
        <v>23</v>
      </c>
      <c r="V23">
        <v>23</v>
      </c>
      <c r="W23">
        <v>23</v>
      </c>
      <c r="X23">
        <v>23</v>
      </c>
      <c r="Y23">
        <v>23</v>
      </c>
      <c r="Z23">
        <v>23</v>
      </c>
      <c r="AA23">
        <v>23</v>
      </c>
      <c r="AB23">
        <v>23</v>
      </c>
      <c r="AC23">
        <v>23</v>
      </c>
      <c r="AD23">
        <v>23</v>
      </c>
      <c r="AE23">
        <v>23</v>
      </c>
      <c r="AF23">
        <v>23</v>
      </c>
      <c r="AG23">
        <v>23</v>
      </c>
    </row>
    <row r="24" spans="1:33" x14ac:dyDescent="0.2">
      <c r="A24" t="s">
        <v>25</v>
      </c>
      <c r="G24">
        <v>21</v>
      </c>
      <c r="H24">
        <v>21</v>
      </c>
      <c r="I24">
        <v>21</v>
      </c>
      <c r="J24">
        <v>21</v>
      </c>
      <c r="K24">
        <v>21</v>
      </c>
      <c r="L24">
        <v>21</v>
      </c>
      <c r="M24">
        <v>21</v>
      </c>
      <c r="N24">
        <v>21</v>
      </c>
      <c r="O24">
        <v>21</v>
      </c>
      <c r="P24">
        <v>21</v>
      </c>
      <c r="Q24">
        <v>21</v>
      </c>
      <c r="R24">
        <v>21</v>
      </c>
      <c r="S24">
        <v>21</v>
      </c>
      <c r="T24">
        <v>21</v>
      </c>
      <c r="U24">
        <v>21</v>
      </c>
      <c r="V24">
        <v>21</v>
      </c>
      <c r="W24">
        <v>21</v>
      </c>
      <c r="X24">
        <v>21</v>
      </c>
      <c r="Y24">
        <v>21</v>
      </c>
      <c r="Z24">
        <v>21</v>
      </c>
      <c r="AA24">
        <v>21</v>
      </c>
      <c r="AB24">
        <v>21</v>
      </c>
      <c r="AC24">
        <v>21</v>
      </c>
      <c r="AD24">
        <v>21</v>
      </c>
      <c r="AE24">
        <v>21</v>
      </c>
      <c r="AF24">
        <v>21</v>
      </c>
      <c r="AG24">
        <v>21</v>
      </c>
    </row>
    <row r="25" spans="1:33" x14ac:dyDescent="0.2">
      <c r="A25" t="s">
        <v>26</v>
      </c>
      <c r="G25">
        <v>16</v>
      </c>
      <c r="H25">
        <v>16</v>
      </c>
      <c r="I25">
        <v>16</v>
      </c>
      <c r="J25">
        <v>16</v>
      </c>
      <c r="K25">
        <v>16</v>
      </c>
      <c r="L25">
        <v>16</v>
      </c>
      <c r="M25">
        <v>16</v>
      </c>
      <c r="N25">
        <v>16</v>
      </c>
      <c r="O25">
        <v>16</v>
      </c>
      <c r="P25">
        <v>16</v>
      </c>
      <c r="Q25">
        <v>16</v>
      </c>
      <c r="R25">
        <v>16</v>
      </c>
      <c r="S25">
        <v>16</v>
      </c>
      <c r="T25">
        <v>16</v>
      </c>
      <c r="U25">
        <v>16</v>
      </c>
      <c r="V25">
        <v>16</v>
      </c>
      <c r="W25">
        <v>16</v>
      </c>
      <c r="X25">
        <v>16</v>
      </c>
      <c r="Y25">
        <v>16</v>
      </c>
      <c r="Z25">
        <v>16</v>
      </c>
      <c r="AA25">
        <v>16</v>
      </c>
      <c r="AB25">
        <v>16</v>
      </c>
      <c r="AC25">
        <v>16</v>
      </c>
      <c r="AD25">
        <v>16</v>
      </c>
      <c r="AE25">
        <v>16</v>
      </c>
      <c r="AF25">
        <v>16</v>
      </c>
      <c r="AG25">
        <v>16</v>
      </c>
    </row>
    <row r="26" spans="1:33" x14ac:dyDescent="0.2">
      <c r="A26" t="s">
        <v>27</v>
      </c>
      <c r="G26">
        <v>21</v>
      </c>
      <c r="H26">
        <v>21</v>
      </c>
      <c r="I26">
        <v>21</v>
      </c>
      <c r="J26">
        <v>21</v>
      </c>
      <c r="K26">
        <v>21</v>
      </c>
      <c r="L26">
        <v>21</v>
      </c>
      <c r="M26">
        <v>21</v>
      </c>
      <c r="N26">
        <v>21</v>
      </c>
      <c r="O26">
        <v>21</v>
      </c>
      <c r="P26">
        <v>21</v>
      </c>
      <c r="Q26">
        <v>21</v>
      </c>
      <c r="R26">
        <v>21</v>
      </c>
      <c r="S26">
        <v>21</v>
      </c>
      <c r="T26">
        <v>21</v>
      </c>
      <c r="U26">
        <v>21</v>
      </c>
      <c r="V26">
        <v>21</v>
      </c>
      <c r="W26">
        <v>21</v>
      </c>
      <c r="X26">
        <v>21</v>
      </c>
      <c r="Y26">
        <v>21</v>
      </c>
      <c r="Z26">
        <v>21</v>
      </c>
      <c r="AA26">
        <v>21</v>
      </c>
      <c r="AB26">
        <v>21</v>
      </c>
      <c r="AC26">
        <v>21</v>
      </c>
      <c r="AD26">
        <v>21</v>
      </c>
      <c r="AE26">
        <v>21</v>
      </c>
      <c r="AF26">
        <v>21</v>
      </c>
      <c r="AG26">
        <v>21</v>
      </c>
    </row>
    <row r="27" spans="1:33" x14ac:dyDescent="0.2">
      <c r="A27" t="s">
        <v>28</v>
      </c>
      <c r="G27">
        <v>23</v>
      </c>
      <c r="H27">
        <v>23</v>
      </c>
      <c r="I27">
        <v>23</v>
      </c>
      <c r="J27">
        <v>23</v>
      </c>
      <c r="K27">
        <v>23</v>
      </c>
      <c r="L27">
        <v>23</v>
      </c>
      <c r="M27">
        <v>23</v>
      </c>
      <c r="N27">
        <v>23</v>
      </c>
      <c r="O27">
        <v>23</v>
      </c>
      <c r="P27">
        <v>23</v>
      </c>
      <c r="Q27">
        <v>23</v>
      </c>
      <c r="R27">
        <v>23</v>
      </c>
      <c r="S27">
        <v>23</v>
      </c>
      <c r="T27">
        <v>23</v>
      </c>
      <c r="U27">
        <v>23</v>
      </c>
      <c r="V27">
        <v>23</v>
      </c>
      <c r="W27">
        <v>23</v>
      </c>
      <c r="X27">
        <v>23</v>
      </c>
      <c r="Y27">
        <v>23</v>
      </c>
      <c r="Z27">
        <v>23</v>
      </c>
      <c r="AA27">
        <v>23</v>
      </c>
      <c r="AB27">
        <v>23</v>
      </c>
      <c r="AC27">
        <v>23</v>
      </c>
      <c r="AD27">
        <v>23</v>
      </c>
      <c r="AE27">
        <v>23</v>
      </c>
      <c r="AF27">
        <v>23</v>
      </c>
      <c r="AG27">
        <v>23</v>
      </c>
    </row>
    <row r="29" spans="1:33" x14ac:dyDescent="0.2">
      <c r="A29" t="s">
        <v>209</v>
      </c>
    </row>
    <row r="30" spans="1:33" x14ac:dyDescent="0.2">
      <c r="A30" t="s">
        <v>210</v>
      </c>
    </row>
    <row r="31" spans="1:33" x14ac:dyDescent="0.2">
      <c r="A31" t="s">
        <v>211</v>
      </c>
      <c r="M31" t="s">
        <v>192</v>
      </c>
      <c r="N31" t="s">
        <v>218</v>
      </c>
      <c r="O31" t="s">
        <v>193</v>
      </c>
      <c r="P31" t="s">
        <v>194</v>
      </c>
      <c r="Q31" t="s">
        <v>196</v>
      </c>
      <c r="R31" t="s">
        <v>195</v>
      </c>
      <c r="S31" t="s">
        <v>197</v>
      </c>
      <c r="T31" t="s">
        <v>198</v>
      </c>
      <c r="U31" t="s">
        <v>199</v>
      </c>
    </row>
    <row r="32" spans="1:33" x14ac:dyDescent="0.2">
      <c r="A32" t="s">
        <v>141</v>
      </c>
      <c r="M32">
        <v>0.5</v>
      </c>
      <c r="N32">
        <v>0.45</v>
      </c>
      <c r="O32">
        <v>81</v>
      </c>
      <c r="P32">
        <v>0.55000000000000004</v>
      </c>
      <c r="Q32">
        <f>G12</f>
        <v>0.35</v>
      </c>
      <c r="R32">
        <f>U32-75</f>
        <v>10.799999999999997</v>
      </c>
      <c r="S32">
        <v>18.399999999999999</v>
      </c>
      <c r="T32">
        <v>95</v>
      </c>
      <c r="U32">
        <f>T32-(S32/2)</f>
        <v>85.8</v>
      </c>
    </row>
    <row r="33" spans="1:14" x14ac:dyDescent="0.2">
      <c r="A33" t="s">
        <v>212</v>
      </c>
    </row>
    <row r="34" spans="1:14" x14ac:dyDescent="0.2">
      <c r="A34" t="s">
        <v>213</v>
      </c>
    </row>
    <row r="35" spans="1:14" x14ac:dyDescent="0.2">
      <c r="A35" t="s">
        <v>214</v>
      </c>
      <c r="M35">
        <f>($M$32/$N$32)*($O$32-$P$32*$R$32)+($Q$32*$R$32)</f>
        <v>87.18</v>
      </c>
      <c r="N35">
        <f>M35*B13</f>
        <v>0</v>
      </c>
    </row>
    <row r="36" spans="1:14" x14ac:dyDescent="0.2">
      <c r="A36" t="s">
        <v>215</v>
      </c>
    </row>
    <row r="41" spans="1:14" x14ac:dyDescent="0.2">
      <c r="A41" t="s">
        <v>240</v>
      </c>
    </row>
    <row r="42" spans="1:14" x14ac:dyDescent="0.2">
      <c r="A42" t="s">
        <v>239</v>
      </c>
    </row>
    <row r="43" spans="1:14" x14ac:dyDescent="0.2">
      <c r="A43" t="s">
        <v>241</v>
      </c>
    </row>
    <row r="44" spans="1:14" x14ac:dyDescent="0.2">
      <c r="A44" t="s">
        <v>244</v>
      </c>
    </row>
    <row r="45" spans="1:14" x14ac:dyDescent="0.2">
      <c r="A45" t="s">
        <v>243</v>
      </c>
    </row>
    <row r="46" spans="1:14" x14ac:dyDescent="0.2">
      <c r="A46" t="s">
        <v>242</v>
      </c>
    </row>
    <row r="47" spans="1:14" x14ac:dyDescent="0.2">
      <c r="A47" t="s">
        <v>225</v>
      </c>
    </row>
    <row r="48" spans="1:14" x14ac:dyDescent="0.2">
      <c r="A48" t="s">
        <v>226</v>
      </c>
    </row>
  </sheetData>
  <mergeCells count="3">
    <mergeCell ref="E14:F14"/>
    <mergeCell ref="E13:F13"/>
    <mergeCell ref="E12:F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50A4409259EE47905932236C94D985" ma:contentTypeVersion="5" ma:contentTypeDescription="Create a new document." ma:contentTypeScope="" ma:versionID="052702d2d97994105065c749cfa5c5af">
  <xsd:schema xmlns:xsd="http://www.w3.org/2001/XMLSchema" xmlns:xs="http://www.w3.org/2001/XMLSchema" xmlns:p="http://schemas.microsoft.com/office/2006/metadata/properties" xmlns:ns3="371271b0-9dbb-4d8b-9a7a-d62a54b4395c" xmlns:ns4="f1a702d8-7846-47fa-be65-6f9d17681f30" targetNamespace="http://schemas.microsoft.com/office/2006/metadata/properties" ma:root="true" ma:fieldsID="be3905674afb79bddf7d3dd09893efef" ns3:_="" ns4:_="">
    <xsd:import namespace="371271b0-9dbb-4d8b-9a7a-d62a54b4395c"/>
    <xsd:import namespace="f1a702d8-7846-47fa-be65-6f9d17681f3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271b0-9dbb-4d8b-9a7a-d62a54b439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a702d8-7846-47fa-be65-6f9d17681f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10C4F6-FEB0-4F45-BCA6-1340350D3D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1271b0-9dbb-4d8b-9a7a-d62a54b4395c"/>
    <ds:schemaRef ds:uri="f1a702d8-7846-47fa-be65-6f9d17681f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6BC13F-DBBF-4FAD-801D-8691B431A71C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371271b0-9dbb-4d8b-9a7a-d62a54b4395c"/>
    <ds:schemaRef ds:uri="f1a702d8-7846-47fa-be65-6f9d17681f30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A67E94B-901C-43BB-B90C-F0544CB75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Rooms Walls and Glass</vt:lpstr>
      <vt:lpstr>Unit 1 a</vt:lpstr>
      <vt:lpstr>Unit 1 b</vt:lpstr>
      <vt:lpstr>Unit 2 a</vt:lpstr>
      <vt:lpstr>Unit 2 b</vt:lpstr>
      <vt:lpstr>Unit 3 a</vt:lpstr>
      <vt:lpstr>Glass CLF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 Moyers</cp:lastModifiedBy>
  <cp:lastPrinted>2023-03-22T22:31:46Z</cp:lastPrinted>
  <dcterms:created xsi:type="dcterms:W3CDTF">2023-03-22T14:21:58Z</dcterms:created>
  <dcterms:modified xsi:type="dcterms:W3CDTF">2025-05-29T20:19:28Z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0x010100BE50A4409259EE47905932236C94D985</vt:lpwstr>
  </property>
</Properties>
</file>